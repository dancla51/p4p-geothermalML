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USEfromMike\"/>
    </mc:Choice>
  </mc:AlternateContent>
  <xr:revisionPtr revIDLastSave="0" documentId="13_ncr:1_{2AE468FC-1145-4DC1-B7C8-29BE48F9FBCB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Date" sheetId="1" r:id="rId1"/>
    <sheet name="TotalMassFlow" sheetId="2" r:id="rId2"/>
    <sheet name="MassFlowEstimates" sheetId="3" r:id="rId3"/>
    <sheet name="TFTs" sheetId="4" r:id="rId4"/>
    <sheet name="OnOff" sheetId="5" r:id="rId5"/>
    <sheet name="T" sheetId="6" r:id="rId6"/>
    <sheet name="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2" i="4" l="1"/>
  <c r="C1462" i="4"/>
  <c r="B1462" i="4"/>
  <c r="A1462" i="4"/>
  <c r="D1461" i="4"/>
  <c r="C1461" i="4"/>
  <c r="B1461" i="4"/>
  <c r="A1461" i="4"/>
  <c r="D1460" i="4"/>
  <c r="C1460" i="4"/>
  <c r="B1460" i="4"/>
  <c r="A1460" i="4"/>
  <c r="D1459" i="4"/>
  <c r="C1459" i="4"/>
  <c r="B1459" i="4"/>
  <c r="A1459" i="4"/>
  <c r="D1458" i="4"/>
  <c r="C1458" i="4"/>
  <c r="B1458" i="4"/>
  <c r="A1458" i="4"/>
  <c r="D1457" i="4"/>
  <c r="C1457" i="4"/>
  <c r="B1457" i="4"/>
  <c r="A1457" i="4"/>
  <c r="D1456" i="4"/>
  <c r="C1456" i="4"/>
  <c r="B1456" i="4"/>
  <c r="A1456" i="4"/>
  <c r="D1455" i="4"/>
  <c r="C1455" i="4"/>
  <c r="B1455" i="4"/>
  <c r="A1455" i="4"/>
  <c r="D1454" i="4"/>
  <c r="C1454" i="4"/>
  <c r="B1454" i="4"/>
  <c r="A1454" i="4"/>
  <c r="D1453" i="4"/>
  <c r="C1453" i="4"/>
  <c r="B1453" i="4"/>
  <c r="A1453" i="4"/>
  <c r="D1452" i="4"/>
  <c r="C1452" i="4"/>
  <c r="B1452" i="4"/>
  <c r="A1452" i="4"/>
  <c r="D1451" i="4"/>
  <c r="C1451" i="4"/>
  <c r="B1451" i="4"/>
  <c r="A1451" i="4"/>
  <c r="D1450" i="4"/>
  <c r="C1450" i="4"/>
  <c r="B1450" i="4"/>
  <c r="A1450" i="4"/>
  <c r="D1449" i="4"/>
  <c r="C1449" i="4"/>
  <c r="B1449" i="4"/>
  <c r="A1449" i="4"/>
  <c r="D1448" i="4"/>
  <c r="C1448" i="4"/>
  <c r="B1448" i="4"/>
  <c r="A1448" i="4"/>
  <c r="D1447" i="4"/>
  <c r="C1447" i="4"/>
  <c r="B1447" i="4"/>
  <c r="A1447" i="4"/>
  <c r="D1446" i="4"/>
  <c r="C1446" i="4"/>
  <c r="B1446" i="4"/>
  <c r="A1446" i="4"/>
  <c r="D1445" i="4"/>
  <c r="C1445" i="4"/>
  <c r="B1445" i="4"/>
  <c r="A1445" i="4"/>
  <c r="D1444" i="4"/>
  <c r="C1444" i="4"/>
  <c r="B1444" i="4"/>
  <c r="A1444" i="4"/>
  <c r="D1443" i="4"/>
  <c r="C1443" i="4"/>
  <c r="B1443" i="4"/>
  <c r="A1443" i="4"/>
  <c r="D1442" i="4"/>
  <c r="C1442" i="4"/>
  <c r="B1442" i="4"/>
  <c r="A1442" i="4"/>
  <c r="D1441" i="4"/>
  <c r="C1441" i="4"/>
  <c r="B1441" i="4"/>
  <c r="A1441" i="4"/>
  <c r="D1440" i="4"/>
  <c r="C1440" i="4"/>
  <c r="B1440" i="4"/>
  <c r="A1440" i="4"/>
  <c r="D1439" i="4"/>
  <c r="C1439" i="4"/>
  <c r="B1439" i="4"/>
  <c r="A1439" i="4"/>
  <c r="D1438" i="4"/>
  <c r="C1438" i="4"/>
  <c r="B1438" i="4"/>
  <c r="A1438" i="4"/>
  <c r="D1437" i="4"/>
  <c r="C1437" i="4"/>
  <c r="B1437" i="4"/>
  <c r="A1437" i="4"/>
  <c r="D1436" i="4"/>
  <c r="C1436" i="4"/>
  <c r="B1436" i="4"/>
  <c r="A1436" i="4"/>
  <c r="D1435" i="4"/>
  <c r="C1435" i="4"/>
  <c r="B1435" i="4"/>
  <c r="A1435" i="4"/>
  <c r="D1434" i="4"/>
  <c r="C1434" i="4"/>
  <c r="B1434" i="4"/>
  <c r="A1434" i="4"/>
  <c r="D1433" i="4"/>
  <c r="C1433" i="4"/>
  <c r="B1433" i="4"/>
  <c r="A1433" i="4"/>
  <c r="D1432" i="4"/>
  <c r="C1432" i="4"/>
  <c r="B1432" i="4"/>
  <c r="A1432" i="4"/>
  <c r="D1431" i="4"/>
  <c r="C1431" i="4"/>
  <c r="B1431" i="4"/>
  <c r="A1431" i="4"/>
  <c r="D1430" i="4"/>
  <c r="C1430" i="4"/>
  <c r="B1430" i="4"/>
  <c r="A1430" i="4"/>
  <c r="D1429" i="4"/>
  <c r="C1429" i="4"/>
  <c r="B1429" i="4"/>
  <c r="A1429" i="4"/>
  <c r="D1428" i="4"/>
  <c r="C1428" i="4"/>
  <c r="B1428" i="4"/>
  <c r="A1428" i="4"/>
  <c r="D1427" i="4"/>
  <c r="C1427" i="4"/>
  <c r="B1427" i="4"/>
  <c r="A1427" i="4"/>
  <c r="D1426" i="4"/>
  <c r="C1426" i="4"/>
  <c r="B1426" i="4"/>
  <c r="A1426" i="4"/>
  <c r="D1425" i="4"/>
  <c r="C1425" i="4"/>
  <c r="B1425" i="4"/>
  <c r="A1425" i="4"/>
  <c r="D1424" i="4"/>
  <c r="C1424" i="4"/>
  <c r="B1424" i="4"/>
  <c r="A1424" i="4"/>
  <c r="D1423" i="4"/>
  <c r="C1423" i="4"/>
  <c r="B1423" i="4"/>
  <c r="A1423" i="4"/>
  <c r="D1422" i="4"/>
  <c r="C1422" i="4"/>
  <c r="B1422" i="4"/>
  <c r="A1422" i="4"/>
  <c r="D1421" i="4"/>
  <c r="C1421" i="4"/>
  <c r="B1421" i="4"/>
  <c r="A1421" i="4"/>
  <c r="D1420" i="4"/>
  <c r="C1420" i="4"/>
  <c r="B1420" i="4"/>
  <c r="A1420" i="4"/>
  <c r="D1419" i="4"/>
  <c r="C1419" i="4"/>
  <c r="B1419" i="4"/>
  <c r="A1419" i="4"/>
  <c r="D1418" i="4"/>
  <c r="C1418" i="4"/>
  <c r="B1418" i="4"/>
  <c r="A1418" i="4"/>
  <c r="D1417" i="4"/>
  <c r="C1417" i="4"/>
  <c r="B1417" i="4"/>
  <c r="A1417" i="4"/>
  <c r="D1416" i="4"/>
  <c r="C1416" i="4"/>
  <c r="B1416" i="4"/>
  <c r="A1416" i="4"/>
  <c r="D1415" i="4"/>
  <c r="C1415" i="4"/>
  <c r="B1415" i="4"/>
  <c r="A1415" i="4"/>
  <c r="D1414" i="4"/>
  <c r="C1414" i="4"/>
  <c r="B1414" i="4"/>
  <c r="A1414" i="4"/>
  <c r="D1413" i="4"/>
  <c r="C1413" i="4"/>
  <c r="B1413" i="4"/>
  <c r="A1413" i="4"/>
  <c r="D1412" i="4"/>
  <c r="C1412" i="4"/>
  <c r="B1412" i="4"/>
  <c r="A1412" i="4"/>
  <c r="D1411" i="4"/>
  <c r="C1411" i="4"/>
  <c r="B1411" i="4"/>
  <c r="A1411" i="4"/>
  <c r="D1410" i="4"/>
  <c r="C1410" i="4"/>
  <c r="B1410" i="4"/>
  <c r="A1410" i="4"/>
  <c r="D1409" i="4"/>
  <c r="C1409" i="4"/>
  <c r="B1409" i="4"/>
  <c r="A1409" i="4"/>
  <c r="D1408" i="4"/>
  <c r="C1408" i="4"/>
  <c r="B1408" i="4"/>
  <c r="A1408" i="4"/>
  <c r="D1407" i="4"/>
  <c r="C1407" i="4"/>
  <c r="B1407" i="4"/>
  <c r="A1407" i="4"/>
  <c r="D1406" i="4"/>
  <c r="C1406" i="4"/>
  <c r="B1406" i="4"/>
  <c r="A1406" i="4"/>
  <c r="D1405" i="4"/>
  <c r="C1405" i="4"/>
  <c r="B1405" i="4"/>
  <c r="A1405" i="4"/>
  <c r="D1404" i="4"/>
  <c r="C1404" i="4"/>
  <c r="B1404" i="4"/>
  <c r="A1404" i="4"/>
  <c r="D1403" i="4"/>
  <c r="C1403" i="4"/>
  <c r="B1403" i="4"/>
  <c r="A1403" i="4"/>
  <c r="D1402" i="4"/>
  <c r="C1402" i="4"/>
  <c r="B1402" i="4"/>
  <c r="A1402" i="4"/>
  <c r="D1401" i="4"/>
  <c r="C1401" i="4"/>
  <c r="B1401" i="4"/>
  <c r="A1401" i="4"/>
  <c r="D1400" i="4"/>
  <c r="C1400" i="4"/>
  <c r="B1400" i="4"/>
  <c r="A1400" i="4"/>
  <c r="D1399" i="4"/>
  <c r="C1399" i="4"/>
  <c r="B1399" i="4"/>
  <c r="A1399" i="4"/>
  <c r="D1398" i="4"/>
  <c r="C1398" i="4"/>
  <c r="B1398" i="4"/>
  <c r="A1398" i="4"/>
  <c r="D1397" i="4"/>
  <c r="C1397" i="4"/>
  <c r="B1397" i="4"/>
  <c r="A1397" i="4"/>
  <c r="D1396" i="4"/>
  <c r="C1396" i="4"/>
  <c r="B1396" i="4"/>
  <c r="A1396" i="4"/>
  <c r="D1395" i="4"/>
  <c r="C1395" i="4"/>
  <c r="B1395" i="4"/>
  <c r="A1395" i="4"/>
  <c r="D1394" i="4"/>
  <c r="C1394" i="4"/>
  <c r="B1394" i="4"/>
  <c r="A1394" i="4"/>
  <c r="D1393" i="4"/>
  <c r="C1393" i="4"/>
  <c r="B1393" i="4"/>
  <c r="A1393" i="4"/>
  <c r="D1392" i="4"/>
  <c r="C1392" i="4"/>
  <c r="B1392" i="4"/>
  <c r="A1392" i="4"/>
  <c r="D1391" i="4"/>
  <c r="C1391" i="4"/>
  <c r="B1391" i="4"/>
  <c r="A1391" i="4"/>
  <c r="D1390" i="4"/>
  <c r="C1390" i="4"/>
  <c r="B1390" i="4"/>
  <c r="A1390" i="4"/>
  <c r="D1389" i="4"/>
  <c r="C1389" i="4"/>
  <c r="B1389" i="4"/>
  <c r="A1389" i="4"/>
  <c r="D1388" i="4"/>
  <c r="C1388" i="4"/>
  <c r="B1388" i="4"/>
  <c r="A1388" i="4"/>
  <c r="D1387" i="4"/>
  <c r="C1387" i="4"/>
  <c r="B1387" i="4"/>
  <c r="A1387" i="4"/>
  <c r="D1386" i="4"/>
  <c r="C1386" i="4"/>
  <c r="B1386" i="4"/>
  <c r="A1386" i="4"/>
  <c r="D1385" i="4"/>
  <c r="C1385" i="4"/>
  <c r="B1385" i="4"/>
  <c r="A1385" i="4"/>
  <c r="D1384" i="4"/>
  <c r="C1384" i="4"/>
  <c r="B1384" i="4"/>
  <c r="A1384" i="4"/>
  <c r="D1383" i="4"/>
  <c r="C1383" i="4"/>
  <c r="B1383" i="4"/>
  <c r="A1383" i="4"/>
  <c r="D1382" i="4"/>
  <c r="C1382" i="4"/>
  <c r="B1382" i="4"/>
  <c r="A1382" i="4"/>
  <c r="D1381" i="4"/>
  <c r="C1381" i="4"/>
  <c r="B1381" i="4"/>
  <c r="A1381" i="4"/>
  <c r="D1380" i="4"/>
  <c r="C1380" i="4"/>
  <c r="B1380" i="4"/>
  <c r="A1380" i="4"/>
  <c r="D1379" i="4"/>
  <c r="C1379" i="4"/>
  <c r="B1379" i="4"/>
  <c r="A1379" i="4"/>
  <c r="D1378" i="4"/>
  <c r="C1378" i="4"/>
  <c r="B1378" i="4"/>
  <c r="A1378" i="4"/>
  <c r="D1377" i="4"/>
  <c r="C1377" i="4"/>
  <c r="B1377" i="4"/>
  <c r="A1377" i="4"/>
  <c r="D1376" i="4"/>
  <c r="C1376" i="4"/>
  <c r="B1376" i="4"/>
  <c r="A1376" i="4"/>
  <c r="D1375" i="4"/>
  <c r="C1375" i="4"/>
  <c r="B1375" i="4"/>
  <c r="A1375" i="4"/>
  <c r="D1374" i="4"/>
  <c r="C1374" i="4"/>
  <c r="B1374" i="4"/>
  <c r="A1374" i="4"/>
  <c r="D1373" i="4"/>
  <c r="C1373" i="4"/>
  <c r="B1373" i="4"/>
  <c r="A1373" i="4"/>
  <c r="D1372" i="4"/>
  <c r="C1372" i="4"/>
  <c r="B1372" i="4"/>
  <c r="A1372" i="4"/>
  <c r="D1371" i="4"/>
  <c r="C1371" i="4"/>
  <c r="B1371" i="4"/>
  <c r="A1371" i="4"/>
  <c r="D1370" i="4"/>
  <c r="C1370" i="4"/>
  <c r="B1370" i="4"/>
  <c r="A1370" i="4"/>
  <c r="D1369" i="4"/>
  <c r="C1369" i="4"/>
  <c r="B1369" i="4"/>
  <c r="A1369" i="4"/>
  <c r="D1368" i="4"/>
  <c r="C1368" i="4"/>
  <c r="B1368" i="4"/>
  <c r="A1368" i="4"/>
  <c r="D1367" i="4"/>
  <c r="C1367" i="4"/>
  <c r="B1367" i="4"/>
  <c r="A1367" i="4"/>
  <c r="D1366" i="4"/>
  <c r="C1366" i="4"/>
  <c r="B1366" i="4"/>
  <c r="A1366" i="4"/>
  <c r="D1365" i="4"/>
  <c r="C1365" i="4"/>
  <c r="B1365" i="4"/>
  <c r="A1365" i="4"/>
  <c r="D1364" i="4"/>
  <c r="C1364" i="4"/>
  <c r="B1364" i="4"/>
  <c r="A1364" i="4"/>
  <c r="D1363" i="4"/>
  <c r="C1363" i="4"/>
  <c r="B1363" i="4"/>
  <c r="A1363" i="4"/>
  <c r="D1362" i="4"/>
  <c r="C1362" i="4"/>
  <c r="B1362" i="4"/>
  <c r="A1362" i="4"/>
  <c r="D1361" i="4"/>
  <c r="C1361" i="4"/>
  <c r="B1361" i="4"/>
  <c r="A1361" i="4"/>
  <c r="D1360" i="4"/>
  <c r="C1360" i="4"/>
  <c r="B1360" i="4"/>
  <c r="A1360" i="4"/>
  <c r="D1359" i="4"/>
  <c r="C1359" i="4"/>
  <c r="B1359" i="4"/>
  <c r="A1359" i="4"/>
  <c r="D1358" i="4"/>
  <c r="C1358" i="4"/>
  <c r="B1358" i="4"/>
  <c r="A1358" i="4"/>
  <c r="D1357" i="4"/>
  <c r="C1357" i="4"/>
  <c r="B1357" i="4"/>
  <c r="A1357" i="4"/>
  <c r="D1356" i="4"/>
  <c r="C1356" i="4"/>
  <c r="B1356" i="4"/>
  <c r="A1356" i="4"/>
  <c r="D1355" i="4"/>
  <c r="C1355" i="4"/>
  <c r="B1355" i="4"/>
  <c r="A1355" i="4"/>
  <c r="D1354" i="4"/>
  <c r="C1354" i="4"/>
  <c r="B1354" i="4"/>
  <c r="A1354" i="4"/>
  <c r="D1353" i="4"/>
  <c r="C1353" i="4"/>
  <c r="B1353" i="4"/>
  <c r="A1353" i="4"/>
  <c r="D1352" i="4"/>
  <c r="C1352" i="4"/>
  <c r="B1352" i="4"/>
  <c r="A1352" i="4"/>
  <c r="D1351" i="4"/>
  <c r="C1351" i="4"/>
  <c r="B1351" i="4"/>
  <c r="A1351" i="4"/>
  <c r="D1350" i="4"/>
  <c r="C1350" i="4"/>
  <c r="B1350" i="4"/>
  <c r="A1350" i="4"/>
  <c r="D1349" i="4"/>
  <c r="C1349" i="4"/>
  <c r="B1349" i="4"/>
  <c r="A1349" i="4"/>
  <c r="D1348" i="4"/>
  <c r="C1348" i="4"/>
  <c r="B1348" i="4"/>
  <c r="A1348" i="4"/>
  <c r="D1347" i="4"/>
  <c r="C1347" i="4"/>
  <c r="B1347" i="4"/>
  <c r="A1347" i="4"/>
  <c r="D1346" i="4"/>
  <c r="C1346" i="4"/>
  <c r="B1346" i="4"/>
  <c r="A1346" i="4"/>
  <c r="D1345" i="4"/>
  <c r="C1345" i="4"/>
  <c r="B1345" i="4"/>
  <c r="A1345" i="4"/>
  <c r="D1344" i="4"/>
  <c r="C1344" i="4"/>
  <c r="B1344" i="4"/>
  <c r="A1344" i="4"/>
  <c r="D1343" i="4"/>
  <c r="C1343" i="4"/>
  <c r="B1343" i="4"/>
  <c r="A1343" i="4"/>
  <c r="D1342" i="4"/>
  <c r="C1342" i="4"/>
  <c r="B1342" i="4"/>
  <c r="A1342" i="4"/>
  <c r="D1341" i="4"/>
  <c r="C1341" i="4"/>
  <c r="B1341" i="4"/>
  <c r="A1341" i="4"/>
  <c r="D1340" i="4"/>
  <c r="C1340" i="4"/>
  <c r="B1340" i="4"/>
  <c r="A1340" i="4"/>
  <c r="D1339" i="4"/>
  <c r="C1339" i="4"/>
  <c r="B1339" i="4"/>
  <c r="A1339" i="4"/>
  <c r="D1338" i="4"/>
  <c r="C1338" i="4"/>
  <c r="B1338" i="4"/>
  <c r="A1338" i="4"/>
  <c r="D1337" i="4"/>
  <c r="C1337" i="4"/>
  <c r="B1337" i="4"/>
  <c r="A1337" i="4"/>
  <c r="D1336" i="4"/>
  <c r="C1336" i="4"/>
  <c r="B1336" i="4"/>
  <c r="A1336" i="4"/>
  <c r="D1335" i="4"/>
  <c r="C1335" i="4"/>
  <c r="B1335" i="4"/>
  <c r="A1335" i="4"/>
  <c r="D1334" i="4"/>
  <c r="C1334" i="4"/>
  <c r="B1334" i="4"/>
  <c r="A1334" i="4"/>
  <c r="D1333" i="4"/>
  <c r="C1333" i="4"/>
  <c r="B1333" i="4"/>
  <c r="A1333" i="4"/>
  <c r="D1332" i="4"/>
  <c r="C1332" i="4"/>
  <c r="B1332" i="4"/>
  <c r="A1332" i="4"/>
  <c r="D1331" i="4"/>
  <c r="C1331" i="4"/>
  <c r="B1331" i="4"/>
  <c r="A1331" i="4"/>
  <c r="D1330" i="4"/>
  <c r="C1330" i="4"/>
  <c r="B1330" i="4"/>
  <c r="A1330" i="4"/>
  <c r="D1329" i="4"/>
  <c r="C1329" i="4"/>
  <c r="B1329" i="4"/>
  <c r="A1329" i="4"/>
  <c r="D1328" i="4"/>
  <c r="C1328" i="4"/>
  <c r="B1328" i="4"/>
  <c r="A1328" i="4"/>
  <c r="D1327" i="4"/>
  <c r="C1327" i="4"/>
  <c r="B1327" i="4"/>
  <c r="A1327" i="4"/>
  <c r="D1326" i="4"/>
  <c r="C1326" i="4"/>
  <c r="B1326" i="4"/>
  <c r="A1326" i="4"/>
  <c r="D1325" i="4"/>
  <c r="C1325" i="4"/>
  <c r="B1325" i="4"/>
  <c r="A1325" i="4"/>
  <c r="D1324" i="4"/>
  <c r="C1324" i="4"/>
  <c r="B1324" i="4"/>
  <c r="A1324" i="4"/>
  <c r="D1323" i="4"/>
  <c r="C1323" i="4"/>
  <c r="B1323" i="4"/>
  <c r="A1323" i="4"/>
  <c r="D1322" i="4"/>
  <c r="C1322" i="4"/>
  <c r="B1322" i="4"/>
  <c r="A1322" i="4"/>
  <c r="D1321" i="4"/>
  <c r="C1321" i="4"/>
  <c r="B1321" i="4"/>
  <c r="A1321" i="4"/>
  <c r="D1320" i="4"/>
  <c r="C1320" i="4"/>
  <c r="B1320" i="4"/>
  <c r="A1320" i="4"/>
  <c r="D1319" i="4"/>
  <c r="C1319" i="4"/>
  <c r="B1319" i="4"/>
  <c r="A1319" i="4"/>
  <c r="D1318" i="4"/>
  <c r="C1318" i="4"/>
  <c r="B1318" i="4"/>
  <c r="A1318" i="4"/>
  <c r="D1317" i="4"/>
  <c r="C1317" i="4"/>
  <c r="B1317" i="4"/>
  <c r="A1317" i="4"/>
  <c r="D1316" i="4"/>
  <c r="C1316" i="4"/>
  <c r="B1316" i="4"/>
  <c r="A1316" i="4"/>
  <c r="D1315" i="4"/>
  <c r="C1315" i="4"/>
  <c r="B1315" i="4"/>
  <c r="A1315" i="4"/>
  <c r="D1314" i="4"/>
  <c r="C1314" i="4"/>
  <c r="B1314" i="4"/>
  <c r="A1314" i="4"/>
  <c r="D1313" i="4"/>
  <c r="C1313" i="4"/>
  <c r="B1313" i="4"/>
  <c r="A1313" i="4"/>
  <c r="D1312" i="4"/>
  <c r="C1312" i="4"/>
  <c r="B1312" i="4"/>
  <c r="A1312" i="4"/>
  <c r="D1311" i="4"/>
  <c r="C1311" i="4"/>
  <c r="B1311" i="4"/>
  <c r="A1311" i="4"/>
  <c r="D1310" i="4"/>
  <c r="C1310" i="4"/>
  <c r="B1310" i="4"/>
  <c r="A1310" i="4"/>
  <c r="D1309" i="4"/>
  <c r="C1309" i="4"/>
  <c r="B1309" i="4"/>
  <c r="A1309" i="4"/>
  <c r="D1308" i="4"/>
  <c r="C1308" i="4"/>
  <c r="B1308" i="4"/>
  <c r="A1308" i="4"/>
  <c r="D1307" i="4"/>
  <c r="C1307" i="4"/>
  <c r="B1307" i="4"/>
  <c r="A1307" i="4"/>
  <c r="D1306" i="4"/>
  <c r="C1306" i="4"/>
  <c r="B1306" i="4"/>
  <c r="A1306" i="4"/>
  <c r="D1305" i="4"/>
  <c r="C1305" i="4"/>
  <c r="B1305" i="4"/>
  <c r="A1305" i="4"/>
  <c r="D1304" i="4"/>
  <c r="C1304" i="4"/>
  <c r="B1304" i="4"/>
  <c r="A1304" i="4"/>
  <c r="D1303" i="4"/>
  <c r="C1303" i="4"/>
  <c r="B1303" i="4"/>
  <c r="A1303" i="4"/>
  <c r="D1302" i="4"/>
  <c r="C1302" i="4"/>
  <c r="B1302" i="4"/>
  <c r="A1302" i="4"/>
  <c r="D1301" i="4"/>
  <c r="C1301" i="4"/>
  <c r="B1301" i="4"/>
  <c r="A1301" i="4"/>
  <c r="D1300" i="4"/>
  <c r="C1300" i="4"/>
  <c r="B1300" i="4"/>
  <c r="A1300" i="4"/>
  <c r="D1299" i="4"/>
  <c r="C1299" i="4"/>
  <c r="B1299" i="4"/>
  <c r="A1299" i="4"/>
  <c r="D1298" i="4"/>
  <c r="C1298" i="4"/>
  <c r="B1298" i="4"/>
  <c r="A1298" i="4"/>
  <c r="D1297" i="4"/>
  <c r="C1297" i="4"/>
  <c r="B1297" i="4"/>
  <c r="A1297" i="4"/>
  <c r="D1296" i="4"/>
  <c r="C1296" i="4"/>
  <c r="B1296" i="4"/>
  <c r="A1296" i="4"/>
  <c r="D1295" i="4"/>
  <c r="C1295" i="4"/>
  <c r="B1295" i="4"/>
  <c r="A1295" i="4"/>
  <c r="D1294" i="4"/>
  <c r="C1294" i="4"/>
  <c r="B1294" i="4"/>
  <c r="A1294" i="4"/>
  <c r="D1293" i="4"/>
  <c r="C1293" i="4"/>
  <c r="B1293" i="4"/>
  <c r="A1293" i="4"/>
  <c r="D1292" i="4"/>
  <c r="C1292" i="4"/>
  <c r="B1292" i="4"/>
  <c r="A1292" i="4"/>
  <c r="D1291" i="4"/>
  <c r="C1291" i="4"/>
  <c r="B1291" i="4"/>
  <c r="A1291" i="4"/>
  <c r="D1290" i="4"/>
  <c r="C1290" i="4"/>
  <c r="B1290" i="4"/>
  <c r="A1290" i="4"/>
  <c r="D1289" i="4"/>
  <c r="C1289" i="4"/>
  <c r="B1289" i="4"/>
  <c r="A1289" i="4"/>
  <c r="D1288" i="4"/>
  <c r="C1288" i="4"/>
  <c r="B1288" i="4"/>
  <c r="A1288" i="4"/>
  <c r="D1287" i="4"/>
  <c r="C1287" i="4"/>
  <c r="B1287" i="4"/>
  <c r="A1287" i="4"/>
  <c r="D1286" i="4"/>
  <c r="C1286" i="4"/>
  <c r="B1286" i="4"/>
  <c r="A1286" i="4"/>
  <c r="D1285" i="4"/>
  <c r="C1285" i="4"/>
  <c r="B1285" i="4"/>
  <c r="A1285" i="4"/>
  <c r="D1284" i="4"/>
  <c r="C1284" i="4"/>
  <c r="B1284" i="4"/>
  <c r="A1284" i="4"/>
  <c r="D1283" i="4"/>
  <c r="C1283" i="4"/>
  <c r="B1283" i="4"/>
  <c r="A1283" i="4"/>
  <c r="D1282" i="4"/>
  <c r="C1282" i="4"/>
  <c r="B1282" i="4"/>
  <c r="A1282" i="4"/>
  <c r="D1281" i="4"/>
  <c r="C1281" i="4"/>
  <c r="B1281" i="4"/>
  <c r="A1281" i="4"/>
  <c r="D1280" i="4"/>
  <c r="C1280" i="4"/>
  <c r="B1280" i="4"/>
  <c r="A1280" i="4"/>
  <c r="D1279" i="4"/>
  <c r="C1279" i="4"/>
  <c r="B1279" i="4"/>
  <c r="A1279" i="4"/>
  <c r="D1278" i="4"/>
  <c r="C1278" i="4"/>
  <c r="B1278" i="4"/>
  <c r="A1278" i="4"/>
  <c r="D1277" i="4"/>
  <c r="C1277" i="4"/>
  <c r="B1277" i="4"/>
  <c r="A1277" i="4"/>
  <c r="D1276" i="4"/>
  <c r="C1276" i="4"/>
  <c r="B1276" i="4"/>
  <c r="A1276" i="4"/>
  <c r="D1275" i="4"/>
  <c r="C1275" i="4"/>
  <c r="B1275" i="4"/>
  <c r="A1275" i="4"/>
  <c r="D1274" i="4"/>
  <c r="C1274" i="4"/>
  <c r="B1274" i="4"/>
  <c r="A1274" i="4"/>
  <c r="D1273" i="4"/>
  <c r="C1273" i="4"/>
  <c r="B1273" i="4"/>
  <c r="A1273" i="4"/>
  <c r="D1272" i="4"/>
  <c r="C1272" i="4"/>
  <c r="B1272" i="4"/>
  <c r="A1272" i="4"/>
  <c r="D1271" i="4"/>
  <c r="C1271" i="4"/>
  <c r="B1271" i="4"/>
  <c r="A1271" i="4"/>
  <c r="D1270" i="4"/>
  <c r="C1270" i="4"/>
  <c r="B1270" i="4"/>
  <c r="A1270" i="4"/>
  <c r="D1269" i="4"/>
  <c r="C1269" i="4"/>
  <c r="B1269" i="4"/>
  <c r="A1269" i="4"/>
  <c r="D1268" i="4"/>
  <c r="C1268" i="4"/>
  <c r="B1268" i="4"/>
  <c r="A1268" i="4"/>
  <c r="D1267" i="4"/>
  <c r="C1267" i="4"/>
  <c r="B1267" i="4"/>
  <c r="A1267" i="4"/>
  <c r="D1266" i="4"/>
  <c r="C1266" i="4"/>
  <c r="B1266" i="4"/>
  <c r="A1266" i="4"/>
  <c r="D1265" i="4"/>
  <c r="C1265" i="4"/>
  <c r="B1265" i="4"/>
  <c r="A1265" i="4"/>
  <c r="D1264" i="4"/>
  <c r="C1264" i="4"/>
  <c r="B1264" i="4"/>
  <c r="A1264" i="4"/>
  <c r="D1263" i="4"/>
  <c r="C1263" i="4"/>
  <c r="B1263" i="4"/>
  <c r="A1263" i="4"/>
  <c r="D1262" i="4"/>
  <c r="C1262" i="4"/>
  <c r="B1262" i="4"/>
  <c r="A1262" i="4"/>
  <c r="D1261" i="4"/>
  <c r="C1261" i="4"/>
  <c r="B1261" i="4"/>
  <c r="A1261" i="4"/>
  <c r="D1260" i="4"/>
  <c r="C1260" i="4"/>
  <c r="B1260" i="4"/>
  <c r="A1260" i="4"/>
  <c r="D1259" i="4"/>
  <c r="C1259" i="4"/>
  <c r="B1259" i="4"/>
  <c r="A1259" i="4"/>
  <c r="D1258" i="4"/>
  <c r="C1258" i="4"/>
  <c r="B1258" i="4"/>
  <c r="A1258" i="4"/>
  <c r="D1257" i="4"/>
  <c r="C1257" i="4"/>
  <c r="B1257" i="4"/>
  <c r="A1257" i="4"/>
  <c r="D1256" i="4"/>
  <c r="C1256" i="4"/>
  <c r="B1256" i="4"/>
  <c r="A1256" i="4"/>
  <c r="D1255" i="4"/>
  <c r="C1255" i="4"/>
  <c r="B1255" i="4"/>
  <c r="A1255" i="4"/>
  <c r="D1254" i="4"/>
  <c r="C1254" i="4"/>
  <c r="B1254" i="4"/>
  <c r="A1254" i="4"/>
  <c r="D1253" i="4"/>
  <c r="C1253" i="4"/>
  <c r="B1253" i="4"/>
  <c r="A1253" i="4"/>
  <c r="D1252" i="4"/>
  <c r="C1252" i="4"/>
  <c r="B1252" i="4"/>
  <c r="A1252" i="4"/>
  <c r="D1251" i="4"/>
  <c r="C1251" i="4"/>
  <c r="B1251" i="4"/>
  <c r="A1251" i="4"/>
  <c r="D1250" i="4"/>
  <c r="C1250" i="4"/>
  <c r="B1250" i="4"/>
  <c r="A1250" i="4"/>
  <c r="D1249" i="4"/>
  <c r="C1249" i="4"/>
  <c r="B1249" i="4"/>
  <c r="A1249" i="4"/>
  <c r="D1248" i="4"/>
  <c r="C1248" i="4"/>
  <c r="B1248" i="4"/>
  <c r="A1248" i="4"/>
  <c r="D1247" i="4"/>
  <c r="C1247" i="4"/>
  <c r="B1247" i="4"/>
  <c r="A1247" i="4"/>
  <c r="D1246" i="4"/>
  <c r="C1246" i="4"/>
  <c r="B1246" i="4"/>
  <c r="A1246" i="4"/>
  <c r="D1245" i="4"/>
  <c r="C1245" i="4"/>
  <c r="B1245" i="4"/>
  <c r="A1245" i="4"/>
  <c r="D1244" i="4"/>
  <c r="C1244" i="4"/>
  <c r="B1244" i="4"/>
  <c r="A1244" i="4"/>
  <c r="D1243" i="4"/>
  <c r="C1243" i="4"/>
  <c r="B1243" i="4"/>
  <c r="A1243" i="4"/>
  <c r="D1242" i="4"/>
  <c r="C1242" i="4"/>
  <c r="B1242" i="4"/>
  <c r="A1242" i="4"/>
  <c r="D1241" i="4"/>
  <c r="C1241" i="4"/>
  <c r="B1241" i="4"/>
  <c r="A1241" i="4"/>
  <c r="D1240" i="4"/>
  <c r="C1240" i="4"/>
  <c r="B1240" i="4"/>
  <c r="A1240" i="4"/>
  <c r="D1239" i="4"/>
  <c r="C1239" i="4"/>
  <c r="B1239" i="4"/>
  <c r="A1239" i="4"/>
  <c r="D1238" i="4"/>
  <c r="C1238" i="4"/>
  <c r="B1238" i="4"/>
  <c r="A1238" i="4"/>
  <c r="D1237" i="4"/>
  <c r="C1237" i="4"/>
  <c r="B1237" i="4"/>
  <c r="A1237" i="4"/>
  <c r="D1236" i="4"/>
  <c r="C1236" i="4"/>
  <c r="B1236" i="4"/>
  <c r="A1236" i="4"/>
  <c r="D1235" i="4"/>
  <c r="C1235" i="4"/>
  <c r="B1235" i="4"/>
  <c r="A1235" i="4"/>
  <c r="D1234" i="4"/>
  <c r="C1234" i="4"/>
  <c r="B1234" i="4"/>
  <c r="A1234" i="4"/>
  <c r="D1233" i="4"/>
  <c r="C1233" i="4"/>
  <c r="B1233" i="4"/>
  <c r="A1233" i="4"/>
  <c r="D1232" i="4"/>
  <c r="C1232" i="4"/>
  <c r="B1232" i="4"/>
  <c r="A1232" i="4"/>
  <c r="D1231" i="4"/>
  <c r="C1231" i="4"/>
  <c r="B1231" i="4"/>
  <c r="A1231" i="4"/>
  <c r="D1230" i="4"/>
  <c r="C1230" i="4"/>
  <c r="B1230" i="4"/>
  <c r="A1230" i="4"/>
  <c r="D1229" i="4"/>
  <c r="C1229" i="4"/>
  <c r="B1229" i="4"/>
  <c r="A1229" i="4"/>
  <c r="D1228" i="4"/>
  <c r="C1228" i="4"/>
  <c r="B1228" i="4"/>
  <c r="A1228" i="4"/>
  <c r="D1227" i="4"/>
  <c r="C1227" i="4"/>
  <c r="B1227" i="4"/>
  <c r="A1227" i="4"/>
  <c r="D1226" i="4"/>
  <c r="C1226" i="4"/>
  <c r="B1226" i="4"/>
  <c r="A1226" i="4"/>
  <c r="D1225" i="4"/>
  <c r="C1225" i="4"/>
  <c r="B1225" i="4"/>
  <c r="A1225" i="4"/>
  <c r="D1224" i="4"/>
  <c r="C1224" i="4"/>
  <c r="B1224" i="4"/>
  <c r="A1224" i="4"/>
  <c r="D1223" i="4"/>
  <c r="C1223" i="4"/>
  <c r="B1223" i="4"/>
  <c r="A1223" i="4"/>
  <c r="D1222" i="4"/>
  <c r="C1222" i="4"/>
  <c r="B1222" i="4"/>
  <c r="A1222" i="4"/>
  <c r="D1221" i="4"/>
  <c r="C1221" i="4"/>
  <c r="B1221" i="4"/>
  <c r="A1221" i="4"/>
  <c r="D1220" i="4"/>
  <c r="C1220" i="4"/>
  <c r="B1220" i="4"/>
  <c r="A1220" i="4"/>
  <c r="D1219" i="4"/>
  <c r="C1219" i="4"/>
  <c r="B1219" i="4"/>
  <c r="A1219" i="4"/>
  <c r="D1218" i="4"/>
  <c r="C1218" i="4"/>
  <c r="B1218" i="4"/>
  <c r="A1218" i="4"/>
  <c r="D1217" i="4"/>
  <c r="C1217" i="4"/>
  <c r="B1217" i="4"/>
  <c r="A1217" i="4"/>
  <c r="D1216" i="4"/>
  <c r="C1216" i="4"/>
  <c r="B1216" i="4"/>
  <c r="A1216" i="4"/>
  <c r="D1215" i="4"/>
  <c r="C1215" i="4"/>
  <c r="B1215" i="4"/>
  <c r="A1215" i="4"/>
  <c r="D1214" i="4"/>
  <c r="C1214" i="4"/>
  <c r="B1214" i="4"/>
  <c r="A1214" i="4"/>
  <c r="D1213" i="4"/>
  <c r="C1213" i="4"/>
  <c r="B1213" i="4"/>
  <c r="A1213" i="4"/>
  <c r="D1212" i="4"/>
  <c r="C1212" i="4"/>
  <c r="B1212" i="4"/>
  <c r="A1212" i="4"/>
  <c r="D1211" i="4"/>
  <c r="C1211" i="4"/>
  <c r="B1211" i="4"/>
  <c r="A1211" i="4"/>
  <c r="D1210" i="4"/>
  <c r="C1210" i="4"/>
  <c r="B1210" i="4"/>
  <c r="A1210" i="4"/>
  <c r="D1209" i="4"/>
  <c r="C1209" i="4"/>
  <c r="B1209" i="4"/>
  <c r="A1209" i="4"/>
  <c r="D1208" i="4"/>
  <c r="C1208" i="4"/>
  <c r="B1208" i="4"/>
  <c r="A1208" i="4"/>
  <c r="D1207" i="4"/>
  <c r="C1207" i="4"/>
  <c r="B1207" i="4"/>
  <c r="A1207" i="4"/>
  <c r="D1206" i="4"/>
  <c r="C1206" i="4"/>
  <c r="B1206" i="4"/>
  <c r="A1206" i="4"/>
  <c r="D1205" i="4"/>
  <c r="C1205" i="4"/>
  <c r="B1205" i="4"/>
  <c r="A1205" i="4"/>
  <c r="D1204" i="4"/>
  <c r="C1204" i="4"/>
  <c r="B1204" i="4"/>
  <c r="A1204" i="4"/>
  <c r="D1203" i="4"/>
  <c r="C1203" i="4"/>
  <c r="B1203" i="4"/>
  <c r="A1203" i="4"/>
  <c r="D1202" i="4"/>
  <c r="C1202" i="4"/>
  <c r="B1202" i="4"/>
  <c r="A1202" i="4"/>
  <c r="D1201" i="4"/>
  <c r="C1201" i="4"/>
  <c r="B1201" i="4"/>
  <c r="A1201" i="4"/>
  <c r="D1200" i="4"/>
  <c r="C1200" i="4"/>
  <c r="B1200" i="4"/>
  <c r="A1200" i="4"/>
  <c r="D1199" i="4"/>
  <c r="C1199" i="4"/>
  <c r="B1199" i="4"/>
  <c r="A1199" i="4"/>
  <c r="D1198" i="4"/>
  <c r="C1198" i="4"/>
  <c r="B1198" i="4"/>
  <c r="A1198" i="4"/>
  <c r="D1197" i="4"/>
  <c r="C1197" i="4"/>
  <c r="B1197" i="4"/>
  <c r="A1197" i="4"/>
  <c r="D1196" i="4"/>
  <c r="C1196" i="4"/>
  <c r="B1196" i="4"/>
  <c r="A1196" i="4"/>
  <c r="D1195" i="4"/>
  <c r="C1195" i="4"/>
  <c r="B1195" i="4"/>
  <c r="A1195" i="4"/>
  <c r="D1194" i="4"/>
  <c r="C1194" i="4"/>
  <c r="B1194" i="4"/>
  <c r="A1194" i="4"/>
  <c r="D1193" i="4"/>
  <c r="C1193" i="4"/>
  <c r="B1193" i="4"/>
  <c r="A1193" i="4"/>
  <c r="D1192" i="4"/>
  <c r="C1192" i="4"/>
  <c r="B1192" i="4"/>
  <c r="A1192" i="4"/>
  <c r="D1191" i="4"/>
  <c r="C1191" i="4"/>
  <c r="B1191" i="4"/>
  <c r="A1191" i="4"/>
  <c r="D1190" i="4"/>
  <c r="C1190" i="4"/>
  <c r="B1190" i="4"/>
  <c r="A1190" i="4"/>
  <c r="D1189" i="4"/>
  <c r="C1189" i="4"/>
  <c r="B1189" i="4"/>
  <c r="A1189" i="4"/>
  <c r="D1188" i="4"/>
  <c r="C1188" i="4"/>
  <c r="B1188" i="4"/>
  <c r="A1188" i="4"/>
  <c r="D1187" i="4"/>
  <c r="C1187" i="4"/>
  <c r="B1187" i="4"/>
  <c r="A1187" i="4"/>
  <c r="D1186" i="4"/>
  <c r="C1186" i="4"/>
  <c r="B1186" i="4"/>
  <c r="A1186" i="4"/>
  <c r="D1185" i="4"/>
  <c r="C1185" i="4"/>
  <c r="B1185" i="4"/>
  <c r="A1185" i="4"/>
  <c r="D1184" i="4"/>
  <c r="C1184" i="4"/>
  <c r="B1184" i="4"/>
  <c r="A1184" i="4"/>
  <c r="D1183" i="4"/>
  <c r="C1183" i="4"/>
  <c r="B1183" i="4"/>
  <c r="A1183" i="4"/>
  <c r="D1182" i="4"/>
  <c r="C1182" i="4"/>
  <c r="B1182" i="4"/>
  <c r="A1182" i="4"/>
  <c r="D1181" i="4"/>
  <c r="C1181" i="4"/>
  <c r="B1181" i="4"/>
  <c r="A1181" i="4"/>
  <c r="D1180" i="4"/>
  <c r="C1180" i="4"/>
  <c r="B1180" i="4"/>
  <c r="A1180" i="4"/>
  <c r="D1179" i="4"/>
  <c r="C1179" i="4"/>
  <c r="B1179" i="4"/>
  <c r="A1179" i="4"/>
  <c r="D1178" i="4"/>
  <c r="C1178" i="4"/>
  <c r="B1178" i="4"/>
  <c r="A1178" i="4"/>
  <c r="D1177" i="4"/>
  <c r="C1177" i="4"/>
  <c r="B1177" i="4"/>
  <c r="A1177" i="4"/>
  <c r="D1176" i="4"/>
  <c r="C1176" i="4"/>
  <c r="B1176" i="4"/>
  <c r="A1176" i="4"/>
  <c r="D1175" i="4"/>
  <c r="C1175" i="4"/>
  <c r="B1175" i="4"/>
  <c r="A1175" i="4"/>
  <c r="D1174" i="4"/>
  <c r="C1174" i="4"/>
  <c r="B1174" i="4"/>
  <c r="A1174" i="4"/>
  <c r="D1173" i="4"/>
  <c r="C1173" i="4"/>
  <c r="B1173" i="4"/>
  <c r="A1173" i="4"/>
  <c r="D1172" i="4"/>
  <c r="C1172" i="4"/>
  <c r="B1172" i="4"/>
  <c r="A1172" i="4"/>
  <c r="D1171" i="4"/>
  <c r="C1171" i="4"/>
  <c r="B1171" i="4"/>
  <c r="A1171" i="4"/>
  <c r="D1170" i="4"/>
  <c r="C1170" i="4"/>
  <c r="B1170" i="4"/>
  <c r="A1170" i="4"/>
  <c r="D1169" i="4"/>
  <c r="C1169" i="4"/>
  <c r="B1169" i="4"/>
  <c r="A1169" i="4"/>
  <c r="D1168" i="4"/>
  <c r="C1168" i="4"/>
  <c r="B1168" i="4"/>
  <c r="A1168" i="4"/>
  <c r="D1167" i="4"/>
  <c r="C1167" i="4"/>
  <c r="B1167" i="4"/>
  <c r="A1167" i="4"/>
  <c r="D1166" i="4"/>
  <c r="C1166" i="4"/>
  <c r="B1166" i="4"/>
  <c r="A1166" i="4"/>
  <c r="D1165" i="4"/>
  <c r="C1165" i="4"/>
  <c r="B1165" i="4"/>
  <c r="A1165" i="4"/>
  <c r="D1164" i="4"/>
  <c r="C1164" i="4"/>
  <c r="B1164" i="4"/>
  <c r="A1164" i="4"/>
  <c r="D1163" i="4"/>
  <c r="C1163" i="4"/>
  <c r="B1163" i="4"/>
  <c r="A1163" i="4"/>
  <c r="D1162" i="4"/>
  <c r="C1162" i="4"/>
  <c r="B1162" i="4"/>
  <c r="A1162" i="4"/>
  <c r="D1161" i="4"/>
  <c r="C1161" i="4"/>
  <c r="B1161" i="4"/>
  <c r="A1161" i="4"/>
  <c r="D1160" i="4"/>
  <c r="C1160" i="4"/>
  <c r="B1160" i="4"/>
  <c r="A1160" i="4"/>
  <c r="D1159" i="4"/>
  <c r="C1159" i="4"/>
  <c r="B1159" i="4"/>
  <c r="A1159" i="4"/>
  <c r="D1158" i="4"/>
  <c r="C1158" i="4"/>
  <c r="B1158" i="4"/>
  <c r="A1158" i="4"/>
  <c r="D1157" i="4"/>
  <c r="C1157" i="4"/>
  <c r="B1157" i="4"/>
  <c r="A1157" i="4"/>
  <c r="D1156" i="4"/>
  <c r="C1156" i="4"/>
  <c r="B1156" i="4"/>
  <c r="A1156" i="4"/>
  <c r="D1155" i="4"/>
  <c r="C1155" i="4"/>
  <c r="B1155" i="4"/>
  <c r="A1155" i="4"/>
  <c r="D1154" i="4"/>
  <c r="C1154" i="4"/>
  <c r="B1154" i="4"/>
  <c r="A1154" i="4"/>
  <c r="D1153" i="4"/>
  <c r="C1153" i="4"/>
  <c r="B1153" i="4"/>
  <c r="A1153" i="4"/>
  <c r="D1152" i="4"/>
  <c r="C1152" i="4"/>
  <c r="B1152" i="4"/>
  <c r="A1152" i="4"/>
  <c r="D1151" i="4"/>
  <c r="C1151" i="4"/>
  <c r="B1151" i="4"/>
  <c r="A1151" i="4"/>
  <c r="D1150" i="4"/>
  <c r="C1150" i="4"/>
  <c r="B1150" i="4"/>
  <c r="A1150" i="4"/>
  <c r="D1149" i="4"/>
  <c r="C1149" i="4"/>
  <c r="B1149" i="4"/>
  <c r="A1149" i="4"/>
  <c r="D1148" i="4"/>
  <c r="C1148" i="4"/>
  <c r="B1148" i="4"/>
  <c r="A1148" i="4"/>
  <c r="D1147" i="4"/>
  <c r="C1147" i="4"/>
  <c r="B1147" i="4"/>
  <c r="A1147" i="4"/>
  <c r="D1146" i="4"/>
  <c r="C1146" i="4"/>
  <c r="B1146" i="4"/>
  <c r="A1146" i="4"/>
  <c r="D1145" i="4"/>
  <c r="C1145" i="4"/>
  <c r="B1145" i="4"/>
  <c r="A1145" i="4"/>
  <c r="D1144" i="4"/>
  <c r="C1144" i="4"/>
  <c r="B1144" i="4"/>
  <c r="A1144" i="4"/>
  <c r="D1143" i="4"/>
  <c r="C1143" i="4"/>
  <c r="B1143" i="4"/>
  <c r="A1143" i="4"/>
  <c r="D1142" i="4"/>
  <c r="C1142" i="4"/>
  <c r="B1142" i="4"/>
  <c r="A1142" i="4"/>
  <c r="D1141" i="4"/>
  <c r="C1141" i="4"/>
  <c r="B1141" i="4"/>
  <c r="A1141" i="4"/>
  <c r="D1140" i="4"/>
  <c r="C1140" i="4"/>
  <c r="B1140" i="4"/>
  <c r="A1140" i="4"/>
  <c r="D1139" i="4"/>
  <c r="C1139" i="4"/>
  <c r="B1139" i="4"/>
  <c r="A1139" i="4"/>
  <c r="D1138" i="4"/>
  <c r="C1138" i="4"/>
  <c r="B1138" i="4"/>
  <c r="A1138" i="4"/>
  <c r="D1137" i="4"/>
  <c r="C1137" i="4"/>
  <c r="B1137" i="4"/>
  <c r="A1137" i="4"/>
  <c r="D1136" i="4"/>
  <c r="C1136" i="4"/>
  <c r="B1136" i="4"/>
  <c r="A1136" i="4"/>
  <c r="D1135" i="4"/>
  <c r="C1135" i="4"/>
  <c r="B1135" i="4"/>
  <c r="A1135" i="4"/>
  <c r="D1134" i="4"/>
  <c r="C1134" i="4"/>
  <c r="B1134" i="4"/>
  <c r="A1134" i="4"/>
  <c r="D1133" i="4"/>
  <c r="C1133" i="4"/>
  <c r="B1133" i="4"/>
  <c r="A1133" i="4"/>
  <c r="D1132" i="4"/>
  <c r="C1132" i="4"/>
  <c r="B1132" i="4"/>
  <c r="A1132" i="4"/>
  <c r="D1131" i="4"/>
  <c r="C1131" i="4"/>
  <c r="B1131" i="4"/>
  <c r="A1131" i="4"/>
  <c r="D1130" i="4"/>
  <c r="C1130" i="4"/>
  <c r="B1130" i="4"/>
  <c r="A1130" i="4"/>
  <c r="D1129" i="4"/>
  <c r="C1129" i="4"/>
  <c r="B1129" i="4"/>
  <c r="A1129" i="4"/>
  <c r="D1128" i="4"/>
  <c r="C1128" i="4"/>
  <c r="B1128" i="4"/>
  <c r="A1128" i="4"/>
  <c r="D1127" i="4"/>
  <c r="C1127" i="4"/>
  <c r="B1127" i="4"/>
  <c r="A1127" i="4"/>
  <c r="D1126" i="4"/>
  <c r="C1126" i="4"/>
  <c r="B1126" i="4"/>
  <c r="A1126" i="4"/>
  <c r="D1125" i="4"/>
  <c r="C1125" i="4"/>
  <c r="B1125" i="4"/>
  <c r="A1125" i="4"/>
  <c r="D1124" i="4"/>
  <c r="C1124" i="4"/>
  <c r="B1124" i="4"/>
  <c r="A1124" i="4"/>
  <c r="D1123" i="4"/>
  <c r="C1123" i="4"/>
  <c r="B1123" i="4"/>
  <c r="A1123" i="4"/>
  <c r="D1122" i="4"/>
  <c r="C1122" i="4"/>
  <c r="B1122" i="4"/>
  <c r="A1122" i="4"/>
  <c r="D1121" i="4"/>
  <c r="C1121" i="4"/>
  <c r="B1121" i="4"/>
  <c r="A1121" i="4"/>
  <c r="D1120" i="4"/>
  <c r="C1120" i="4"/>
  <c r="B1120" i="4"/>
  <c r="A1120" i="4"/>
  <c r="D1119" i="4"/>
  <c r="C1119" i="4"/>
  <c r="B1119" i="4"/>
  <c r="A1119" i="4"/>
  <c r="D1118" i="4"/>
  <c r="C1118" i="4"/>
  <c r="B1118" i="4"/>
  <c r="A1118" i="4"/>
  <c r="D1117" i="4"/>
  <c r="C1117" i="4"/>
  <c r="B1117" i="4"/>
  <c r="A1117" i="4"/>
  <c r="D1116" i="4"/>
  <c r="C1116" i="4"/>
  <c r="B1116" i="4"/>
  <c r="A1116" i="4"/>
  <c r="D1115" i="4"/>
  <c r="C1115" i="4"/>
  <c r="B1115" i="4"/>
  <c r="A1115" i="4"/>
  <c r="D1114" i="4"/>
  <c r="C1114" i="4"/>
  <c r="B1114" i="4"/>
  <c r="A1114" i="4"/>
  <c r="D1113" i="4"/>
  <c r="C1113" i="4"/>
  <c r="B1113" i="4"/>
  <c r="A1113" i="4"/>
  <c r="D1112" i="4"/>
  <c r="C1112" i="4"/>
  <c r="B1112" i="4"/>
  <c r="A1112" i="4"/>
  <c r="D1111" i="4"/>
  <c r="C1111" i="4"/>
  <c r="B1111" i="4"/>
  <c r="A1111" i="4"/>
  <c r="D1110" i="4"/>
  <c r="C1110" i="4"/>
  <c r="B1110" i="4"/>
  <c r="A1110" i="4"/>
  <c r="D1109" i="4"/>
  <c r="C1109" i="4"/>
  <c r="B1109" i="4"/>
  <c r="A1109" i="4"/>
  <c r="D1108" i="4"/>
  <c r="C1108" i="4"/>
  <c r="B1108" i="4"/>
  <c r="A1108" i="4"/>
  <c r="D1107" i="4"/>
  <c r="C1107" i="4"/>
  <c r="B1107" i="4"/>
  <c r="A1107" i="4"/>
  <c r="D1106" i="4"/>
  <c r="C1106" i="4"/>
  <c r="B1106" i="4"/>
  <c r="A1106" i="4"/>
  <c r="D1105" i="4"/>
  <c r="C1105" i="4"/>
  <c r="B1105" i="4"/>
  <c r="A1105" i="4"/>
  <c r="D1104" i="4"/>
  <c r="C1104" i="4"/>
  <c r="B1104" i="4"/>
  <c r="A1104" i="4"/>
  <c r="D1103" i="4"/>
  <c r="C1103" i="4"/>
  <c r="B1103" i="4"/>
  <c r="A1103" i="4"/>
  <c r="D1102" i="4"/>
  <c r="C1102" i="4"/>
  <c r="B1102" i="4"/>
  <c r="A1102" i="4"/>
  <c r="D1101" i="4"/>
  <c r="C1101" i="4"/>
  <c r="B1101" i="4"/>
  <c r="A1101" i="4"/>
  <c r="D1100" i="4"/>
  <c r="C1100" i="4"/>
  <c r="B1100" i="4"/>
  <c r="A1100" i="4"/>
  <c r="D1099" i="4"/>
  <c r="C1099" i="4"/>
  <c r="B1099" i="4"/>
  <c r="A1099" i="4"/>
  <c r="D1098" i="4"/>
  <c r="C1098" i="4"/>
  <c r="B1098" i="4"/>
  <c r="A1098" i="4"/>
  <c r="D1097" i="4"/>
  <c r="C1097" i="4"/>
  <c r="B1097" i="4"/>
  <c r="A1097" i="4"/>
  <c r="D1096" i="4"/>
  <c r="C1096" i="4"/>
  <c r="B1096" i="4"/>
  <c r="A1096" i="4"/>
  <c r="D1095" i="4"/>
  <c r="C1095" i="4"/>
  <c r="B1095" i="4"/>
  <c r="A1095" i="4"/>
  <c r="D1094" i="4"/>
  <c r="C1094" i="4"/>
  <c r="B1094" i="4"/>
  <c r="A1094" i="4"/>
  <c r="D1093" i="4"/>
  <c r="C1093" i="4"/>
  <c r="B1093" i="4"/>
  <c r="A1093" i="4"/>
  <c r="D1092" i="4"/>
  <c r="C1092" i="4"/>
  <c r="B1092" i="4"/>
  <c r="A1092" i="4"/>
  <c r="D1091" i="4"/>
  <c r="C1091" i="4"/>
  <c r="B1091" i="4"/>
  <c r="A1091" i="4"/>
  <c r="D1090" i="4"/>
  <c r="C1090" i="4"/>
  <c r="B1090" i="4"/>
  <c r="A1090" i="4"/>
  <c r="D1089" i="4"/>
  <c r="C1089" i="4"/>
  <c r="B1089" i="4"/>
  <c r="A1089" i="4"/>
  <c r="D1088" i="4"/>
  <c r="C1088" i="4"/>
  <c r="B1088" i="4"/>
  <c r="A1088" i="4"/>
  <c r="D1087" i="4"/>
  <c r="C1087" i="4"/>
  <c r="B1087" i="4"/>
  <c r="A1087" i="4"/>
  <c r="D1086" i="4"/>
  <c r="C1086" i="4"/>
  <c r="B1086" i="4"/>
  <c r="A1086" i="4"/>
  <c r="D1085" i="4"/>
  <c r="C1085" i="4"/>
  <c r="B1085" i="4"/>
  <c r="A1085" i="4"/>
  <c r="D1084" i="4"/>
  <c r="C1084" i="4"/>
  <c r="B1084" i="4"/>
  <c r="A1084" i="4"/>
  <c r="D1083" i="4"/>
  <c r="C1083" i="4"/>
  <c r="B1083" i="4"/>
  <c r="A1083" i="4"/>
  <c r="D1082" i="4"/>
  <c r="C1082" i="4"/>
  <c r="B1082" i="4"/>
  <c r="A1082" i="4"/>
  <c r="D1081" i="4"/>
  <c r="C1081" i="4"/>
  <c r="B1081" i="4"/>
  <c r="A1081" i="4"/>
  <c r="D1080" i="4"/>
  <c r="C1080" i="4"/>
  <c r="B1080" i="4"/>
  <c r="A1080" i="4"/>
  <c r="D1079" i="4"/>
  <c r="C1079" i="4"/>
  <c r="B1079" i="4"/>
  <c r="A1079" i="4"/>
  <c r="D1078" i="4"/>
  <c r="C1078" i="4"/>
  <c r="B1078" i="4"/>
  <c r="A1078" i="4"/>
  <c r="D1077" i="4"/>
  <c r="C1077" i="4"/>
  <c r="B1077" i="4"/>
  <c r="A1077" i="4"/>
  <c r="D1076" i="4"/>
  <c r="C1076" i="4"/>
  <c r="B1076" i="4"/>
  <c r="A1076" i="4"/>
  <c r="D1075" i="4"/>
  <c r="C1075" i="4"/>
  <c r="B1075" i="4"/>
  <c r="A1075" i="4"/>
  <c r="D1074" i="4"/>
  <c r="C1074" i="4"/>
  <c r="B1074" i="4"/>
  <c r="A1074" i="4"/>
  <c r="D1073" i="4"/>
  <c r="C1073" i="4"/>
  <c r="B1073" i="4"/>
  <c r="A1073" i="4"/>
  <c r="D1072" i="4"/>
  <c r="C1072" i="4"/>
  <c r="B1072" i="4"/>
  <c r="A1072" i="4"/>
  <c r="D1071" i="4"/>
  <c r="C1071" i="4"/>
  <c r="B1071" i="4"/>
  <c r="A1071" i="4"/>
  <c r="D1070" i="4"/>
  <c r="C1070" i="4"/>
  <c r="B1070" i="4"/>
  <c r="A1070" i="4"/>
  <c r="D1069" i="4"/>
  <c r="C1069" i="4"/>
  <c r="B1069" i="4"/>
  <c r="A1069" i="4"/>
  <c r="D1068" i="4"/>
  <c r="C1068" i="4"/>
  <c r="B1068" i="4"/>
  <c r="A1068" i="4"/>
  <c r="D1067" i="4"/>
  <c r="C1067" i="4"/>
  <c r="B1067" i="4"/>
  <c r="A1067" i="4"/>
  <c r="D1066" i="4"/>
  <c r="C1066" i="4"/>
  <c r="B1066" i="4"/>
  <c r="A1066" i="4"/>
  <c r="D1065" i="4"/>
  <c r="C1065" i="4"/>
  <c r="B1065" i="4"/>
  <c r="A1065" i="4"/>
  <c r="D1064" i="4"/>
  <c r="C1064" i="4"/>
  <c r="B1064" i="4"/>
  <c r="A1064" i="4"/>
  <c r="D1063" i="4"/>
  <c r="C1063" i="4"/>
  <c r="B1063" i="4"/>
  <c r="A1063" i="4"/>
  <c r="D1062" i="4"/>
  <c r="C1062" i="4"/>
  <c r="B1062" i="4"/>
  <c r="A1062" i="4"/>
  <c r="D1061" i="4"/>
  <c r="C1061" i="4"/>
  <c r="B1061" i="4"/>
  <c r="A1061" i="4"/>
  <c r="D1060" i="4"/>
  <c r="C1060" i="4"/>
  <c r="B1060" i="4"/>
  <c r="A1060" i="4"/>
  <c r="D1059" i="4"/>
  <c r="C1059" i="4"/>
  <c r="B1059" i="4"/>
  <c r="A1059" i="4"/>
  <c r="D1058" i="4"/>
  <c r="C1058" i="4"/>
  <c r="B1058" i="4"/>
  <c r="A1058" i="4"/>
  <c r="D1057" i="4"/>
  <c r="C1057" i="4"/>
  <c r="B1057" i="4"/>
  <c r="A1057" i="4"/>
  <c r="D1056" i="4"/>
  <c r="C1056" i="4"/>
  <c r="B1056" i="4"/>
  <c r="A1056" i="4"/>
  <c r="D1055" i="4"/>
  <c r="C1055" i="4"/>
  <c r="B1055" i="4"/>
  <c r="A1055" i="4"/>
  <c r="D1054" i="4"/>
  <c r="C1054" i="4"/>
  <c r="B1054" i="4"/>
  <c r="A1054" i="4"/>
  <c r="D1053" i="4"/>
  <c r="C1053" i="4"/>
  <c r="B1053" i="4"/>
  <c r="A1053" i="4"/>
  <c r="D1052" i="4"/>
  <c r="C1052" i="4"/>
  <c r="B1052" i="4"/>
  <c r="A1052" i="4"/>
  <c r="D1051" i="4"/>
  <c r="C1051" i="4"/>
  <c r="B1051" i="4"/>
  <c r="A1051" i="4"/>
  <c r="D1050" i="4"/>
  <c r="C1050" i="4"/>
  <c r="B1050" i="4"/>
  <c r="A1050" i="4"/>
  <c r="D1049" i="4"/>
  <c r="C1049" i="4"/>
  <c r="B1049" i="4"/>
  <c r="A1049" i="4"/>
  <c r="D1048" i="4"/>
  <c r="C1048" i="4"/>
  <c r="B1048" i="4"/>
  <c r="A1048" i="4"/>
  <c r="D1047" i="4"/>
  <c r="C1047" i="4"/>
  <c r="B1047" i="4"/>
  <c r="A1047" i="4"/>
  <c r="D1046" i="4"/>
  <c r="C1046" i="4"/>
  <c r="B1046" i="4"/>
  <c r="A1046" i="4"/>
  <c r="D1045" i="4"/>
  <c r="C1045" i="4"/>
  <c r="B1045" i="4"/>
  <c r="A1045" i="4"/>
  <c r="D1044" i="4"/>
  <c r="C1044" i="4"/>
  <c r="B1044" i="4"/>
  <c r="A1044" i="4"/>
  <c r="D1043" i="4"/>
  <c r="C1043" i="4"/>
  <c r="B1043" i="4"/>
  <c r="A1043" i="4"/>
  <c r="D1042" i="4"/>
  <c r="C1042" i="4"/>
  <c r="B1042" i="4"/>
  <c r="A1042" i="4"/>
  <c r="D1041" i="4"/>
  <c r="C1041" i="4"/>
  <c r="B1041" i="4"/>
  <c r="A1041" i="4"/>
  <c r="D1040" i="4"/>
  <c r="C1040" i="4"/>
  <c r="B1040" i="4"/>
  <c r="A1040" i="4"/>
  <c r="D1039" i="4"/>
  <c r="C1039" i="4"/>
  <c r="B1039" i="4"/>
  <c r="A1039" i="4"/>
  <c r="D1038" i="4"/>
  <c r="C1038" i="4"/>
  <c r="B1038" i="4"/>
  <c r="A1038" i="4"/>
  <c r="D1037" i="4"/>
  <c r="C1037" i="4"/>
  <c r="B1037" i="4"/>
  <c r="A1037" i="4"/>
  <c r="D1036" i="4"/>
  <c r="C1036" i="4"/>
  <c r="B1036" i="4"/>
  <c r="A1036" i="4"/>
  <c r="D1035" i="4"/>
  <c r="C1035" i="4"/>
  <c r="B1035" i="4"/>
  <c r="A1035" i="4"/>
  <c r="D1034" i="4"/>
  <c r="C1034" i="4"/>
  <c r="B1034" i="4"/>
  <c r="A1034" i="4"/>
  <c r="D1033" i="4"/>
  <c r="C1033" i="4"/>
  <c r="B1033" i="4"/>
  <c r="A1033" i="4"/>
  <c r="D1032" i="4"/>
  <c r="C1032" i="4"/>
  <c r="B1032" i="4"/>
  <c r="A1032" i="4"/>
  <c r="D1031" i="4"/>
  <c r="C1031" i="4"/>
  <c r="B1031" i="4"/>
  <c r="A1031" i="4"/>
  <c r="D1030" i="4"/>
  <c r="C1030" i="4"/>
  <c r="B1030" i="4"/>
  <c r="A1030" i="4"/>
  <c r="D1029" i="4"/>
  <c r="C1029" i="4"/>
  <c r="B1029" i="4"/>
  <c r="A1029" i="4"/>
  <c r="D1028" i="4"/>
  <c r="C1028" i="4"/>
  <c r="B1028" i="4"/>
  <c r="A1028" i="4"/>
  <c r="D1027" i="4"/>
  <c r="C1027" i="4"/>
  <c r="B1027" i="4"/>
  <c r="A1027" i="4"/>
  <c r="D1026" i="4"/>
  <c r="C1026" i="4"/>
  <c r="B1026" i="4"/>
  <c r="A1026" i="4"/>
  <c r="D1025" i="4"/>
  <c r="C1025" i="4"/>
  <c r="B1025" i="4"/>
  <c r="A1025" i="4"/>
  <c r="D1024" i="4"/>
  <c r="C1024" i="4"/>
  <c r="B1024" i="4"/>
  <c r="A1024" i="4"/>
  <c r="D1023" i="4"/>
  <c r="C1023" i="4"/>
  <c r="B1023" i="4"/>
  <c r="A1023" i="4"/>
  <c r="D1022" i="4"/>
  <c r="C1022" i="4"/>
  <c r="B1022" i="4"/>
  <c r="A1022" i="4"/>
  <c r="D1021" i="4"/>
  <c r="C1021" i="4"/>
  <c r="B1021" i="4"/>
  <c r="A1021" i="4"/>
  <c r="D1020" i="4"/>
  <c r="C1020" i="4"/>
  <c r="B1020" i="4"/>
  <c r="A1020" i="4"/>
  <c r="D1019" i="4"/>
  <c r="C1019" i="4"/>
  <c r="B1019" i="4"/>
  <c r="A1019" i="4"/>
  <c r="D1018" i="4"/>
  <c r="C1018" i="4"/>
  <c r="B1018" i="4"/>
  <c r="A1018" i="4"/>
  <c r="D1017" i="4"/>
  <c r="C1017" i="4"/>
  <c r="B1017" i="4"/>
  <c r="A1017" i="4"/>
  <c r="D1016" i="4"/>
  <c r="C1016" i="4"/>
  <c r="B1016" i="4"/>
  <c r="A1016" i="4"/>
  <c r="D1015" i="4"/>
  <c r="C1015" i="4"/>
  <c r="B1015" i="4"/>
  <c r="A1015" i="4"/>
  <c r="D1014" i="4"/>
  <c r="C1014" i="4"/>
  <c r="B1014" i="4"/>
  <c r="A1014" i="4"/>
  <c r="D1013" i="4"/>
  <c r="C1013" i="4"/>
  <c r="B1013" i="4"/>
  <c r="A1013" i="4"/>
  <c r="D1012" i="4"/>
  <c r="C1012" i="4"/>
  <c r="B1012" i="4"/>
  <c r="A1012" i="4"/>
  <c r="D1011" i="4"/>
  <c r="C1011" i="4"/>
  <c r="B1011" i="4"/>
  <c r="A1011" i="4"/>
  <c r="D1010" i="4"/>
  <c r="C1010" i="4"/>
  <c r="B1010" i="4"/>
  <c r="A1010" i="4"/>
  <c r="D1009" i="4"/>
  <c r="C1009" i="4"/>
  <c r="B1009" i="4"/>
  <c r="A1009" i="4"/>
  <c r="D1008" i="4"/>
  <c r="C1008" i="4"/>
  <c r="B1008" i="4"/>
  <c r="A1008" i="4"/>
  <c r="D1007" i="4"/>
  <c r="C1007" i="4"/>
  <c r="B1007" i="4"/>
  <c r="A1007" i="4"/>
  <c r="D1006" i="4"/>
  <c r="C1006" i="4"/>
  <c r="B1006" i="4"/>
  <c r="A1006" i="4"/>
  <c r="D1005" i="4"/>
  <c r="C1005" i="4"/>
  <c r="B1005" i="4"/>
  <c r="A1005" i="4"/>
  <c r="D1004" i="4"/>
  <c r="C1004" i="4"/>
  <c r="B1004" i="4"/>
  <c r="A1004" i="4"/>
  <c r="D1003" i="4"/>
  <c r="C1003" i="4"/>
  <c r="B1003" i="4"/>
  <c r="A1003" i="4"/>
  <c r="D1002" i="4"/>
  <c r="C1002" i="4"/>
  <c r="B1002" i="4"/>
  <c r="A1002" i="4"/>
  <c r="D1001" i="4"/>
  <c r="C1001" i="4"/>
  <c r="B1001" i="4"/>
  <c r="A1001" i="4"/>
  <c r="D1000" i="4"/>
  <c r="C1000" i="4"/>
  <c r="B1000" i="4"/>
  <c r="A1000" i="4"/>
  <c r="D999" i="4"/>
  <c r="C999" i="4"/>
  <c r="B999" i="4"/>
  <c r="A999" i="4"/>
  <c r="D998" i="4"/>
  <c r="C998" i="4"/>
  <c r="B998" i="4"/>
  <c r="A998" i="4"/>
  <c r="D997" i="4"/>
  <c r="C997" i="4"/>
  <c r="B997" i="4"/>
  <c r="A997" i="4"/>
  <c r="D996" i="4"/>
  <c r="C996" i="4"/>
  <c r="B996" i="4"/>
  <c r="A996" i="4"/>
  <c r="D995" i="4"/>
  <c r="C995" i="4"/>
  <c r="B995" i="4"/>
  <c r="A995" i="4"/>
  <c r="D994" i="4"/>
  <c r="C994" i="4"/>
  <c r="B994" i="4"/>
  <c r="A994" i="4"/>
  <c r="D993" i="4"/>
  <c r="C993" i="4"/>
  <c r="B993" i="4"/>
  <c r="A993" i="4"/>
  <c r="D992" i="4"/>
  <c r="C992" i="4"/>
  <c r="B992" i="4"/>
  <c r="A992" i="4"/>
  <c r="D991" i="4"/>
  <c r="C991" i="4"/>
  <c r="B991" i="4"/>
  <c r="A991" i="4"/>
  <c r="D990" i="4"/>
  <c r="C990" i="4"/>
  <c r="B990" i="4"/>
  <c r="A990" i="4"/>
  <c r="D989" i="4"/>
  <c r="C989" i="4"/>
  <c r="B989" i="4"/>
  <c r="A989" i="4"/>
  <c r="D988" i="4"/>
  <c r="C988" i="4"/>
  <c r="B988" i="4"/>
  <c r="A988" i="4"/>
  <c r="D987" i="4"/>
  <c r="C987" i="4"/>
  <c r="B987" i="4"/>
  <c r="A987" i="4"/>
  <c r="D986" i="4"/>
  <c r="C986" i="4"/>
  <c r="B986" i="4"/>
  <c r="A986" i="4"/>
  <c r="D985" i="4"/>
  <c r="C985" i="4"/>
  <c r="B985" i="4"/>
  <c r="A985" i="4"/>
  <c r="D984" i="4"/>
  <c r="C984" i="4"/>
  <c r="B984" i="4"/>
  <c r="A984" i="4"/>
  <c r="D983" i="4"/>
  <c r="C983" i="4"/>
  <c r="B983" i="4"/>
  <c r="A983" i="4"/>
  <c r="D982" i="4"/>
  <c r="C982" i="4"/>
  <c r="B982" i="4"/>
  <c r="A982" i="4"/>
  <c r="D981" i="4"/>
  <c r="C981" i="4"/>
  <c r="B981" i="4"/>
  <c r="A981" i="4"/>
  <c r="D980" i="4"/>
  <c r="C980" i="4"/>
  <c r="B980" i="4"/>
  <c r="A980" i="4"/>
  <c r="D979" i="4"/>
  <c r="C979" i="4"/>
  <c r="B979" i="4"/>
  <c r="A979" i="4"/>
  <c r="D978" i="4"/>
  <c r="C978" i="4"/>
  <c r="B978" i="4"/>
  <c r="A978" i="4"/>
  <c r="D977" i="4"/>
  <c r="C977" i="4"/>
  <c r="B977" i="4"/>
  <c r="A977" i="4"/>
  <c r="D976" i="4"/>
  <c r="C976" i="4"/>
  <c r="B976" i="4"/>
  <c r="A976" i="4"/>
  <c r="D975" i="4"/>
  <c r="C975" i="4"/>
  <c r="B975" i="4"/>
  <c r="A975" i="4"/>
  <c r="D974" i="4"/>
  <c r="C974" i="4"/>
  <c r="B974" i="4"/>
  <c r="A974" i="4"/>
  <c r="D973" i="4"/>
  <c r="C973" i="4"/>
  <c r="B973" i="4"/>
  <c r="A973" i="4"/>
  <c r="D972" i="4"/>
  <c r="C972" i="4"/>
  <c r="B972" i="4"/>
  <c r="A972" i="4"/>
  <c r="D971" i="4"/>
  <c r="C971" i="4"/>
  <c r="B971" i="4"/>
  <c r="A971" i="4"/>
  <c r="D970" i="4"/>
  <c r="C970" i="4"/>
  <c r="B970" i="4"/>
  <c r="A970" i="4"/>
  <c r="D969" i="4"/>
  <c r="C969" i="4"/>
  <c r="B969" i="4"/>
  <c r="A969" i="4"/>
  <c r="D968" i="4"/>
  <c r="C968" i="4"/>
  <c r="B968" i="4"/>
  <c r="A968" i="4"/>
  <c r="D967" i="4"/>
  <c r="C967" i="4"/>
  <c r="B967" i="4"/>
  <c r="A967" i="4"/>
  <c r="D966" i="4"/>
  <c r="C966" i="4"/>
  <c r="B966" i="4"/>
  <c r="A966" i="4"/>
  <c r="D965" i="4"/>
  <c r="C965" i="4"/>
  <c r="B965" i="4"/>
  <c r="A965" i="4"/>
  <c r="D964" i="4"/>
  <c r="C964" i="4"/>
  <c r="B964" i="4"/>
  <c r="A964" i="4"/>
  <c r="D963" i="4"/>
  <c r="C963" i="4"/>
  <c r="B963" i="4"/>
  <c r="A963" i="4"/>
  <c r="D962" i="4"/>
  <c r="C962" i="4"/>
  <c r="B962" i="4"/>
  <c r="A962" i="4"/>
  <c r="D961" i="4"/>
  <c r="C961" i="4"/>
  <c r="B961" i="4"/>
  <c r="A961" i="4"/>
  <c r="D960" i="4"/>
  <c r="C960" i="4"/>
  <c r="B960" i="4"/>
  <c r="A960" i="4"/>
  <c r="D959" i="4"/>
  <c r="C959" i="4"/>
  <c r="B959" i="4"/>
  <c r="A959" i="4"/>
  <c r="D958" i="4"/>
  <c r="C958" i="4"/>
  <c r="B958" i="4"/>
  <c r="A958" i="4"/>
  <c r="D957" i="4"/>
  <c r="C957" i="4"/>
  <c r="B957" i="4"/>
  <c r="A957" i="4"/>
  <c r="D956" i="4"/>
  <c r="C956" i="4"/>
  <c r="B956" i="4"/>
  <c r="A956" i="4"/>
  <c r="D955" i="4"/>
  <c r="C955" i="4"/>
  <c r="B955" i="4"/>
  <c r="A955" i="4"/>
  <c r="D954" i="4"/>
  <c r="C954" i="4"/>
  <c r="B954" i="4"/>
  <c r="A954" i="4"/>
  <c r="D953" i="4"/>
  <c r="C953" i="4"/>
  <c r="B953" i="4"/>
  <c r="A953" i="4"/>
  <c r="D952" i="4"/>
  <c r="C952" i="4"/>
  <c r="B952" i="4"/>
  <c r="A952" i="4"/>
  <c r="D951" i="4"/>
  <c r="C951" i="4"/>
  <c r="B951" i="4"/>
  <c r="A951" i="4"/>
  <c r="D950" i="4"/>
  <c r="C950" i="4"/>
  <c r="B950" i="4"/>
  <c r="A950" i="4"/>
  <c r="D949" i="4"/>
  <c r="C949" i="4"/>
  <c r="B949" i="4"/>
  <c r="A949" i="4"/>
  <c r="D948" i="4"/>
  <c r="C948" i="4"/>
  <c r="B948" i="4"/>
  <c r="A948" i="4"/>
  <c r="D947" i="4"/>
  <c r="C947" i="4"/>
  <c r="B947" i="4"/>
  <c r="A947" i="4"/>
  <c r="D946" i="4"/>
  <c r="C946" i="4"/>
  <c r="B946" i="4"/>
  <c r="A946" i="4"/>
  <c r="D945" i="4"/>
  <c r="C945" i="4"/>
  <c r="B945" i="4"/>
  <c r="A945" i="4"/>
  <c r="D944" i="4"/>
  <c r="C944" i="4"/>
  <c r="B944" i="4"/>
  <c r="A944" i="4"/>
  <c r="D943" i="4"/>
  <c r="C943" i="4"/>
  <c r="B943" i="4"/>
  <c r="A943" i="4"/>
  <c r="D942" i="4"/>
  <c r="C942" i="4"/>
  <c r="B942" i="4"/>
  <c r="A942" i="4"/>
  <c r="D941" i="4"/>
  <c r="C941" i="4"/>
  <c r="B941" i="4"/>
  <c r="A941" i="4"/>
  <c r="D940" i="4"/>
  <c r="C940" i="4"/>
  <c r="B940" i="4"/>
  <c r="A940" i="4"/>
  <c r="D939" i="4"/>
  <c r="C939" i="4"/>
  <c r="B939" i="4"/>
  <c r="A939" i="4"/>
  <c r="D938" i="4"/>
  <c r="C938" i="4"/>
  <c r="B938" i="4"/>
  <c r="A938" i="4"/>
  <c r="D937" i="4"/>
  <c r="C937" i="4"/>
  <c r="B937" i="4"/>
  <c r="A937" i="4"/>
  <c r="D936" i="4"/>
  <c r="C936" i="4"/>
  <c r="B936" i="4"/>
  <c r="A936" i="4"/>
  <c r="D935" i="4"/>
  <c r="C935" i="4"/>
  <c r="B935" i="4"/>
  <c r="A935" i="4"/>
  <c r="D934" i="4"/>
  <c r="C934" i="4"/>
  <c r="B934" i="4"/>
  <c r="A934" i="4"/>
  <c r="D933" i="4"/>
  <c r="C933" i="4"/>
  <c r="B933" i="4"/>
  <c r="A933" i="4"/>
  <c r="D932" i="4"/>
  <c r="C932" i="4"/>
  <c r="B932" i="4"/>
  <c r="A932" i="4"/>
  <c r="D931" i="4"/>
  <c r="C931" i="4"/>
  <c r="B931" i="4"/>
  <c r="A931" i="4"/>
  <c r="D930" i="4"/>
  <c r="C930" i="4"/>
  <c r="B930" i="4"/>
  <c r="A930" i="4"/>
  <c r="D929" i="4"/>
  <c r="C929" i="4"/>
  <c r="B929" i="4"/>
  <c r="A929" i="4"/>
  <c r="D928" i="4"/>
  <c r="C928" i="4"/>
  <c r="B928" i="4"/>
  <c r="A928" i="4"/>
  <c r="D927" i="4"/>
  <c r="C927" i="4"/>
  <c r="B927" i="4"/>
  <c r="A927" i="4"/>
  <c r="D926" i="4"/>
  <c r="C926" i="4"/>
  <c r="B926" i="4"/>
  <c r="A926" i="4"/>
  <c r="D925" i="4"/>
  <c r="C925" i="4"/>
  <c r="B925" i="4"/>
  <c r="A925" i="4"/>
  <c r="D924" i="4"/>
  <c r="C924" i="4"/>
  <c r="B924" i="4"/>
  <c r="A924" i="4"/>
  <c r="D923" i="4"/>
  <c r="C923" i="4"/>
  <c r="B923" i="4"/>
  <c r="A923" i="4"/>
  <c r="D922" i="4"/>
  <c r="C922" i="4"/>
  <c r="B922" i="4"/>
  <c r="A922" i="4"/>
  <c r="D921" i="4"/>
  <c r="C921" i="4"/>
  <c r="B921" i="4"/>
  <c r="A921" i="4"/>
  <c r="D920" i="4"/>
  <c r="C920" i="4"/>
  <c r="B920" i="4"/>
  <c r="A920" i="4"/>
  <c r="D919" i="4"/>
  <c r="C919" i="4"/>
  <c r="B919" i="4"/>
  <c r="A919" i="4"/>
  <c r="D918" i="4"/>
  <c r="C918" i="4"/>
  <c r="B918" i="4"/>
  <c r="A918" i="4"/>
  <c r="D917" i="4"/>
  <c r="C917" i="4"/>
  <c r="B917" i="4"/>
  <c r="A917" i="4"/>
  <c r="D916" i="4"/>
  <c r="C916" i="4"/>
  <c r="B916" i="4"/>
  <c r="A916" i="4"/>
  <c r="D915" i="4"/>
  <c r="C915" i="4"/>
  <c r="B915" i="4"/>
  <c r="A915" i="4"/>
  <c r="D914" i="4"/>
  <c r="C914" i="4"/>
  <c r="B914" i="4"/>
  <c r="A914" i="4"/>
  <c r="D913" i="4"/>
  <c r="C913" i="4"/>
  <c r="B913" i="4"/>
  <c r="A913" i="4"/>
  <c r="D912" i="4"/>
  <c r="C912" i="4"/>
  <c r="B912" i="4"/>
  <c r="A912" i="4"/>
  <c r="D911" i="4"/>
  <c r="C911" i="4"/>
  <c r="B911" i="4"/>
  <c r="A911" i="4"/>
  <c r="D910" i="4"/>
  <c r="C910" i="4"/>
  <c r="B910" i="4"/>
  <c r="A910" i="4"/>
  <c r="D909" i="4"/>
  <c r="C909" i="4"/>
  <c r="B909" i="4"/>
  <c r="A909" i="4"/>
  <c r="D908" i="4"/>
  <c r="C908" i="4"/>
  <c r="B908" i="4"/>
  <c r="A908" i="4"/>
  <c r="D907" i="4"/>
  <c r="C907" i="4"/>
  <c r="B907" i="4"/>
  <c r="A907" i="4"/>
  <c r="D906" i="4"/>
  <c r="C906" i="4"/>
  <c r="B906" i="4"/>
  <c r="A906" i="4"/>
  <c r="D905" i="4"/>
  <c r="C905" i="4"/>
  <c r="B905" i="4"/>
  <c r="A905" i="4"/>
  <c r="D904" i="4"/>
  <c r="C904" i="4"/>
  <c r="B904" i="4"/>
  <c r="A904" i="4"/>
  <c r="D903" i="4"/>
  <c r="C903" i="4"/>
  <c r="B903" i="4"/>
  <c r="A903" i="4"/>
  <c r="D902" i="4"/>
  <c r="C902" i="4"/>
  <c r="B902" i="4"/>
  <c r="A902" i="4"/>
  <c r="D901" i="4"/>
  <c r="C901" i="4"/>
  <c r="B901" i="4"/>
  <c r="A901" i="4"/>
  <c r="D900" i="4"/>
  <c r="C900" i="4"/>
  <c r="B900" i="4"/>
  <c r="A900" i="4"/>
  <c r="D899" i="4"/>
  <c r="C899" i="4"/>
  <c r="B899" i="4"/>
  <c r="A899" i="4"/>
  <c r="D898" i="4"/>
  <c r="C898" i="4"/>
  <c r="B898" i="4"/>
  <c r="A898" i="4"/>
  <c r="D897" i="4"/>
  <c r="C897" i="4"/>
  <c r="B897" i="4"/>
  <c r="A897" i="4"/>
  <c r="D896" i="4"/>
  <c r="C896" i="4"/>
  <c r="B896" i="4"/>
  <c r="A896" i="4"/>
  <c r="D895" i="4"/>
  <c r="C895" i="4"/>
  <c r="B895" i="4"/>
  <c r="A895" i="4"/>
  <c r="D894" i="4"/>
  <c r="C894" i="4"/>
  <c r="B894" i="4"/>
  <c r="A894" i="4"/>
  <c r="D893" i="4"/>
  <c r="C893" i="4"/>
  <c r="B893" i="4"/>
  <c r="A893" i="4"/>
  <c r="D892" i="4"/>
  <c r="C892" i="4"/>
  <c r="B892" i="4"/>
  <c r="A892" i="4"/>
  <c r="D891" i="4"/>
  <c r="C891" i="4"/>
  <c r="B891" i="4"/>
  <c r="A891" i="4"/>
  <c r="D890" i="4"/>
  <c r="C890" i="4"/>
  <c r="B890" i="4"/>
  <c r="A890" i="4"/>
  <c r="D889" i="4"/>
  <c r="C889" i="4"/>
  <c r="B889" i="4"/>
  <c r="A889" i="4"/>
  <c r="D888" i="4"/>
  <c r="C888" i="4"/>
  <c r="B888" i="4"/>
  <c r="A888" i="4"/>
  <c r="D887" i="4"/>
  <c r="C887" i="4"/>
  <c r="B887" i="4"/>
  <c r="A887" i="4"/>
  <c r="D886" i="4"/>
  <c r="C886" i="4"/>
  <c r="B886" i="4"/>
  <c r="A886" i="4"/>
  <c r="D885" i="4"/>
  <c r="C885" i="4"/>
  <c r="B885" i="4"/>
  <c r="A885" i="4"/>
  <c r="D884" i="4"/>
  <c r="C884" i="4"/>
  <c r="B884" i="4"/>
  <c r="A884" i="4"/>
  <c r="D883" i="4"/>
  <c r="C883" i="4"/>
  <c r="B883" i="4"/>
  <c r="A883" i="4"/>
  <c r="D882" i="4"/>
  <c r="C882" i="4"/>
  <c r="B882" i="4"/>
  <c r="A882" i="4"/>
  <c r="D881" i="4"/>
  <c r="C881" i="4"/>
  <c r="B881" i="4"/>
  <c r="A881" i="4"/>
  <c r="D880" i="4"/>
  <c r="C880" i="4"/>
  <c r="B880" i="4"/>
  <c r="A880" i="4"/>
  <c r="D879" i="4"/>
  <c r="C879" i="4"/>
  <c r="B879" i="4"/>
  <c r="A879" i="4"/>
  <c r="D878" i="4"/>
  <c r="C878" i="4"/>
  <c r="B878" i="4"/>
  <c r="A878" i="4"/>
  <c r="D877" i="4"/>
  <c r="C877" i="4"/>
  <c r="B877" i="4"/>
  <c r="A877" i="4"/>
  <c r="D876" i="4"/>
  <c r="C876" i="4"/>
  <c r="B876" i="4"/>
  <c r="A876" i="4"/>
  <c r="D875" i="4"/>
  <c r="C875" i="4"/>
  <c r="B875" i="4"/>
  <c r="A875" i="4"/>
  <c r="D874" i="4"/>
  <c r="C874" i="4"/>
  <c r="B874" i="4"/>
  <c r="A874" i="4"/>
  <c r="D873" i="4"/>
  <c r="C873" i="4"/>
  <c r="B873" i="4"/>
  <c r="A873" i="4"/>
  <c r="D872" i="4"/>
  <c r="C872" i="4"/>
  <c r="B872" i="4"/>
  <c r="A872" i="4"/>
  <c r="D871" i="4"/>
  <c r="C871" i="4"/>
  <c r="B871" i="4"/>
  <c r="A871" i="4"/>
  <c r="D870" i="4"/>
  <c r="C870" i="4"/>
  <c r="B870" i="4"/>
  <c r="A870" i="4"/>
  <c r="D869" i="4"/>
  <c r="C869" i="4"/>
  <c r="B869" i="4"/>
  <c r="A869" i="4"/>
  <c r="D868" i="4"/>
  <c r="C868" i="4"/>
  <c r="B868" i="4"/>
  <c r="A868" i="4"/>
  <c r="D867" i="4"/>
  <c r="C867" i="4"/>
  <c r="B867" i="4"/>
  <c r="A867" i="4"/>
  <c r="D866" i="4"/>
  <c r="C866" i="4"/>
  <c r="B866" i="4"/>
  <c r="A866" i="4"/>
  <c r="D865" i="4"/>
  <c r="C865" i="4"/>
  <c r="B865" i="4"/>
  <c r="A865" i="4"/>
  <c r="D864" i="4"/>
  <c r="C864" i="4"/>
  <c r="B864" i="4"/>
  <c r="A864" i="4"/>
  <c r="D863" i="4"/>
  <c r="C863" i="4"/>
  <c r="B863" i="4"/>
  <c r="A863" i="4"/>
  <c r="D862" i="4"/>
  <c r="C862" i="4"/>
  <c r="B862" i="4"/>
  <c r="A862" i="4"/>
  <c r="D861" i="4"/>
  <c r="C861" i="4"/>
  <c r="B861" i="4"/>
  <c r="A861" i="4"/>
  <c r="D860" i="4"/>
  <c r="C860" i="4"/>
  <c r="B860" i="4"/>
  <c r="A860" i="4"/>
  <c r="D859" i="4"/>
  <c r="C859" i="4"/>
  <c r="B859" i="4"/>
  <c r="A859" i="4"/>
  <c r="D858" i="4"/>
  <c r="C858" i="4"/>
  <c r="B858" i="4"/>
  <c r="A858" i="4"/>
  <c r="D857" i="4"/>
  <c r="C857" i="4"/>
  <c r="B857" i="4"/>
  <c r="A857" i="4"/>
  <c r="D856" i="4"/>
  <c r="C856" i="4"/>
  <c r="B856" i="4"/>
  <c r="A856" i="4"/>
  <c r="D855" i="4"/>
  <c r="C855" i="4"/>
  <c r="B855" i="4"/>
  <c r="A855" i="4"/>
  <c r="D854" i="4"/>
  <c r="C854" i="4"/>
  <c r="B854" i="4"/>
  <c r="A854" i="4"/>
  <c r="D853" i="4"/>
  <c r="C853" i="4"/>
  <c r="B853" i="4"/>
  <c r="A853" i="4"/>
  <c r="D852" i="4"/>
  <c r="C852" i="4"/>
  <c r="B852" i="4"/>
  <c r="A852" i="4"/>
  <c r="D851" i="4"/>
  <c r="C851" i="4"/>
  <c r="B851" i="4"/>
  <c r="A851" i="4"/>
  <c r="D850" i="4"/>
  <c r="C850" i="4"/>
  <c r="B850" i="4"/>
  <c r="A850" i="4"/>
  <c r="D849" i="4"/>
  <c r="C849" i="4"/>
  <c r="B849" i="4"/>
  <c r="A849" i="4"/>
  <c r="D848" i="4"/>
  <c r="C848" i="4"/>
  <c r="B848" i="4"/>
  <c r="A848" i="4"/>
  <c r="D847" i="4"/>
  <c r="C847" i="4"/>
  <c r="B847" i="4"/>
  <c r="A847" i="4"/>
  <c r="D846" i="4"/>
  <c r="C846" i="4"/>
  <c r="B846" i="4"/>
  <c r="A846" i="4"/>
  <c r="D845" i="4"/>
  <c r="C845" i="4"/>
  <c r="B845" i="4"/>
  <c r="A845" i="4"/>
  <c r="D844" i="4"/>
  <c r="C844" i="4"/>
  <c r="B844" i="4"/>
  <c r="A844" i="4"/>
  <c r="D843" i="4"/>
  <c r="C843" i="4"/>
  <c r="B843" i="4"/>
  <c r="A843" i="4"/>
  <c r="D842" i="4"/>
  <c r="C842" i="4"/>
  <c r="B842" i="4"/>
  <c r="A842" i="4"/>
  <c r="D841" i="4"/>
  <c r="C841" i="4"/>
  <c r="B841" i="4"/>
  <c r="A841" i="4"/>
  <c r="D840" i="4"/>
  <c r="C840" i="4"/>
  <c r="B840" i="4"/>
  <c r="A840" i="4"/>
  <c r="D839" i="4"/>
  <c r="C839" i="4"/>
  <c r="B839" i="4"/>
  <c r="A839" i="4"/>
  <c r="D838" i="4"/>
  <c r="C838" i="4"/>
  <c r="B838" i="4"/>
  <c r="A838" i="4"/>
  <c r="D837" i="4"/>
  <c r="C837" i="4"/>
  <c r="B837" i="4"/>
  <c r="A837" i="4"/>
  <c r="D836" i="4"/>
  <c r="C836" i="4"/>
  <c r="B836" i="4"/>
  <c r="A836" i="4"/>
  <c r="D835" i="4"/>
  <c r="C835" i="4"/>
  <c r="B835" i="4"/>
  <c r="A835" i="4"/>
  <c r="D834" i="4"/>
  <c r="C834" i="4"/>
  <c r="B834" i="4"/>
  <c r="A834" i="4"/>
  <c r="D833" i="4"/>
  <c r="C833" i="4"/>
  <c r="B833" i="4"/>
  <c r="A833" i="4"/>
  <c r="D832" i="4"/>
  <c r="C832" i="4"/>
  <c r="B832" i="4"/>
  <c r="A832" i="4"/>
  <c r="D831" i="4"/>
  <c r="C831" i="4"/>
  <c r="B831" i="4"/>
  <c r="A831" i="4"/>
  <c r="D830" i="4"/>
  <c r="C830" i="4"/>
  <c r="B830" i="4"/>
  <c r="A830" i="4"/>
  <c r="D829" i="4"/>
  <c r="C829" i="4"/>
  <c r="B829" i="4"/>
  <c r="A829" i="4"/>
  <c r="D828" i="4"/>
  <c r="C828" i="4"/>
  <c r="B828" i="4"/>
  <c r="A828" i="4"/>
  <c r="D827" i="4"/>
  <c r="C827" i="4"/>
  <c r="B827" i="4"/>
  <c r="A827" i="4"/>
  <c r="D826" i="4"/>
  <c r="C826" i="4"/>
  <c r="B826" i="4"/>
  <c r="A826" i="4"/>
  <c r="D825" i="4"/>
  <c r="C825" i="4"/>
  <c r="B825" i="4"/>
  <c r="A825" i="4"/>
  <c r="D824" i="4"/>
  <c r="C824" i="4"/>
  <c r="B824" i="4"/>
  <c r="A824" i="4"/>
  <c r="D823" i="4"/>
  <c r="C823" i="4"/>
  <c r="B823" i="4"/>
  <c r="A823" i="4"/>
  <c r="D822" i="4"/>
  <c r="C822" i="4"/>
  <c r="B822" i="4"/>
  <c r="A822" i="4"/>
  <c r="D821" i="4"/>
  <c r="C821" i="4"/>
  <c r="B821" i="4"/>
  <c r="A821" i="4"/>
  <c r="D820" i="4"/>
  <c r="C820" i="4"/>
  <c r="B820" i="4"/>
  <c r="A820" i="4"/>
  <c r="D819" i="4"/>
  <c r="C819" i="4"/>
  <c r="B819" i="4"/>
  <c r="A819" i="4"/>
  <c r="D818" i="4"/>
  <c r="C818" i="4"/>
  <c r="B818" i="4"/>
  <c r="A818" i="4"/>
  <c r="D817" i="4"/>
  <c r="C817" i="4"/>
  <c r="B817" i="4"/>
  <c r="A817" i="4"/>
  <c r="D816" i="4"/>
  <c r="C816" i="4"/>
  <c r="B816" i="4"/>
  <c r="A816" i="4"/>
  <c r="D815" i="4"/>
  <c r="C815" i="4"/>
  <c r="B815" i="4"/>
  <c r="A815" i="4"/>
  <c r="D814" i="4"/>
  <c r="C814" i="4"/>
  <c r="B814" i="4"/>
  <c r="A814" i="4"/>
  <c r="D813" i="4"/>
  <c r="C813" i="4"/>
  <c r="B813" i="4"/>
  <c r="A813" i="4"/>
  <c r="D812" i="4"/>
  <c r="C812" i="4"/>
  <c r="B812" i="4"/>
  <c r="A812" i="4"/>
  <c r="D811" i="4"/>
  <c r="C811" i="4"/>
  <c r="B811" i="4"/>
  <c r="A811" i="4"/>
  <c r="D810" i="4"/>
  <c r="C810" i="4"/>
  <c r="B810" i="4"/>
  <c r="A810" i="4"/>
  <c r="D809" i="4"/>
  <c r="C809" i="4"/>
  <c r="B809" i="4"/>
  <c r="A809" i="4"/>
  <c r="D808" i="4"/>
  <c r="C808" i="4"/>
  <c r="B808" i="4"/>
  <c r="A808" i="4"/>
  <c r="D807" i="4"/>
  <c r="C807" i="4"/>
  <c r="B807" i="4"/>
  <c r="A807" i="4"/>
  <c r="D806" i="4"/>
  <c r="C806" i="4"/>
  <c r="B806" i="4"/>
  <c r="A806" i="4"/>
  <c r="D805" i="4"/>
  <c r="C805" i="4"/>
  <c r="B805" i="4"/>
  <c r="A805" i="4"/>
  <c r="D804" i="4"/>
  <c r="C804" i="4"/>
  <c r="B804" i="4"/>
  <c r="A804" i="4"/>
  <c r="D803" i="4"/>
  <c r="C803" i="4"/>
  <c r="B803" i="4"/>
  <c r="A803" i="4"/>
  <c r="D802" i="4"/>
  <c r="C802" i="4"/>
  <c r="B802" i="4"/>
  <c r="A802" i="4"/>
  <c r="D801" i="4"/>
  <c r="C801" i="4"/>
  <c r="B801" i="4"/>
  <c r="A801" i="4"/>
  <c r="D800" i="4"/>
  <c r="C800" i="4"/>
  <c r="B800" i="4"/>
  <c r="A800" i="4"/>
  <c r="D799" i="4"/>
  <c r="C799" i="4"/>
  <c r="B799" i="4"/>
  <c r="A799" i="4"/>
  <c r="D798" i="4"/>
  <c r="C798" i="4"/>
  <c r="B798" i="4"/>
  <c r="A798" i="4"/>
  <c r="D797" i="4"/>
  <c r="C797" i="4"/>
  <c r="B797" i="4"/>
  <c r="A797" i="4"/>
  <c r="D796" i="4"/>
  <c r="C796" i="4"/>
  <c r="B796" i="4"/>
  <c r="A796" i="4"/>
  <c r="D795" i="4"/>
  <c r="C795" i="4"/>
  <c r="B795" i="4"/>
  <c r="A795" i="4"/>
  <c r="D794" i="4"/>
  <c r="C794" i="4"/>
  <c r="B794" i="4"/>
  <c r="A794" i="4"/>
  <c r="D793" i="4"/>
  <c r="C793" i="4"/>
  <c r="B793" i="4"/>
  <c r="A793" i="4"/>
  <c r="D792" i="4"/>
  <c r="C792" i="4"/>
  <c r="B792" i="4"/>
  <c r="A792" i="4"/>
  <c r="D791" i="4"/>
  <c r="C791" i="4"/>
  <c r="B791" i="4"/>
  <c r="A791" i="4"/>
  <c r="D790" i="4"/>
  <c r="C790" i="4"/>
  <c r="B790" i="4"/>
  <c r="A790" i="4"/>
  <c r="D789" i="4"/>
  <c r="C789" i="4"/>
  <c r="B789" i="4"/>
  <c r="A789" i="4"/>
  <c r="D788" i="4"/>
  <c r="C788" i="4"/>
  <c r="B788" i="4"/>
  <c r="A788" i="4"/>
  <c r="D787" i="4"/>
  <c r="C787" i="4"/>
  <c r="B787" i="4"/>
  <c r="A787" i="4"/>
  <c r="D786" i="4"/>
  <c r="C786" i="4"/>
  <c r="B786" i="4"/>
  <c r="A786" i="4"/>
  <c r="D785" i="4"/>
  <c r="C785" i="4"/>
  <c r="B785" i="4"/>
  <c r="A785" i="4"/>
  <c r="D784" i="4"/>
  <c r="C784" i="4"/>
  <c r="B784" i="4"/>
  <c r="A784" i="4"/>
  <c r="D783" i="4"/>
  <c r="C783" i="4"/>
  <c r="B783" i="4"/>
  <c r="A783" i="4"/>
  <c r="D782" i="4"/>
  <c r="C782" i="4"/>
  <c r="B782" i="4"/>
  <c r="A782" i="4"/>
  <c r="D781" i="4"/>
  <c r="C781" i="4"/>
  <c r="B781" i="4"/>
  <c r="A781" i="4"/>
  <c r="D780" i="4"/>
  <c r="C780" i="4"/>
  <c r="B780" i="4"/>
  <c r="A780" i="4"/>
  <c r="D779" i="4"/>
  <c r="C779" i="4"/>
  <c r="B779" i="4"/>
  <c r="A779" i="4"/>
  <c r="D778" i="4"/>
  <c r="C778" i="4"/>
  <c r="B778" i="4"/>
  <c r="A778" i="4"/>
  <c r="D777" i="4"/>
  <c r="C777" i="4"/>
  <c r="B777" i="4"/>
  <c r="A777" i="4"/>
  <c r="D776" i="4"/>
  <c r="C776" i="4"/>
  <c r="B776" i="4"/>
  <c r="A776" i="4"/>
  <c r="D775" i="4"/>
  <c r="C775" i="4"/>
  <c r="B775" i="4"/>
  <c r="A775" i="4"/>
  <c r="D774" i="4"/>
  <c r="C774" i="4"/>
  <c r="B774" i="4"/>
  <c r="A774" i="4"/>
  <c r="D773" i="4"/>
  <c r="C773" i="4"/>
  <c r="B773" i="4"/>
  <c r="A773" i="4"/>
  <c r="D772" i="4"/>
  <c r="C772" i="4"/>
  <c r="B772" i="4"/>
  <c r="A772" i="4"/>
  <c r="D771" i="4"/>
  <c r="C771" i="4"/>
  <c r="B771" i="4"/>
  <c r="A771" i="4"/>
  <c r="D770" i="4"/>
  <c r="C770" i="4"/>
  <c r="B770" i="4"/>
  <c r="A770" i="4"/>
  <c r="D769" i="4"/>
  <c r="C769" i="4"/>
  <c r="B769" i="4"/>
  <c r="A769" i="4"/>
  <c r="D768" i="4"/>
  <c r="C768" i="4"/>
  <c r="B768" i="4"/>
  <c r="A768" i="4"/>
  <c r="D767" i="4"/>
  <c r="C767" i="4"/>
  <c r="B767" i="4"/>
  <c r="A767" i="4"/>
  <c r="D766" i="4"/>
  <c r="C766" i="4"/>
  <c r="B766" i="4"/>
  <c r="A766" i="4"/>
  <c r="D765" i="4"/>
  <c r="C765" i="4"/>
  <c r="B765" i="4"/>
  <c r="A765" i="4"/>
  <c r="D764" i="4"/>
  <c r="C764" i="4"/>
  <c r="B764" i="4"/>
  <c r="A764" i="4"/>
  <c r="D763" i="4"/>
  <c r="C763" i="4"/>
  <c r="B763" i="4"/>
  <c r="A763" i="4"/>
  <c r="D762" i="4"/>
  <c r="C762" i="4"/>
  <c r="B762" i="4"/>
  <c r="A762" i="4"/>
  <c r="D761" i="4"/>
  <c r="C761" i="4"/>
  <c r="B761" i="4"/>
  <c r="A761" i="4"/>
  <c r="D760" i="4"/>
  <c r="C760" i="4"/>
  <c r="B760" i="4"/>
  <c r="A760" i="4"/>
  <c r="D759" i="4"/>
  <c r="C759" i="4"/>
  <c r="B759" i="4"/>
  <c r="A759" i="4"/>
  <c r="D758" i="4"/>
  <c r="C758" i="4"/>
  <c r="B758" i="4"/>
  <c r="A758" i="4"/>
  <c r="D757" i="4"/>
  <c r="C757" i="4"/>
  <c r="B757" i="4"/>
  <c r="A757" i="4"/>
  <c r="D756" i="4"/>
  <c r="C756" i="4"/>
  <c r="B756" i="4"/>
  <c r="A756" i="4"/>
  <c r="D755" i="4"/>
  <c r="C755" i="4"/>
  <c r="B755" i="4"/>
  <c r="A755" i="4"/>
  <c r="D754" i="4"/>
  <c r="C754" i="4"/>
  <c r="B754" i="4"/>
  <c r="A754" i="4"/>
  <c r="D753" i="4"/>
  <c r="C753" i="4"/>
  <c r="B753" i="4"/>
  <c r="A753" i="4"/>
  <c r="D752" i="4"/>
  <c r="C752" i="4"/>
  <c r="B752" i="4"/>
  <c r="A752" i="4"/>
  <c r="D751" i="4"/>
  <c r="C751" i="4"/>
  <c r="B751" i="4"/>
  <c r="A751" i="4"/>
  <c r="D750" i="4"/>
  <c r="C750" i="4"/>
  <c r="B750" i="4"/>
  <c r="A750" i="4"/>
  <c r="D749" i="4"/>
  <c r="C749" i="4"/>
  <c r="B749" i="4"/>
  <c r="A749" i="4"/>
  <c r="D748" i="4"/>
  <c r="C748" i="4"/>
  <c r="B748" i="4"/>
  <c r="A748" i="4"/>
  <c r="D747" i="4"/>
  <c r="C747" i="4"/>
  <c r="B747" i="4"/>
  <c r="A747" i="4"/>
  <c r="D746" i="4"/>
  <c r="C746" i="4"/>
  <c r="B746" i="4"/>
  <c r="A746" i="4"/>
  <c r="D745" i="4"/>
  <c r="C745" i="4"/>
  <c r="B745" i="4"/>
  <c r="A745" i="4"/>
  <c r="D744" i="4"/>
  <c r="C744" i="4"/>
  <c r="B744" i="4"/>
  <c r="A744" i="4"/>
  <c r="D743" i="4"/>
  <c r="C743" i="4"/>
  <c r="B743" i="4"/>
  <c r="A743" i="4"/>
  <c r="D742" i="4"/>
  <c r="C742" i="4"/>
  <c r="B742" i="4"/>
  <c r="A742" i="4"/>
  <c r="D741" i="4"/>
  <c r="C741" i="4"/>
  <c r="B741" i="4"/>
  <c r="A741" i="4"/>
  <c r="D740" i="4"/>
  <c r="C740" i="4"/>
  <c r="B740" i="4"/>
  <c r="A740" i="4"/>
  <c r="D739" i="4"/>
  <c r="C739" i="4"/>
  <c r="B739" i="4"/>
  <c r="A739" i="4"/>
  <c r="D738" i="4"/>
  <c r="C738" i="4"/>
  <c r="B738" i="4"/>
  <c r="A738" i="4"/>
  <c r="D737" i="4"/>
  <c r="C737" i="4"/>
  <c r="B737" i="4"/>
  <c r="A737" i="4"/>
  <c r="D736" i="4"/>
  <c r="C736" i="4"/>
  <c r="B736" i="4"/>
  <c r="A736" i="4"/>
  <c r="D735" i="4"/>
  <c r="C735" i="4"/>
  <c r="B735" i="4"/>
  <c r="A735" i="4"/>
  <c r="D734" i="4"/>
  <c r="C734" i="4"/>
  <c r="B734" i="4"/>
  <c r="A734" i="4"/>
  <c r="D733" i="4"/>
  <c r="C733" i="4"/>
  <c r="B733" i="4"/>
  <c r="A733" i="4"/>
  <c r="D732" i="4"/>
  <c r="C732" i="4"/>
  <c r="B732" i="4"/>
  <c r="A732" i="4"/>
  <c r="D731" i="4"/>
  <c r="C731" i="4"/>
  <c r="B731" i="4"/>
  <c r="A731" i="4"/>
  <c r="D730" i="4"/>
  <c r="C730" i="4"/>
  <c r="B730" i="4"/>
  <c r="A730" i="4"/>
  <c r="D729" i="4"/>
  <c r="C729" i="4"/>
  <c r="B729" i="4"/>
  <c r="A729" i="4"/>
  <c r="D728" i="4"/>
  <c r="C728" i="4"/>
  <c r="B728" i="4"/>
  <c r="A728" i="4"/>
  <c r="D727" i="4"/>
  <c r="C727" i="4"/>
  <c r="B727" i="4"/>
  <c r="A727" i="4"/>
  <c r="D726" i="4"/>
  <c r="C726" i="4"/>
  <c r="B726" i="4"/>
  <c r="A726" i="4"/>
  <c r="D725" i="4"/>
  <c r="C725" i="4"/>
  <c r="B725" i="4"/>
  <c r="A725" i="4"/>
  <c r="D724" i="4"/>
  <c r="C724" i="4"/>
  <c r="B724" i="4"/>
  <c r="A724" i="4"/>
  <c r="D723" i="4"/>
  <c r="C723" i="4"/>
  <c r="B723" i="4"/>
  <c r="A723" i="4"/>
  <c r="D722" i="4"/>
  <c r="C722" i="4"/>
  <c r="B722" i="4"/>
  <c r="A722" i="4"/>
  <c r="D721" i="4"/>
  <c r="C721" i="4"/>
  <c r="B721" i="4"/>
  <c r="A721" i="4"/>
  <c r="D720" i="4"/>
  <c r="C720" i="4"/>
  <c r="B720" i="4"/>
  <c r="A720" i="4"/>
  <c r="D719" i="4"/>
  <c r="C719" i="4"/>
  <c r="B719" i="4"/>
  <c r="A719" i="4"/>
  <c r="D718" i="4"/>
  <c r="C718" i="4"/>
  <c r="B718" i="4"/>
  <c r="A718" i="4"/>
  <c r="D717" i="4"/>
  <c r="C717" i="4"/>
  <c r="B717" i="4"/>
  <c r="A717" i="4"/>
  <c r="D716" i="4"/>
  <c r="C716" i="4"/>
  <c r="B716" i="4"/>
  <c r="A716" i="4"/>
  <c r="D715" i="4"/>
  <c r="C715" i="4"/>
  <c r="B715" i="4"/>
  <c r="A715" i="4"/>
  <c r="D714" i="4"/>
  <c r="C714" i="4"/>
  <c r="B714" i="4"/>
  <c r="A714" i="4"/>
  <c r="D713" i="4"/>
  <c r="C713" i="4"/>
  <c r="B713" i="4"/>
  <c r="A713" i="4"/>
  <c r="D712" i="4"/>
  <c r="C712" i="4"/>
  <c r="B712" i="4"/>
  <c r="A712" i="4"/>
  <c r="D711" i="4"/>
  <c r="C711" i="4"/>
  <c r="B711" i="4"/>
  <c r="A711" i="4"/>
  <c r="D710" i="4"/>
  <c r="C710" i="4"/>
  <c r="B710" i="4"/>
  <c r="A710" i="4"/>
  <c r="D709" i="4"/>
  <c r="C709" i="4"/>
  <c r="B709" i="4"/>
  <c r="A709" i="4"/>
  <c r="D708" i="4"/>
  <c r="C708" i="4"/>
  <c r="B708" i="4"/>
  <c r="A708" i="4"/>
  <c r="D707" i="4"/>
  <c r="C707" i="4"/>
  <c r="B707" i="4"/>
  <c r="A707" i="4"/>
  <c r="D706" i="4"/>
  <c r="C706" i="4"/>
  <c r="B706" i="4"/>
  <c r="A706" i="4"/>
  <c r="D705" i="4"/>
  <c r="C705" i="4"/>
  <c r="B705" i="4"/>
  <c r="A705" i="4"/>
  <c r="D704" i="4"/>
  <c r="C704" i="4"/>
  <c r="B704" i="4"/>
  <c r="A704" i="4"/>
  <c r="D703" i="4"/>
  <c r="C703" i="4"/>
  <c r="B703" i="4"/>
  <c r="A703" i="4"/>
  <c r="D702" i="4"/>
  <c r="C702" i="4"/>
  <c r="B702" i="4"/>
  <c r="A702" i="4"/>
  <c r="D701" i="4"/>
  <c r="C701" i="4"/>
  <c r="B701" i="4"/>
  <c r="A701" i="4"/>
  <c r="D700" i="4"/>
  <c r="C700" i="4"/>
  <c r="B700" i="4"/>
  <c r="A700" i="4"/>
  <c r="D699" i="4"/>
  <c r="C699" i="4"/>
  <c r="B699" i="4"/>
  <c r="A699" i="4"/>
  <c r="D698" i="4"/>
  <c r="C698" i="4"/>
  <c r="B698" i="4"/>
  <c r="A698" i="4"/>
  <c r="D697" i="4"/>
  <c r="C697" i="4"/>
  <c r="B697" i="4"/>
  <c r="A697" i="4"/>
  <c r="D696" i="4"/>
  <c r="C696" i="4"/>
  <c r="B696" i="4"/>
  <c r="A696" i="4"/>
  <c r="D695" i="4"/>
  <c r="C695" i="4"/>
  <c r="B695" i="4"/>
  <c r="A695" i="4"/>
  <c r="D694" i="4"/>
  <c r="C694" i="4"/>
  <c r="B694" i="4"/>
  <c r="A694" i="4"/>
  <c r="D693" i="4"/>
  <c r="C693" i="4"/>
  <c r="B693" i="4"/>
  <c r="A693" i="4"/>
  <c r="D692" i="4"/>
  <c r="C692" i="4"/>
  <c r="B692" i="4"/>
  <c r="A692" i="4"/>
  <c r="D691" i="4"/>
  <c r="C691" i="4"/>
  <c r="B691" i="4"/>
  <c r="A691" i="4"/>
  <c r="D690" i="4"/>
  <c r="C690" i="4"/>
  <c r="B690" i="4"/>
  <c r="A690" i="4"/>
  <c r="D689" i="4"/>
  <c r="C689" i="4"/>
  <c r="B689" i="4"/>
  <c r="A689" i="4"/>
  <c r="D688" i="4"/>
  <c r="C688" i="4"/>
  <c r="B688" i="4"/>
  <c r="A688" i="4"/>
  <c r="D687" i="4"/>
  <c r="C687" i="4"/>
  <c r="B687" i="4"/>
  <c r="A687" i="4"/>
  <c r="D686" i="4"/>
  <c r="C686" i="4"/>
  <c r="B686" i="4"/>
  <c r="A686" i="4"/>
  <c r="D685" i="4"/>
  <c r="C685" i="4"/>
  <c r="B685" i="4"/>
  <c r="A685" i="4"/>
  <c r="D684" i="4"/>
  <c r="C684" i="4"/>
  <c r="B684" i="4"/>
  <c r="A684" i="4"/>
  <c r="D683" i="4"/>
  <c r="C683" i="4"/>
  <c r="B683" i="4"/>
  <c r="A683" i="4"/>
  <c r="D682" i="4"/>
  <c r="C682" i="4"/>
  <c r="B682" i="4"/>
  <c r="A682" i="4"/>
  <c r="D681" i="4"/>
  <c r="C681" i="4"/>
  <c r="B681" i="4"/>
  <c r="A681" i="4"/>
  <c r="D680" i="4"/>
  <c r="C680" i="4"/>
  <c r="B680" i="4"/>
  <c r="A680" i="4"/>
  <c r="D679" i="4"/>
  <c r="C679" i="4"/>
  <c r="B679" i="4"/>
  <c r="A679" i="4"/>
  <c r="D678" i="4"/>
  <c r="C678" i="4"/>
  <c r="B678" i="4"/>
  <c r="A678" i="4"/>
  <c r="D677" i="4"/>
  <c r="C677" i="4"/>
  <c r="B677" i="4"/>
  <c r="A677" i="4"/>
  <c r="D676" i="4"/>
  <c r="C676" i="4"/>
  <c r="B676" i="4"/>
  <c r="A676" i="4"/>
  <c r="D675" i="4"/>
  <c r="C675" i="4"/>
  <c r="B675" i="4"/>
  <c r="A675" i="4"/>
  <c r="D674" i="4"/>
  <c r="C674" i="4"/>
  <c r="B674" i="4"/>
  <c r="A674" i="4"/>
  <c r="D673" i="4"/>
  <c r="C673" i="4"/>
  <c r="B673" i="4"/>
  <c r="A673" i="4"/>
  <c r="D672" i="4"/>
  <c r="C672" i="4"/>
  <c r="B672" i="4"/>
  <c r="A672" i="4"/>
  <c r="D671" i="4"/>
  <c r="C671" i="4"/>
  <c r="B671" i="4"/>
  <c r="A671" i="4"/>
  <c r="D670" i="4"/>
  <c r="C670" i="4"/>
  <c r="B670" i="4"/>
  <c r="A670" i="4"/>
  <c r="D669" i="4"/>
  <c r="C669" i="4"/>
  <c r="B669" i="4"/>
  <c r="A669" i="4"/>
  <c r="D668" i="4"/>
  <c r="C668" i="4"/>
  <c r="B668" i="4"/>
  <c r="A668" i="4"/>
  <c r="D667" i="4"/>
  <c r="C667" i="4"/>
  <c r="B667" i="4"/>
  <c r="A667" i="4"/>
  <c r="D666" i="4"/>
  <c r="C666" i="4"/>
  <c r="B666" i="4"/>
  <c r="A666" i="4"/>
  <c r="D665" i="4"/>
  <c r="C665" i="4"/>
  <c r="B665" i="4"/>
  <c r="A665" i="4"/>
  <c r="D664" i="4"/>
  <c r="C664" i="4"/>
  <c r="B664" i="4"/>
  <c r="A664" i="4"/>
  <c r="D663" i="4"/>
  <c r="C663" i="4"/>
  <c r="B663" i="4"/>
  <c r="A663" i="4"/>
  <c r="D662" i="4"/>
  <c r="C662" i="4"/>
  <c r="B662" i="4"/>
  <c r="A662" i="4"/>
  <c r="D661" i="4"/>
  <c r="C661" i="4"/>
  <c r="B661" i="4"/>
  <c r="A661" i="4"/>
  <c r="D660" i="4"/>
  <c r="C660" i="4"/>
  <c r="B660" i="4"/>
  <c r="A660" i="4"/>
  <c r="D659" i="4"/>
  <c r="C659" i="4"/>
  <c r="B659" i="4"/>
  <c r="A659" i="4"/>
  <c r="D658" i="4"/>
  <c r="C658" i="4"/>
  <c r="B658" i="4"/>
  <c r="A658" i="4"/>
  <c r="D657" i="4"/>
  <c r="C657" i="4"/>
  <c r="B657" i="4"/>
  <c r="A657" i="4"/>
  <c r="D656" i="4"/>
  <c r="C656" i="4"/>
  <c r="B656" i="4"/>
  <c r="D655" i="4"/>
  <c r="C655" i="4"/>
  <c r="B655" i="4"/>
  <c r="A655" i="4"/>
  <c r="D654" i="4"/>
  <c r="C654" i="4"/>
  <c r="B654" i="4"/>
  <c r="A654" i="4"/>
  <c r="D653" i="4"/>
  <c r="C653" i="4"/>
  <c r="B653" i="4"/>
  <c r="A653" i="4"/>
  <c r="D652" i="4"/>
  <c r="C652" i="4"/>
  <c r="B652" i="4"/>
  <c r="A652" i="4"/>
  <c r="D651" i="4"/>
  <c r="C651" i="4"/>
  <c r="B651" i="4"/>
  <c r="A651" i="4"/>
  <c r="D650" i="4"/>
  <c r="C650" i="4"/>
  <c r="B650" i="4"/>
  <c r="A650" i="4"/>
  <c r="D649" i="4"/>
  <c r="C649" i="4"/>
  <c r="B649" i="4"/>
  <c r="A649" i="4"/>
  <c r="D648" i="4"/>
  <c r="C648" i="4"/>
  <c r="B648" i="4"/>
  <c r="A648" i="4"/>
  <c r="D647" i="4"/>
  <c r="C647" i="4"/>
  <c r="B647" i="4"/>
  <c r="A647" i="4"/>
  <c r="D646" i="4"/>
  <c r="C646" i="4"/>
  <c r="B646" i="4"/>
  <c r="A646" i="4"/>
  <c r="D645" i="4"/>
  <c r="C645" i="4"/>
  <c r="B645" i="4"/>
  <c r="A645" i="4"/>
  <c r="D644" i="4"/>
  <c r="C644" i="4"/>
  <c r="B644" i="4"/>
  <c r="A644" i="4"/>
  <c r="D643" i="4"/>
  <c r="C643" i="4"/>
  <c r="B643" i="4"/>
  <c r="A643" i="4"/>
  <c r="D642" i="4"/>
  <c r="C642" i="4"/>
  <c r="B642" i="4"/>
  <c r="A642" i="4"/>
  <c r="D641" i="4"/>
  <c r="C641" i="4"/>
  <c r="B641" i="4"/>
  <c r="A641" i="4"/>
  <c r="D640" i="4"/>
  <c r="C640" i="4"/>
  <c r="B640" i="4"/>
  <c r="A640" i="4"/>
  <c r="D639" i="4"/>
  <c r="C639" i="4"/>
  <c r="B639" i="4"/>
  <c r="A639" i="4"/>
  <c r="D638" i="4"/>
  <c r="C638" i="4"/>
  <c r="B638" i="4"/>
  <c r="A638" i="4"/>
  <c r="D637" i="4"/>
  <c r="C637" i="4"/>
  <c r="B637" i="4"/>
  <c r="A637" i="4"/>
  <c r="D636" i="4"/>
  <c r="C636" i="4"/>
  <c r="B636" i="4"/>
  <c r="A636" i="4"/>
  <c r="D635" i="4"/>
  <c r="C635" i="4"/>
  <c r="B635" i="4"/>
  <c r="A635" i="4"/>
  <c r="D634" i="4"/>
  <c r="C634" i="4"/>
  <c r="B634" i="4"/>
  <c r="A634" i="4"/>
  <c r="D633" i="4"/>
  <c r="C633" i="4"/>
  <c r="B633" i="4"/>
  <c r="A633" i="4"/>
  <c r="D632" i="4"/>
  <c r="C632" i="4"/>
  <c r="B632" i="4"/>
  <c r="A632" i="4"/>
  <c r="D631" i="4"/>
  <c r="C631" i="4"/>
  <c r="B631" i="4"/>
  <c r="A631" i="4"/>
  <c r="D630" i="4"/>
  <c r="C630" i="4"/>
  <c r="B630" i="4"/>
  <c r="A630" i="4"/>
  <c r="D629" i="4"/>
  <c r="C629" i="4"/>
  <c r="B629" i="4"/>
  <c r="A629" i="4"/>
  <c r="D628" i="4"/>
  <c r="C628" i="4"/>
  <c r="B628" i="4"/>
  <c r="A628" i="4"/>
  <c r="D627" i="4"/>
  <c r="C627" i="4"/>
  <c r="B627" i="4"/>
  <c r="A627" i="4"/>
  <c r="D626" i="4"/>
  <c r="C626" i="4"/>
  <c r="B626" i="4"/>
  <c r="A626" i="4"/>
  <c r="D625" i="4"/>
  <c r="C625" i="4"/>
  <c r="B625" i="4"/>
  <c r="A625" i="4"/>
  <c r="D624" i="4"/>
  <c r="C624" i="4"/>
  <c r="B624" i="4"/>
  <c r="A624" i="4"/>
  <c r="D623" i="4"/>
  <c r="C623" i="4"/>
  <c r="B623" i="4"/>
  <c r="A623" i="4"/>
  <c r="D622" i="4"/>
  <c r="C622" i="4"/>
  <c r="B622" i="4"/>
  <c r="A622" i="4"/>
  <c r="D621" i="4"/>
  <c r="C621" i="4"/>
  <c r="B621" i="4"/>
  <c r="A621" i="4"/>
  <c r="D620" i="4"/>
  <c r="C620" i="4"/>
  <c r="B620" i="4"/>
  <c r="A620" i="4"/>
  <c r="D619" i="4"/>
  <c r="C619" i="4"/>
  <c r="B619" i="4"/>
  <c r="A619" i="4"/>
  <c r="D618" i="4"/>
  <c r="C618" i="4"/>
  <c r="B618" i="4"/>
  <c r="A618" i="4"/>
  <c r="D617" i="4"/>
  <c r="C617" i="4"/>
  <c r="B617" i="4"/>
  <c r="A617" i="4"/>
  <c r="D616" i="4"/>
  <c r="C616" i="4"/>
  <c r="B616" i="4"/>
  <c r="A616" i="4"/>
  <c r="D615" i="4"/>
  <c r="C615" i="4"/>
  <c r="B615" i="4"/>
  <c r="A615" i="4"/>
  <c r="D614" i="4"/>
  <c r="C614" i="4"/>
  <c r="B614" i="4"/>
  <c r="A614" i="4"/>
  <c r="D613" i="4"/>
  <c r="C613" i="4"/>
  <c r="B613" i="4"/>
  <c r="A613" i="4"/>
  <c r="D612" i="4"/>
  <c r="C612" i="4"/>
  <c r="B612" i="4"/>
  <c r="A612" i="4"/>
  <c r="D611" i="4"/>
  <c r="C611" i="4"/>
  <c r="B611" i="4"/>
  <c r="A611" i="4"/>
  <c r="D610" i="4"/>
  <c r="C610" i="4"/>
  <c r="B610" i="4"/>
  <c r="A610" i="4"/>
  <c r="D609" i="4"/>
  <c r="C609" i="4"/>
  <c r="B609" i="4"/>
  <c r="A609" i="4"/>
  <c r="D608" i="4"/>
  <c r="C608" i="4"/>
  <c r="B608" i="4"/>
  <c r="A608" i="4"/>
  <c r="D607" i="4"/>
  <c r="C607" i="4"/>
  <c r="B607" i="4"/>
  <c r="A607" i="4"/>
  <c r="D606" i="4"/>
  <c r="C606" i="4"/>
  <c r="B606" i="4"/>
  <c r="A606" i="4"/>
  <c r="D605" i="4"/>
  <c r="C605" i="4"/>
  <c r="B605" i="4"/>
  <c r="A605" i="4"/>
  <c r="D604" i="4"/>
  <c r="C604" i="4"/>
  <c r="B604" i="4"/>
  <c r="A604" i="4"/>
  <c r="D603" i="4"/>
  <c r="C603" i="4"/>
  <c r="B603" i="4"/>
  <c r="A603" i="4"/>
  <c r="D602" i="4"/>
  <c r="C602" i="4"/>
  <c r="B602" i="4"/>
  <c r="A602" i="4"/>
  <c r="D601" i="4"/>
  <c r="C601" i="4"/>
  <c r="B601" i="4"/>
  <c r="A601" i="4"/>
  <c r="D600" i="4"/>
  <c r="C600" i="4"/>
  <c r="B600" i="4"/>
  <c r="A600" i="4"/>
  <c r="D599" i="4"/>
  <c r="C599" i="4"/>
  <c r="B599" i="4"/>
  <c r="A599" i="4"/>
  <c r="D598" i="4"/>
  <c r="C598" i="4"/>
  <c r="B598" i="4"/>
  <c r="A598" i="4"/>
  <c r="D597" i="4"/>
  <c r="C597" i="4"/>
  <c r="B597" i="4"/>
  <c r="A597" i="4"/>
  <c r="D596" i="4"/>
  <c r="C596" i="4"/>
  <c r="B596" i="4"/>
  <c r="A596" i="4"/>
  <c r="D595" i="4"/>
  <c r="C595" i="4"/>
  <c r="B595" i="4"/>
  <c r="A595" i="4"/>
  <c r="D594" i="4"/>
  <c r="C594" i="4"/>
  <c r="B594" i="4"/>
  <c r="A594" i="4"/>
  <c r="D593" i="4"/>
  <c r="C593" i="4"/>
  <c r="B593" i="4"/>
  <c r="A593" i="4"/>
  <c r="D592" i="4"/>
  <c r="C592" i="4"/>
  <c r="B592" i="4"/>
  <c r="A592" i="4"/>
  <c r="D591" i="4"/>
  <c r="C591" i="4"/>
  <c r="B591" i="4"/>
  <c r="A591" i="4"/>
  <c r="D590" i="4"/>
  <c r="C590" i="4"/>
  <c r="B590" i="4"/>
  <c r="A590" i="4"/>
  <c r="D589" i="4"/>
  <c r="C589" i="4"/>
  <c r="B589" i="4"/>
  <c r="A589" i="4"/>
  <c r="D588" i="4"/>
  <c r="C588" i="4"/>
  <c r="B588" i="4"/>
  <c r="A588" i="4"/>
  <c r="D587" i="4"/>
  <c r="C587" i="4"/>
  <c r="B587" i="4"/>
  <c r="A587" i="4"/>
  <c r="D586" i="4"/>
  <c r="C586" i="4"/>
  <c r="B586" i="4"/>
  <c r="A586" i="4"/>
  <c r="D585" i="4"/>
  <c r="C585" i="4"/>
  <c r="B585" i="4"/>
  <c r="A585" i="4"/>
  <c r="D584" i="4"/>
  <c r="C584" i="4"/>
  <c r="B584" i="4"/>
  <c r="A584" i="4"/>
  <c r="D583" i="4"/>
  <c r="C583" i="4"/>
  <c r="B583" i="4"/>
  <c r="A583" i="4"/>
  <c r="D582" i="4"/>
  <c r="C582" i="4"/>
  <c r="B582" i="4"/>
  <c r="A582" i="4"/>
  <c r="D581" i="4"/>
  <c r="C581" i="4"/>
  <c r="B581" i="4"/>
  <c r="A581" i="4"/>
  <c r="D580" i="4"/>
  <c r="C580" i="4"/>
  <c r="B580" i="4"/>
  <c r="A580" i="4"/>
  <c r="D579" i="4"/>
  <c r="C579" i="4"/>
  <c r="B579" i="4"/>
  <c r="A579" i="4"/>
  <c r="D578" i="4"/>
  <c r="C578" i="4"/>
  <c r="B578" i="4"/>
  <c r="A578" i="4"/>
  <c r="D577" i="4"/>
  <c r="C577" i="4"/>
  <c r="B577" i="4"/>
  <c r="A577" i="4"/>
  <c r="D576" i="4"/>
  <c r="C576" i="4"/>
  <c r="B576" i="4"/>
  <c r="A576" i="4"/>
  <c r="D575" i="4"/>
  <c r="C575" i="4"/>
  <c r="B575" i="4"/>
  <c r="A575" i="4"/>
  <c r="D574" i="4"/>
  <c r="C574" i="4"/>
  <c r="B574" i="4"/>
  <c r="A574" i="4"/>
  <c r="D573" i="4"/>
  <c r="C573" i="4"/>
  <c r="B573" i="4"/>
  <c r="A573" i="4"/>
  <c r="D572" i="4"/>
  <c r="C572" i="4"/>
  <c r="B572" i="4"/>
  <c r="A572" i="4"/>
  <c r="D571" i="4"/>
  <c r="C571" i="4"/>
  <c r="B571" i="4"/>
  <c r="A571" i="4"/>
  <c r="D570" i="4"/>
  <c r="C570" i="4"/>
  <c r="B570" i="4"/>
  <c r="A570" i="4"/>
  <c r="D569" i="4"/>
  <c r="B569" i="4"/>
  <c r="A569" i="4"/>
  <c r="D568" i="4"/>
  <c r="C568" i="4"/>
  <c r="B568" i="4"/>
  <c r="A568" i="4"/>
  <c r="D567" i="4"/>
  <c r="C567" i="4"/>
  <c r="B567" i="4"/>
  <c r="A567" i="4"/>
  <c r="D566" i="4"/>
  <c r="C566" i="4"/>
  <c r="B566" i="4"/>
  <c r="A566" i="4"/>
  <c r="D565" i="4"/>
  <c r="C565" i="4"/>
  <c r="B565" i="4"/>
  <c r="A565" i="4"/>
  <c r="D564" i="4"/>
  <c r="C564" i="4"/>
  <c r="B564" i="4"/>
  <c r="A564" i="4"/>
  <c r="D563" i="4"/>
  <c r="C563" i="4"/>
  <c r="B563" i="4"/>
  <c r="A563" i="4"/>
  <c r="D562" i="4"/>
  <c r="C562" i="4"/>
  <c r="B562" i="4"/>
  <c r="A562" i="4"/>
  <c r="D561" i="4"/>
  <c r="C561" i="4"/>
  <c r="B561" i="4"/>
  <c r="A561" i="4"/>
  <c r="D560" i="4"/>
  <c r="C560" i="4"/>
  <c r="B560" i="4"/>
  <c r="A560" i="4"/>
  <c r="D559" i="4"/>
  <c r="C559" i="4"/>
  <c r="B559" i="4"/>
  <c r="A559" i="4"/>
  <c r="D558" i="4"/>
  <c r="C558" i="4"/>
  <c r="B558" i="4"/>
  <c r="A558" i="4"/>
  <c r="D557" i="4"/>
  <c r="C557" i="4"/>
  <c r="B557" i="4"/>
  <c r="A557" i="4"/>
  <c r="D556" i="4"/>
  <c r="C556" i="4"/>
  <c r="B556" i="4"/>
  <c r="A556" i="4"/>
  <c r="D555" i="4"/>
  <c r="C555" i="4"/>
  <c r="B555" i="4"/>
  <c r="A555" i="4"/>
  <c r="D554" i="4"/>
  <c r="C554" i="4"/>
  <c r="B554" i="4"/>
  <c r="A554" i="4"/>
  <c r="D553" i="4"/>
  <c r="C553" i="4"/>
  <c r="B553" i="4"/>
  <c r="A553" i="4"/>
  <c r="D552" i="4"/>
  <c r="C552" i="4"/>
  <c r="B552" i="4"/>
  <c r="A552" i="4"/>
  <c r="D551" i="4"/>
  <c r="C551" i="4"/>
  <c r="B551" i="4"/>
  <c r="A551" i="4"/>
  <c r="D550" i="4"/>
  <c r="C550" i="4"/>
  <c r="B550" i="4"/>
  <c r="A550" i="4"/>
  <c r="D549" i="4"/>
  <c r="C549" i="4"/>
  <c r="B549" i="4"/>
  <c r="A549" i="4"/>
  <c r="D548" i="4"/>
  <c r="C548" i="4"/>
  <c r="B548" i="4"/>
  <c r="A548" i="4"/>
  <c r="D547" i="4"/>
  <c r="C547" i="4"/>
  <c r="B547" i="4"/>
  <c r="A547" i="4"/>
  <c r="D546" i="4"/>
  <c r="C546" i="4"/>
  <c r="B546" i="4"/>
  <c r="A546" i="4"/>
  <c r="D545" i="4"/>
  <c r="C545" i="4"/>
  <c r="B545" i="4"/>
  <c r="A545" i="4"/>
  <c r="D544" i="4"/>
  <c r="C544" i="4"/>
  <c r="B544" i="4"/>
  <c r="A544" i="4"/>
  <c r="D543" i="4"/>
  <c r="C543" i="4"/>
  <c r="B543" i="4"/>
  <c r="A543" i="4"/>
  <c r="D542" i="4"/>
  <c r="C542" i="4"/>
  <c r="B542" i="4"/>
  <c r="A542" i="4"/>
  <c r="D541" i="4"/>
  <c r="C541" i="4"/>
  <c r="B541" i="4"/>
  <c r="A541" i="4"/>
  <c r="D540" i="4"/>
  <c r="C540" i="4"/>
  <c r="B540" i="4"/>
  <c r="A540" i="4"/>
  <c r="D539" i="4"/>
  <c r="C539" i="4"/>
  <c r="B539" i="4"/>
  <c r="A539" i="4"/>
  <c r="D538" i="4"/>
  <c r="C538" i="4"/>
  <c r="B538" i="4"/>
  <c r="A538" i="4"/>
  <c r="D537" i="4"/>
  <c r="C537" i="4"/>
  <c r="B537" i="4"/>
  <c r="A537" i="4"/>
  <c r="D536" i="4"/>
  <c r="C536" i="4"/>
  <c r="B536" i="4"/>
  <c r="A536" i="4"/>
  <c r="D535" i="4"/>
  <c r="C535" i="4"/>
  <c r="B535" i="4"/>
  <c r="A535" i="4"/>
  <c r="D534" i="4"/>
  <c r="C534" i="4"/>
  <c r="B534" i="4"/>
  <c r="A534" i="4"/>
  <c r="D533" i="4"/>
  <c r="C533" i="4"/>
  <c r="B533" i="4"/>
  <c r="A533" i="4"/>
  <c r="D532" i="4"/>
  <c r="C532" i="4"/>
  <c r="B532" i="4"/>
  <c r="A532" i="4"/>
  <c r="D531" i="4"/>
  <c r="C531" i="4"/>
  <c r="B531" i="4"/>
  <c r="A531" i="4"/>
  <c r="D530" i="4"/>
  <c r="C530" i="4"/>
  <c r="B530" i="4"/>
  <c r="A530" i="4"/>
  <c r="D529" i="4"/>
  <c r="C529" i="4"/>
  <c r="B529" i="4"/>
  <c r="A529" i="4"/>
  <c r="D528" i="4"/>
  <c r="C528" i="4"/>
  <c r="B528" i="4"/>
  <c r="A528" i="4"/>
  <c r="D527" i="4"/>
  <c r="C527" i="4"/>
  <c r="B527" i="4"/>
  <c r="A527" i="4"/>
  <c r="D526" i="4"/>
  <c r="C526" i="4"/>
  <c r="B526" i="4"/>
  <c r="A526" i="4"/>
  <c r="D525" i="4"/>
  <c r="C525" i="4"/>
  <c r="B525" i="4"/>
  <c r="A525" i="4"/>
  <c r="D524" i="4"/>
  <c r="C524" i="4"/>
  <c r="B524" i="4"/>
  <c r="A524" i="4"/>
  <c r="D523" i="4"/>
  <c r="C523" i="4"/>
  <c r="B523" i="4"/>
  <c r="A523" i="4"/>
  <c r="D522" i="4"/>
  <c r="C522" i="4"/>
  <c r="B522" i="4"/>
  <c r="A522" i="4"/>
  <c r="D521" i="4"/>
  <c r="C521" i="4"/>
  <c r="B521" i="4"/>
  <c r="A521" i="4"/>
  <c r="D520" i="4"/>
  <c r="C520" i="4"/>
  <c r="B520" i="4"/>
  <c r="A520" i="4"/>
  <c r="D519" i="4"/>
  <c r="C519" i="4"/>
  <c r="B519" i="4"/>
  <c r="A519" i="4"/>
  <c r="D518" i="4"/>
  <c r="C518" i="4"/>
  <c r="B518" i="4"/>
  <c r="A518" i="4"/>
  <c r="D517" i="4"/>
  <c r="C517" i="4"/>
  <c r="B517" i="4"/>
  <c r="A517" i="4"/>
  <c r="D516" i="4"/>
  <c r="C516" i="4"/>
  <c r="B516" i="4"/>
  <c r="A516" i="4"/>
  <c r="D515" i="4"/>
  <c r="C515" i="4"/>
  <c r="B515" i="4"/>
  <c r="A515" i="4"/>
  <c r="D514" i="4"/>
  <c r="C514" i="4"/>
  <c r="B514" i="4"/>
  <c r="A514" i="4"/>
  <c r="D513" i="4"/>
  <c r="C513" i="4"/>
  <c r="B513" i="4"/>
  <c r="A513" i="4"/>
  <c r="D512" i="4"/>
  <c r="C512" i="4"/>
  <c r="B512" i="4"/>
  <c r="A512" i="4"/>
  <c r="D511" i="4"/>
  <c r="C511" i="4"/>
  <c r="B511" i="4"/>
  <c r="A511" i="4"/>
  <c r="D510" i="4"/>
  <c r="C510" i="4"/>
  <c r="B510" i="4"/>
  <c r="A510" i="4"/>
  <c r="D509" i="4"/>
  <c r="C509" i="4"/>
  <c r="B509" i="4"/>
  <c r="A509" i="4"/>
  <c r="D508" i="4"/>
  <c r="C508" i="4"/>
  <c r="B508" i="4"/>
  <c r="A508" i="4"/>
  <c r="D507" i="4"/>
  <c r="C507" i="4"/>
  <c r="B507" i="4"/>
  <c r="A507" i="4"/>
  <c r="D506" i="4"/>
  <c r="C506" i="4"/>
  <c r="B506" i="4"/>
  <c r="A506" i="4"/>
  <c r="D505" i="4"/>
  <c r="C505" i="4"/>
  <c r="B505" i="4"/>
  <c r="A505" i="4"/>
  <c r="D504" i="4"/>
  <c r="C504" i="4"/>
  <c r="B504" i="4"/>
  <c r="A504" i="4"/>
  <c r="D503" i="4"/>
  <c r="C503" i="4"/>
  <c r="B503" i="4"/>
  <c r="A503" i="4"/>
  <c r="D502" i="4"/>
  <c r="C502" i="4"/>
  <c r="B502" i="4"/>
  <c r="A502" i="4"/>
  <c r="D501" i="4"/>
  <c r="C501" i="4"/>
  <c r="B501" i="4"/>
  <c r="A501" i="4"/>
  <c r="D500" i="4"/>
  <c r="C500" i="4"/>
  <c r="B500" i="4"/>
  <c r="A500" i="4"/>
  <c r="D499" i="4"/>
  <c r="C499" i="4"/>
  <c r="B499" i="4"/>
  <c r="A499" i="4"/>
  <c r="D498" i="4"/>
  <c r="C498" i="4"/>
  <c r="B498" i="4"/>
  <c r="A498" i="4"/>
  <c r="D497" i="4"/>
  <c r="C497" i="4"/>
  <c r="B497" i="4"/>
  <c r="A497" i="4"/>
  <c r="D496" i="4"/>
  <c r="C496" i="4"/>
  <c r="B496" i="4"/>
  <c r="A496" i="4"/>
  <c r="D495" i="4"/>
  <c r="C495" i="4"/>
  <c r="B495" i="4"/>
  <c r="A495" i="4"/>
  <c r="D494" i="4"/>
  <c r="C494" i="4"/>
  <c r="B494" i="4"/>
  <c r="A494" i="4"/>
  <c r="D493" i="4"/>
  <c r="C493" i="4"/>
  <c r="B493" i="4"/>
  <c r="A493" i="4"/>
  <c r="D492" i="4"/>
  <c r="C492" i="4"/>
  <c r="B492" i="4"/>
  <c r="A492" i="4"/>
  <c r="D491" i="4"/>
  <c r="C491" i="4"/>
  <c r="B491" i="4"/>
  <c r="A491" i="4"/>
  <c r="D490" i="4"/>
  <c r="C490" i="4"/>
  <c r="B490" i="4"/>
  <c r="A490" i="4"/>
  <c r="D489" i="4"/>
  <c r="C489" i="4"/>
  <c r="B489" i="4"/>
  <c r="A489" i="4"/>
  <c r="D488" i="4"/>
  <c r="C488" i="4"/>
  <c r="B488" i="4"/>
  <c r="A488" i="4"/>
  <c r="D487" i="4"/>
  <c r="C487" i="4"/>
  <c r="B487" i="4"/>
  <c r="A487" i="4"/>
  <c r="D486" i="4"/>
  <c r="C486" i="4"/>
  <c r="B486" i="4"/>
  <c r="A486" i="4"/>
  <c r="D485" i="4"/>
  <c r="C485" i="4"/>
  <c r="B485" i="4"/>
  <c r="A485" i="4"/>
  <c r="D484" i="4"/>
  <c r="C484" i="4"/>
  <c r="B484" i="4"/>
  <c r="A484" i="4"/>
  <c r="D483" i="4"/>
  <c r="C483" i="4"/>
  <c r="B483" i="4"/>
  <c r="A483" i="4"/>
  <c r="D482" i="4"/>
  <c r="C482" i="4"/>
  <c r="B482" i="4"/>
  <c r="A482" i="4"/>
  <c r="D481" i="4"/>
  <c r="C481" i="4"/>
  <c r="B481" i="4"/>
  <c r="A481" i="4"/>
  <c r="D480" i="4"/>
  <c r="C480" i="4"/>
  <c r="B480" i="4"/>
  <c r="A480" i="4"/>
  <c r="D479" i="4"/>
  <c r="C479" i="4"/>
  <c r="B479" i="4"/>
  <c r="A479" i="4"/>
  <c r="D478" i="4"/>
  <c r="C478" i="4"/>
  <c r="B478" i="4"/>
  <c r="A478" i="4"/>
  <c r="D477" i="4"/>
  <c r="C477" i="4"/>
  <c r="B477" i="4"/>
  <c r="A477" i="4"/>
  <c r="D476" i="4"/>
  <c r="C476" i="4"/>
  <c r="B476" i="4"/>
  <c r="A476" i="4"/>
  <c r="D475" i="4"/>
  <c r="C475" i="4"/>
  <c r="B475" i="4"/>
  <c r="A475" i="4"/>
  <c r="D474" i="4"/>
  <c r="C474" i="4"/>
  <c r="B474" i="4"/>
  <c r="A474" i="4"/>
  <c r="D473" i="4"/>
  <c r="C473" i="4"/>
  <c r="B473" i="4"/>
  <c r="A473" i="4"/>
  <c r="D472" i="4"/>
  <c r="C472" i="4"/>
  <c r="B472" i="4"/>
  <c r="A472" i="4"/>
  <c r="D471" i="4"/>
  <c r="C471" i="4"/>
  <c r="B471" i="4"/>
  <c r="A471" i="4"/>
  <c r="D470" i="4"/>
  <c r="C470" i="4"/>
  <c r="B470" i="4"/>
  <c r="A470" i="4"/>
  <c r="D469" i="4"/>
  <c r="C469" i="4"/>
  <c r="B469" i="4"/>
  <c r="A469" i="4"/>
  <c r="D468" i="4"/>
  <c r="C468" i="4"/>
  <c r="B468" i="4"/>
  <c r="A468" i="4"/>
  <c r="D467" i="4"/>
  <c r="C467" i="4"/>
  <c r="B467" i="4"/>
  <c r="A467" i="4"/>
  <c r="D466" i="4"/>
  <c r="C466" i="4"/>
  <c r="B466" i="4"/>
  <c r="A466" i="4"/>
  <c r="D465" i="4"/>
  <c r="C465" i="4"/>
  <c r="B465" i="4"/>
  <c r="A465" i="4"/>
  <c r="D464" i="4"/>
  <c r="C464" i="4"/>
  <c r="B464" i="4"/>
  <c r="A464" i="4"/>
  <c r="D463" i="4"/>
  <c r="C463" i="4"/>
  <c r="B463" i="4"/>
  <c r="A463" i="4"/>
  <c r="D462" i="4"/>
  <c r="C462" i="4"/>
  <c r="B462" i="4"/>
  <c r="A462" i="4"/>
  <c r="D461" i="4"/>
  <c r="C461" i="4"/>
  <c r="B461" i="4"/>
  <c r="A461" i="4"/>
  <c r="D460" i="4"/>
  <c r="C460" i="4"/>
  <c r="B460" i="4"/>
  <c r="A460" i="4"/>
  <c r="D459" i="4"/>
  <c r="C459" i="4"/>
  <c r="B459" i="4"/>
  <c r="A459" i="4"/>
  <c r="D458" i="4"/>
  <c r="C458" i="4"/>
  <c r="B458" i="4"/>
  <c r="A458" i="4"/>
  <c r="D457" i="4"/>
  <c r="C457" i="4"/>
  <c r="B457" i="4"/>
  <c r="A457" i="4"/>
  <c r="D456" i="4"/>
  <c r="C456" i="4"/>
  <c r="B456" i="4"/>
  <c r="A456" i="4"/>
  <c r="D455" i="4"/>
  <c r="C455" i="4"/>
  <c r="B455" i="4"/>
  <c r="A455" i="4"/>
  <c r="D454" i="4"/>
  <c r="C454" i="4"/>
  <c r="B454" i="4"/>
  <c r="A454" i="4"/>
  <c r="D453" i="4"/>
  <c r="C453" i="4"/>
  <c r="B453" i="4"/>
  <c r="A453" i="4"/>
  <c r="D452" i="4"/>
  <c r="C452" i="4"/>
  <c r="B452" i="4"/>
  <c r="A452" i="4"/>
  <c r="D451" i="4"/>
  <c r="C451" i="4"/>
  <c r="B451" i="4"/>
  <c r="A451" i="4"/>
  <c r="D450" i="4"/>
  <c r="C450" i="4"/>
  <c r="B450" i="4"/>
  <c r="A450" i="4"/>
  <c r="D449" i="4"/>
  <c r="C449" i="4"/>
  <c r="B449" i="4"/>
  <c r="A449" i="4"/>
  <c r="D448" i="4"/>
  <c r="C448" i="4"/>
  <c r="B448" i="4"/>
  <c r="A448" i="4"/>
  <c r="D447" i="4"/>
  <c r="C447" i="4"/>
  <c r="B447" i="4"/>
  <c r="A447" i="4"/>
  <c r="D446" i="4"/>
  <c r="C446" i="4"/>
  <c r="B446" i="4"/>
  <c r="A446" i="4"/>
  <c r="D445" i="4"/>
  <c r="C445" i="4"/>
  <c r="B445" i="4"/>
  <c r="A445" i="4"/>
  <c r="D444" i="4"/>
  <c r="C444" i="4"/>
  <c r="B444" i="4"/>
  <c r="A444" i="4"/>
  <c r="D443" i="4"/>
  <c r="C443" i="4"/>
  <c r="B443" i="4"/>
  <c r="A443" i="4"/>
  <c r="D442" i="4"/>
  <c r="C442" i="4"/>
  <c r="B442" i="4"/>
  <c r="A442" i="4"/>
  <c r="D441" i="4"/>
  <c r="C441" i="4"/>
  <c r="B441" i="4"/>
  <c r="A441" i="4"/>
  <c r="D440" i="4"/>
  <c r="C440" i="4"/>
  <c r="B440" i="4"/>
  <c r="A440" i="4"/>
  <c r="D439" i="4"/>
  <c r="C439" i="4"/>
  <c r="B439" i="4"/>
  <c r="A439" i="4"/>
  <c r="D438" i="4"/>
  <c r="C438" i="4"/>
  <c r="B438" i="4"/>
  <c r="A438" i="4"/>
  <c r="D437" i="4"/>
  <c r="C437" i="4"/>
  <c r="B437" i="4"/>
  <c r="A437" i="4"/>
  <c r="D436" i="4"/>
  <c r="C436" i="4"/>
  <c r="B436" i="4"/>
  <c r="A436" i="4"/>
  <c r="D435" i="4"/>
  <c r="C435" i="4"/>
  <c r="B435" i="4"/>
  <c r="A435" i="4"/>
  <c r="D434" i="4"/>
  <c r="C434" i="4"/>
  <c r="B434" i="4"/>
  <c r="A434" i="4"/>
  <c r="D433" i="4"/>
  <c r="C433" i="4"/>
  <c r="B433" i="4"/>
  <c r="A433" i="4"/>
  <c r="D432" i="4"/>
  <c r="C432" i="4"/>
  <c r="B432" i="4"/>
  <c r="A432" i="4"/>
  <c r="D431" i="4"/>
  <c r="C431" i="4"/>
  <c r="B431" i="4"/>
  <c r="A431" i="4"/>
  <c r="D430" i="4"/>
  <c r="C430" i="4"/>
  <c r="B430" i="4"/>
  <c r="A430" i="4"/>
  <c r="D429" i="4"/>
  <c r="C429" i="4"/>
  <c r="B429" i="4"/>
  <c r="A429" i="4"/>
  <c r="D428" i="4"/>
  <c r="C428" i="4"/>
  <c r="B428" i="4"/>
  <c r="A428" i="4"/>
  <c r="D427" i="4"/>
  <c r="C427" i="4"/>
  <c r="B427" i="4"/>
  <c r="A427" i="4"/>
  <c r="D426" i="4"/>
  <c r="C426" i="4"/>
  <c r="B426" i="4"/>
  <c r="A426" i="4"/>
  <c r="D425" i="4"/>
  <c r="C425" i="4"/>
  <c r="B425" i="4"/>
  <c r="A425" i="4"/>
  <c r="D424" i="4"/>
  <c r="C424" i="4"/>
  <c r="B424" i="4"/>
  <c r="A424" i="4"/>
  <c r="D423" i="4"/>
  <c r="C423" i="4"/>
  <c r="B423" i="4"/>
  <c r="A423" i="4"/>
  <c r="D422" i="4"/>
  <c r="C422" i="4"/>
  <c r="B422" i="4"/>
  <c r="A422" i="4"/>
  <c r="D421" i="4"/>
  <c r="C421" i="4"/>
  <c r="B421" i="4"/>
  <c r="A421" i="4"/>
  <c r="D420" i="4"/>
  <c r="C420" i="4"/>
  <c r="B420" i="4"/>
  <c r="A420" i="4"/>
  <c r="D419" i="4"/>
  <c r="C419" i="4"/>
  <c r="B419" i="4"/>
  <c r="A419" i="4"/>
  <c r="D418" i="4"/>
  <c r="C418" i="4"/>
  <c r="B418" i="4"/>
  <c r="A418" i="4"/>
  <c r="D417" i="4"/>
  <c r="C417" i="4"/>
  <c r="B417" i="4"/>
  <c r="A417" i="4"/>
  <c r="D416" i="4"/>
  <c r="C416" i="4"/>
  <c r="B416" i="4"/>
  <c r="A416" i="4"/>
  <c r="D415" i="4"/>
  <c r="C415" i="4"/>
  <c r="B415" i="4"/>
  <c r="A415" i="4"/>
  <c r="D414" i="4"/>
  <c r="C414" i="4"/>
  <c r="B414" i="4"/>
  <c r="A414" i="4"/>
  <c r="D413" i="4"/>
  <c r="C413" i="4"/>
  <c r="B413" i="4"/>
  <c r="A413" i="4"/>
  <c r="D412" i="4"/>
  <c r="C412" i="4"/>
  <c r="B412" i="4"/>
  <c r="A412" i="4"/>
  <c r="D411" i="4"/>
  <c r="C411" i="4"/>
  <c r="B411" i="4"/>
  <c r="A411" i="4"/>
  <c r="D410" i="4"/>
  <c r="C410" i="4"/>
  <c r="B410" i="4"/>
  <c r="A410" i="4"/>
  <c r="D409" i="4"/>
  <c r="C409" i="4"/>
  <c r="B409" i="4"/>
  <c r="A409" i="4"/>
  <c r="D408" i="4"/>
  <c r="C408" i="4"/>
  <c r="B408" i="4"/>
  <c r="A408" i="4"/>
  <c r="D407" i="4"/>
  <c r="C407" i="4"/>
  <c r="B407" i="4"/>
  <c r="A407" i="4"/>
  <c r="D406" i="4"/>
  <c r="C406" i="4"/>
  <c r="B406" i="4"/>
  <c r="A406" i="4"/>
  <c r="D405" i="4"/>
  <c r="C405" i="4"/>
  <c r="B405" i="4"/>
  <c r="A405" i="4"/>
  <c r="D404" i="4"/>
  <c r="C404" i="4"/>
  <c r="B404" i="4"/>
  <c r="A404" i="4"/>
  <c r="D403" i="4"/>
  <c r="C403" i="4"/>
  <c r="B403" i="4"/>
  <c r="A403" i="4"/>
  <c r="D402" i="4"/>
  <c r="C402" i="4"/>
  <c r="B402" i="4"/>
  <c r="A402" i="4"/>
  <c r="D401" i="4"/>
  <c r="C401" i="4"/>
  <c r="B401" i="4"/>
  <c r="A401" i="4"/>
  <c r="D400" i="4"/>
  <c r="C400" i="4"/>
  <c r="B400" i="4"/>
  <c r="A400" i="4"/>
  <c r="D399" i="4"/>
  <c r="C399" i="4"/>
  <c r="B399" i="4"/>
  <c r="A399" i="4"/>
  <c r="D398" i="4"/>
  <c r="C398" i="4"/>
  <c r="B398" i="4"/>
  <c r="A398" i="4"/>
  <c r="D397" i="4"/>
  <c r="C397" i="4"/>
  <c r="B397" i="4"/>
  <c r="A397" i="4"/>
  <c r="D396" i="4"/>
  <c r="C396" i="4"/>
  <c r="B396" i="4"/>
  <c r="A396" i="4"/>
  <c r="D395" i="4"/>
  <c r="C395" i="4"/>
  <c r="B395" i="4"/>
  <c r="A395" i="4"/>
  <c r="D394" i="4"/>
  <c r="C394" i="4"/>
  <c r="B394" i="4"/>
  <c r="A394" i="4"/>
  <c r="D393" i="4"/>
  <c r="C393" i="4"/>
  <c r="B393" i="4"/>
  <c r="A393" i="4"/>
  <c r="D392" i="4"/>
  <c r="C392" i="4"/>
  <c r="B392" i="4"/>
  <c r="A392" i="4"/>
  <c r="D391" i="4"/>
  <c r="C391" i="4"/>
  <c r="B391" i="4"/>
  <c r="A391" i="4"/>
  <c r="D390" i="4"/>
  <c r="C390" i="4"/>
  <c r="B390" i="4"/>
  <c r="A390" i="4"/>
  <c r="D389" i="4"/>
  <c r="C389" i="4"/>
  <c r="B389" i="4"/>
  <c r="A389" i="4"/>
  <c r="D388" i="4"/>
  <c r="C388" i="4"/>
  <c r="B388" i="4"/>
  <c r="A388" i="4"/>
  <c r="D387" i="4"/>
  <c r="C387" i="4"/>
  <c r="B387" i="4"/>
  <c r="A387" i="4"/>
  <c r="D386" i="4"/>
  <c r="C386" i="4"/>
  <c r="B386" i="4"/>
  <c r="A386" i="4"/>
  <c r="D385" i="4"/>
  <c r="C385" i="4"/>
  <c r="B385" i="4"/>
  <c r="A385" i="4"/>
  <c r="D384" i="4"/>
  <c r="C384" i="4"/>
  <c r="B384" i="4"/>
  <c r="A384" i="4"/>
  <c r="D383" i="4"/>
  <c r="C383" i="4"/>
  <c r="B383" i="4"/>
  <c r="A383" i="4"/>
  <c r="D382" i="4"/>
  <c r="C382" i="4"/>
  <c r="B382" i="4"/>
  <c r="A382" i="4"/>
  <c r="D381" i="4"/>
  <c r="C381" i="4"/>
  <c r="B381" i="4"/>
  <c r="A381" i="4"/>
  <c r="D380" i="4"/>
  <c r="C380" i="4"/>
  <c r="B380" i="4"/>
  <c r="A380" i="4"/>
  <c r="D379" i="4"/>
  <c r="C379" i="4"/>
  <c r="B379" i="4"/>
  <c r="A379" i="4"/>
  <c r="D378" i="4"/>
  <c r="C378" i="4"/>
  <c r="B378" i="4"/>
  <c r="A378" i="4"/>
  <c r="D377" i="4"/>
  <c r="C377" i="4"/>
  <c r="B377" i="4"/>
  <c r="A377" i="4"/>
  <c r="D376" i="4"/>
  <c r="C376" i="4"/>
  <c r="B376" i="4"/>
  <c r="A376" i="4"/>
  <c r="D375" i="4"/>
  <c r="C375" i="4"/>
  <c r="B375" i="4"/>
  <c r="A375" i="4"/>
  <c r="D374" i="4"/>
  <c r="C374" i="4"/>
  <c r="B374" i="4"/>
  <c r="A374" i="4"/>
  <c r="D373" i="4"/>
  <c r="C373" i="4"/>
  <c r="B373" i="4"/>
  <c r="A373" i="4"/>
  <c r="D372" i="4"/>
  <c r="C372" i="4"/>
  <c r="B372" i="4"/>
  <c r="A372" i="4"/>
  <c r="D371" i="4"/>
  <c r="C371" i="4"/>
  <c r="B371" i="4"/>
  <c r="A371" i="4"/>
  <c r="D370" i="4"/>
  <c r="C370" i="4"/>
  <c r="B370" i="4"/>
  <c r="A370" i="4"/>
  <c r="D369" i="4"/>
  <c r="C369" i="4"/>
  <c r="B369" i="4"/>
  <c r="A369" i="4"/>
  <c r="D368" i="4"/>
  <c r="C368" i="4"/>
  <c r="B368" i="4"/>
  <c r="A368" i="4"/>
  <c r="D367" i="4"/>
  <c r="C367" i="4"/>
  <c r="B367" i="4"/>
  <c r="A367" i="4"/>
  <c r="D366" i="4"/>
  <c r="C366" i="4"/>
  <c r="B366" i="4"/>
  <c r="A366" i="4"/>
  <c r="D365" i="4"/>
  <c r="C365" i="4"/>
  <c r="B365" i="4"/>
  <c r="A365" i="4"/>
  <c r="D364" i="4"/>
  <c r="C364" i="4"/>
  <c r="B364" i="4"/>
  <c r="A364" i="4"/>
  <c r="D363" i="4"/>
  <c r="C363" i="4"/>
  <c r="B363" i="4"/>
  <c r="A363" i="4"/>
  <c r="D362" i="4"/>
  <c r="C362" i="4"/>
  <c r="B362" i="4"/>
  <c r="A362" i="4"/>
  <c r="D361" i="4"/>
  <c r="C361" i="4"/>
  <c r="B361" i="4"/>
  <c r="A361" i="4"/>
  <c r="D360" i="4"/>
  <c r="C360" i="4"/>
  <c r="B360" i="4"/>
  <c r="A360" i="4"/>
  <c r="D359" i="4"/>
  <c r="C359" i="4"/>
  <c r="B359" i="4"/>
  <c r="A359" i="4"/>
  <c r="D358" i="4"/>
  <c r="C358" i="4"/>
  <c r="B358" i="4"/>
  <c r="A358" i="4"/>
  <c r="D357" i="4"/>
  <c r="C357" i="4"/>
  <c r="B357" i="4"/>
  <c r="A357" i="4"/>
  <c r="D356" i="4"/>
  <c r="C356" i="4"/>
  <c r="B356" i="4"/>
  <c r="A356" i="4"/>
  <c r="D355" i="4"/>
  <c r="C355" i="4"/>
  <c r="B355" i="4"/>
  <c r="A355" i="4"/>
  <c r="D354" i="4"/>
  <c r="C354" i="4"/>
  <c r="B354" i="4"/>
  <c r="A354" i="4"/>
  <c r="D353" i="4"/>
  <c r="C353" i="4"/>
  <c r="B353" i="4"/>
  <c r="A353" i="4"/>
  <c r="D352" i="4"/>
  <c r="C352" i="4"/>
  <c r="B352" i="4"/>
  <c r="A352" i="4"/>
  <c r="D351" i="4"/>
  <c r="C351" i="4"/>
  <c r="B351" i="4"/>
  <c r="A351" i="4"/>
  <c r="D350" i="4"/>
  <c r="C350" i="4"/>
  <c r="B350" i="4"/>
  <c r="A350" i="4"/>
  <c r="D349" i="4"/>
  <c r="C349" i="4"/>
  <c r="B349" i="4"/>
  <c r="A349" i="4"/>
  <c r="D348" i="4"/>
  <c r="C348" i="4"/>
  <c r="B348" i="4"/>
  <c r="A348" i="4"/>
  <c r="D347" i="4"/>
  <c r="C347" i="4"/>
  <c r="B347" i="4"/>
  <c r="A347" i="4"/>
  <c r="D346" i="4"/>
  <c r="C346" i="4"/>
  <c r="B346" i="4"/>
  <c r="A346" i="4"/>
  <c r="D345" i="4"/>
  <c r="C345" i="4"/>
  <c r="B345" i="4"/>
  <c r="A345" i="4"/>
  <c r="D344" i="4"/>
  <c r="C344" i="4"/>
  <c r="B344" i="4"/>
  <c r="A344" i="4"/>
  <c r="D343" i="4"/>
  <c r="C343" i="4"/>
  <c r="B343" i="4"/>
  <c r="A343" i="4"/>
  <c r="D342" i="4"/>
  <c r="C342" i="4"/>
  <c r="B342" i="4"/>
  <c r="A342" i="4"/>
  <c r="D341" i="4"/>
  <c r="C341" i="4"/>
  <c r="B341" i="4"/>
  <c r="A341" i="4"/>
  <c r="D340" i="4"/>
  <c r="C340" i="4"/>
  <c r="B340" i="4"/>
  <c r="A340" i="4"/>
  <c r="D339" i="4"/>
  <c r="C339" i="4"/>
  <c r="B339" i="4"/>
  <c r="A339" i="4"/>
  <c r="D338" i="4"/>
  <c r="C338" i="4"/>
  <c r="B338" i="4"/>
  <c r="A338" i="4"/>
  <c r="D337" i="4"/>
  <c r="C337" i="4"/>
  <c r="B337" i="4"/>
  <c r="A337" i="4"/>
  <c r="D336" i="4"/>
  <c r="C336" i="4"/>
  <c r="B336" i="4"/>
  <c r="A336" i="4"/>
  <c r="D335" i="4"/>
  <c r="C335" i="4"/>
  <c r="B335" i="4"/>
  <c r="A335" i="4"/>
  <c r="D334" i="4"/>
  <c r="C334" i="4"/>
  <c r="B334" i="4"/>
  <c r="A334" i="4"/>
  <c r="D333" i="4"/>
  <c r="C333" i="4"/>
  <c r="B333" i="4"/>
  <c r="A333" i="4"/>
  <c r="D332" i="4"/>
  <c r="C332" i="4"/>
  <c r="B332" i="4"/>
  <c r="A332" i="4"/>
  <c r="D331" i="4"/>
  <c r="C331" i="4"/>
  <c r="B331" i="4"/>
  <c r="A331" i="4"/>
  <c r="D330" i="4"/>
  <c r="C330" i="4"/>
  <c r="B330" i="4"/>
  <c r="A330" i="4"/>
  <c r="D329" i="4"/>
  <c r="C329" i="4"/>
  <c r="B329" i="4"/>
  <c r="A329" i="4"/>
  <c r="D328" i="4"/>
  <c r="C328" i="4"/>
  <c r="B328" i="4"/>
  <c r="A328" i="4"/>
  <c r="D327" i="4"/>
  <c r="C327" i="4"/>
  <c r="B327" i="4"/>
  <c r="A327" i="4"/>
  <c r="D326" i="4"/>
  <c r="C326" i="4"/>
  <c r="B326" i="4"/>
  <c r="A326" i="4"/>
  <c r="D325" i="4"/>
  <c r="C325" i="4"/>
  <c r="B325" i="4"/>
  <c r="A325" i="4"/>
  <c r="D324" i="4"/>
  <c r="C324" i="4"/>
  <c r="B324" i="4"/>
  <c r="A324" i="4"/>
  <c r="D323" i="4"/>
  <c r="C323" i="4"/>
  <c r="B323" i="4"/>
  <c r="A323" i="4"/>
  <c r="D322" i="4"/>
  <c r="C322" i="4"/>
  <c r="B322" i="4"/>
  <c r="A322" i="4"/>
  <c r="D321" i="4"/>
  <c r="C321" i="4"/>
  <c r="B321" i="4"/>
  <c r="A321" i="4"/>
  <c r="D320" i="4"/>
  <c r="C320" i="4"/>
  <c r="B320" i="4"/>
  <c r="A320" i="4"/>
  <c r="D319" i="4"/>
  <c r="C319" i="4"/>
  <c r="B319" i="4"/>
  <c r="A319" i="4"/>
  <c r="D318" i="4"/>
  <c r="C318" i="4"/>
  <c r="B318" i="4"/>
  <c r="A318" i="4"/>
  <c r="D317" i="4"/>
  <c r="C317" i="4"/>
  <c r="B317" i="4"/>
  <c r="A317" i="4"/>
  <c r="D316" i="4"/>
  <c r="C316" i="4"/>
  <c r="B316" i="4"/>
  <c r="A316" i="4"/>
  <c r="D315" i="4"/>
  <c r="C315" i="4"/>
  <c r="B315" i="4"/>
  <c r="A315" i="4"/>
  <c r="D314" i="4"/>
  <c r="C314" i="4"/>
  <c r="B314" i="4"/>
  <c r="A314" i="4"/>
  <c r="D313" i="4"/>
  <c r="C313" i="4"/>
  <c r="B313" i="4"/>
  <c r="A313" i="4"/>
  <c r="D312" i="4"/>
  <c r="C312" i="4"/>
  <c r="B312" i="4"/>
  <c r="A312" i="4"/>
  <c r="D311" i="4"/>
  <c r="C311" i="4"/>
  <c r="B311" i="4"/>
  <c r="A311" i="4"/>
  <c r="D310" i="4"/>
  <c r="C310" i="4"/>
  <c r="B310" i="4"/>
  <c r="A310" i="4"/>
  <c r="D309" i="4"/>
  <c r="C309" i="4"/>
  <c r="B309" i="4"/>
  <c r="A309" i="4"/>
  <c r="D308" i="4"/>
  <c r="C308" i="4"/>
  <c r="B308" i="4"/>
  <c r="A308" i="4"/>
  <c r="D307" i="4"/>
  <c r="C307" i="4"/>
  <c r="B307" i="4"/>
  <c r="A307" i="4"/>
  <c r="D306" i="4"/>
  <c r="C306" i="4"/>
  <c r="B306" i="4"/>
  <c r="A306" i="4"/>
  <c r="D305" i="4"/>
  <c r="C305" i="4"/>
  <c r="B305" i="4"/>
  <c r="A305" i="4"/>
  <c r="D304" i="4"/>
  <c r="C304" i="4"/>
  <c r="B304" i="4"/>
  <c r="A304" i="4"/>
  <c r="D303" i="4"/>
  <c r="C303" i="4"/>
  <c r="B303" i="4"/>
  <c r="A303" i="4"/>
  <c r="D302" i="4"/>
  <c r="C302" i="4"/>
  <c r="B302" i="4"/>
  <c r="A302" i="4"/>
  <c r="D301" i="4"/>
  <c r="C301" i="4"/>
  <c r="B301" i="4"/>
  <c r="A301" i="4"/>
  <c r="D300" i="4"/>
  <c r="C300" i="4"/>
  <c r="B300" i="4"/>
  <c r="A300" i="4"/>
  <c r="D299" i="4"/>
  <c r="C299" i="4"/>
  <c r="B299" i="4"/>
  <c r="A299" i="4"/>
  <c r="D298" i="4"/>
  <c r="C298" i="4"/>
  <c r="B298" i="4"/>
  <c r="A298" i="4"/>
  <c r="D297" i="4"/>
  <c r="C297" i="4"/>
  <c r="B297" i="4"/>
  <c r="A297" i="4"/>
  <c r="D296" i="4"/>
  <c r="C296" i="4"/>
  <c r="B296" i="4"/>
  <c r="A296" i="4"/>
  <c r="D295" i="4"/>
  <c r="C295" i="4"/>
  <c r="B295" i="4"/>
  <c r="A295" i="4"/>
  <c r="D294" i="4"/>
  <c r="C294" i="4"/>
  <c r="B294" i="4"/>
  <c r="A294" i="4"/>
  <c r="D293" i="4"/>
  <c r="C293" i="4"/>
  <c r="B293" i="4"/>
  <c r="A293" i="4"/>
  <c r="D292" i="4"/>
  <c r="C292" i="4"/>
  <c r="B292" i="4"/>
  <c r="A292" i="4"/>
  <c r="D291" i="4"/>
  <c r="C291" i="4"/>
  <c r="B291" i="4"/>
  <c r="A291" i="4"/>
  <c r="D290" i="4"/>
  <c r="C290" i="4"/>
  <c r="B290" i="4"/>
  <c r="A290" i="4"/>
  <c r="D289" i="4"/>
  <c r="C289" i="4"/>
  <c r="B289" i="4"/>
  <c r="A289" i="4"/>
  <c r="D288" i="4"/>
  <c r="C288" i="4"/>
  <c r="B288" i="4"/>
  <c r="A288" i="4"/>
  <c r="D287" i="4"/>
  <c r="C287" i="4"/>
  <c r="B287" i="4"/>
  <c r="A287" i="4"/>
  <c r="D286" i="4"/>
  <c r="C286" i="4"/>
  <c r="B286" i="4"/>
  <c r="A286" i="4"/>
  <c r="D285" i="4"/>
  <c r="C285" i="4"/>
  <c r="B285" i="4"/>
  <c r="A285" i="4"/>
  <c r="D284" i="4"/>
  <c r="C284" i="4"/>
  <c r="B284" i="4"/>
  <c r="A284" i="4"/>
  <c r="D283" i="4"/>
  <c r="C283" i="4"/>
  <c r="B283" i="4"/>
  <c r="A283" i="4"/>
  <c r="D282" i="4"/>
  <c r="C282" i="4"/>
  <c r="B282" i="4"/>
  <c r="A282" i="4"/>
  <c r="D281" i="4"/>
  <c r="C281" i="4"/>
  <c r="B281" i="4"/>
  <c r="A281" i="4"/>
  <c r="D280" i="4"/>
  <c r="C280" i="4"/>
  <c r="B280" i="4"/>
  <c r="A280" i="4"/>
  <c r="D279" i="4"/>
  <c r="C279" i="4"/>
  <c r="B279" i="4"/>
  <c r="A279" i="4"/>
  <c r="D278" i="4"/>
  <c r="C278" i="4"/>
  <c r="B278" i="4"/>
  <c r="A278" i="4"/>
  <c r="D277" i="4"/>
  <c r="C277" i="4"/>
  <c r="B277" i="4"/>
  <c r="A277" i="4"/>
  <c r="D276" i="4"/>
  <c r="C276" i="4"/>
  <c r="B276" i="4"/>
  <c r="A276" i="4"/>
  <c r="D275" i="4"/>
  <c r="C275" i="4"/>
  <c r="B275" i="4"/>
  <c r="A275" i="4"/>
  <c r="D274" i="4"/>
  <c r="C274" i="4"/>
  <c r="B274" i="4"/>
  <c r="A274" i="4"/>
  <c r="D273" i="4"/>
  <c r="C273" i="4"/>
  <c r="B273" i="4"/>
  <c r="A273" i="4"/>
  <c r="D272" i="4"/>
  <c r="C272" i="4"/>
  <c r="B272" i="4"/>
  <c r="A272" i="4"/>
  <c r="D271" i="4"/>
  <c r="C271" i="4"/>
  <c r="B271" i="4"/>
  <c r="A271" i="4"/>
  <c r="D270" i="4"/>
  <c r="C270" i="4"/>
  <c r="B270" i="4"/>
  <c r="A270" i="4"/>
  <c r="D269" i="4"/>
  <c r="C269" i="4"/>
  <c r="B269" i="4"/>
  <c r="A269" i="4"/>
  <c r="D268" i="4"/>
  <c r="C268" i="4"/>
  <c r="B268" i="4"/>
  <c r="A268" i="4"/>
  <c r="D267" i="4"/>
  <c r="C267" i="4"/>
  <c r="B267" i="4"/>
  <c r="A267" i="4"/>
  <c r="D266" i="4"/>
  <c r="C266" i="4"/>
  <c r="B266" i="4"/>
  <c r="A266" i="4"/>
  <c r="D265" i="4"/>
  <c r="C265" i="4"/>
  <c r="B265" i="4"/>
  <c r="A265" i="4"/>
  <c r="D264" i="4"/>
  <c r="C264" i="4"/>
  <c r="B264" i="4"/>
  <c r="A264" i="4"/>
  <c r="D263" i="4"/>
  <c r="C263" i="4"/>
  <c r="B263" i="4"/>
  <c r="A263" i="4"/>
  <c r="D262" i="4"/>
  <c r="C262" i="4"/>
  <c r="B262" i="4"/>
  <c r="A262" i="4"/>
  <c r="D261" i="4"/>
  <c r="C261" i="4"/>
  <c r="B261" i="4"/>
  <c r="A261" i="4"/>
  <c r="D260" i="4"/>
  <c r="C260" i="4"/>
  <c r="B260" i="4"/>
  <c r="A260" i="4"/>
  <c r="D259" i="4"/>
  <c r="C259" i="4"/>
  <c r="B259" i="4"/>
  <c r="A259" i="4"/>
  <c r="D258" i="4"/>
  <c r="C258" i="4"/>
  <c r="B258" i="4"/>
  <c r="A258" i="4"/>
  <c r="D257" i="4"/>
  <c r="C257" i="4"/>
  <c r="B257" i="4"/>
  <c r="A257" i="4"/>
  <c r="D256" i="4"/>
  <c r="C256" i="4"/>
  <c r="B256" i="4"/>
  <c r="A256" i="4"/>
  <c r="D255" i="4"/>
  <c r="C255" i="4"/>
  <c r="B255" i="4"/>
  <c r="A255" i="4"/>
  <c r="D254" i="4"/>
  <c r="C254" i="4"/>
  <c r="B254" i="4"/>
  <c r="A254" i="4"/>
  <c r="D253" i="4"/>
  <c r="C253" i="4"/>
  <c r="B253" i="4"/>
  <c r="A253" i="4"/>
  <c r="D252" i="4"/>
  <c r="C252" i="4"/>
  <c r="B252" i="4"/>
  <c r="A252" i="4"/>
  <c r="D251" i="4"/>
  <c r="C251" i="4"/>
  <c r="B251" i="4"/>
  <c r="A251" i="4"/>
  <c r="D250" i="4"/>
  <c r="C250" i="4"/>
  <c r="B250" i="4"/>
  <c r="A250" i="4"/>
  <c r="D249" i="4"/>
  <c r="C249" i="4"/>
  <c r="B249" i="4"/>
  <c r="A249" i="4"/>
  <c r="D248" i="4"/>
  <c r="C248" i="4"/>
  <c r="B248" i="4"/>
  <c r="A248" i="4"/>
  <c r="D247" i="4"/>
  <c r="C247" i="4"/>
  <c r="B247" i="4"/>
  <c r="A247" i="4"/>
  <c r="D246" i="4"/>
  <c r="C246" i="4"/>
  <c r="B246" i="4"/>
  <c r="A246" i="4"/>
  <c r="D245" i="4"/>
  <c r="C245" i="4"/>
  <c r="B245" i="4"/>
  <c r="A245" i="4"/>
  <c r="D244" i="4"/>
  <c r="C244" i="4"/>
  <c r="B244" i="4"/>
  <c r="A244" i="4"/>
  <c r="D243" i="4"/>
  <c r="C243" i="4"/>
  <c r="B243" i="4"/>
  <c r="A243" i="4"/>
  <c r="D242" i="4"/>
  <c r="C242" i="4"/>
  <c r="B242" i="4"/>
  <c r="A242" i="4"/>
  <c r="D241" i="4"/>
  <c r="C241" i="4"/>
  <c r="B241" i="4"/>
  <c r="A241" i="4"/>
  <c r="D240" i="4"/>
  <c r="C240" i="4"/>
  <c r="B240" i="4"/>
  <c r="A240" i="4"/>
  <c r="D239" i="4"/>
  <c r="C239" i="4"/>
  <c r="B239" i="4"/>
  <c r="A239" i="4"/>
  <c r="D238" i="4"/>
  <c r="C238" i="4"/>
  <c r="B238" i="4"/>
  <c r="A238" i="4"/>
  <c r="D237" i="4"/>
  <c r="C237" i="4"/>
  <c r="B237" i="4"/>
  <c r="A237" i="4"/>
  <c r="D236" i="4"/>
  <c r="C236" i="4"/>
  <c r="B236" i="4"/>
  <c r="A236" i="4"/>
  <c r="D235" i="4"/>
  <c r="C235" i="4"/>
  <c r="B235" i="4"/>
  <c r="A235" i="4"/>
  <c r="D234" i="4"/>
  <c r="C234" i="4"/>
  <c r="B234" i="4"/>
  <c r="A234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D230" i="4"/>
  <c r="C230" i="4"/>
  <c r="B230" i="4"/>
  <c r="A230" i="4"/>
  <c r="D229" i="4"/>
  <c r="C229" i="4"/>
  <c r="B229" i="4"/>
  <c r="A229" i="4"/>
  <c r="D228" i="4"/>
  <c r="C228" i="4"/>
  <c r="B228" i="4"/>
  <c r="A228" i="4"/>
  <c r="D227" i="4"/>
  <c r="C227" i="4"/>
  <c r="B227" i="4"/>
  <c r="A227" i="4"/>
  <c r="D226" i="4"/>
  <c r="C226" i="4"/>
  <c r="B226" i="4"/>
  <c r="A226" i="4"/>
  <c r="D225" i="4"/>
  <c r="C225" i="4"/>
  <c r="B225" i="4"/>
  <c r="A225" i="4"/>
  <c r="D224" i="4"/>
  <c r="C224" i="4"/>
  <c r="B224" i="4"/>
  <c r="A224" i="4"/>
  <c r="D223" i="4"/>
  <c r="C223" i="4"/>
  <c r="B223" i="4"/>
  <c r="A223" i="4"/>
  <c r="D222" i="4"/>
  <c r="C222" i="4"/>
  <c r="B222" i="4"/>
  <c r="A222" i="4"/>
  <c r="D221" i="4"/>
  <c r="C221" i="4"/>
  <c r="B221" i="4"/>
  <c r="A221" i="4"/>
  <c r="D220" i="4"/>
  <c r="C220" i="4"/>
  <c r="B220" i="4"/>
  <c r="A220" i="4"/>
  <c r="D219" i="4"/>
  <c r="C219" i="4"/>
  <c r="B219" i="4"/>
  <c r="A219" i="4"/>
  <c r="D218" i="4"/>
  <c r="C218" i="4"/>
  <c r="B218" i="4"/>
  <c r="A218" i="4"/>
  <c r="D217" i="4"/>
  <c r="C217" i="4"/>
  <c r="B217" i="4"/>
  <c r="A217" i="4"/>
  <c r="D216" i="4"/>
  <c r="C216" i="4"/>
  <c r="B216" i="4"/>
  <c r="A216" i="4"/>
  <c r="D215" i="4"/>
  <c r="C215" i="4"/>
  <c r="B215" i="4"/>
  <c r="A215" i="4"/>
  <c r="D214" i="4"/>
  <c r="C214" i="4"/>
  <c r="B214" i="4"/>
  <c r="A214" i="4"/>
  <c r="D213" i="4"/>
  <c r="C213" i="4"/>
  <c r="B213" i="4"/>
  <c r="A213" i="4"/>
  <c r="D212" i="4"/>
  <c r="C212" i="4"/>
  <c r="B212" i="4"/>
  <c r="A212" i="4"/>
  <c r="D211" i="4"/>
  <c r="C211" i="4"/>
  <c r="B211" i="4"/>
  <c r="A211" i="4"/>
  <c r="D210" i="4"/>
  <c r="C210" i="4"/>
  <c r="B210" i="4"/>
  <c r="A210" i="4"/>
  <c r="D209" i="4"/>
  <c r="C209" i="4"/>
  <c r="B209" i="4"/>
  <c r="A209" i="4"/>
  <c r="D208" i="4"/>
  <c r="C208" i="4"/>
  <c r="B208" i="4"/>
  <c r="A208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D204" i="4"/>
  <c r="C204" i="4"/>
  <c r="B204" i="4"/>
  <c r="A204" i="4"/>
  <c r="D203" i="4"/>
  <c r="C203" i="4"/>
  <c r="B203" i="4"/>
  <c r="A203" i="4"/>
  <c r="D202" i="4"/>
  <c r="C202" i="4"/>
  <c r="B202" i="4"/>
  <c r="A202" i="4"/>
  <c r="D201" i="4"/>
  <c r="C201" i="4"/>
  <c r="B201" i="4"/>
  <c r="A201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D194" i="4"/>
  <c r="C194" i="4"/>
  <c r="B194" i="4"/>
  <c r="A194" i="4"/>
  <c r="D193" i="4"/>
  <c r="C193" i="4"/>
  <c r="B193" i="4"/>
  <c r="A193" i="4"/>
  <c r="D192" i="4"/>
  <c r="C192" i="4"/>
  <c r="B192" i="4"/>
  <c r="A192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D187" i="4"/>
  <c r="C187" i="4"/>
  <c r="B187" i="4"/>
  <c r="A187" i="4"/>
  <c r="D186" i="4"/>
  <c r="C186" i="4"/>
  <c r="B186" i="4"/>
  <c r="A186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D179" i="4"/>
  <c r="C179" i="4"/>
  <c r="B179" i="4"/>
  <c r="A179" i="4"/>
  <c r="D178" i="4"/>
  <c r="C178" i="4"/>
  <c r="B178" i="4"/>
  <c r="A178" i="4"/>
  <c r="D177" i="4"/>
  <c r="C177" i="4"/>
  <c r="B177" i="4"/>
  <c r="A177" i="4"/>
  <c r="D176" i="4"/>
  <c r="C176" i="4"/>
  <c r="B176" i="4"/>
  <c r="A176" i="4"/>
  <c r="D175" i="4"/>
  <c r="C175" i="4"/>
  <c r="B175" i="4"/>
  <c r="A175" i="4"/>
  <c r="D174" i="4"/>
  <c r="C174" i="4"/>
  <c r="B174" i="4"/>
  <c r="A174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D170" i="4"/>
  <c r="C170" i="4"/>
  <c r="B170" i="4"/>
  <c r="A170" i="4"/>
  <c r="D169" i="4"/>
  <c r="C169" i="4"/>
  <c r="B169" i="4"/>
  <c r="A169" i="4"/>
  <c r="D168" i="4"/>
  <c r="C168" i="4"/>
  <c r="B168" i="4"/>
  <c r="A168" i="4"/>
  <c r="D167" i="4"/>
  <c r="C167" i="4"/>
  <c r="B167" i="4"/>
  <c r="A167" i="4"/>
  <c r="D166" i="4"/>
  <c r="C166" i="4"/>
  <c r="B166" i="4"/>
  <c r="A166" i="4"/>
  <c r="D165" i="4"/>
  <c r="C165" i="4"/>
  <c r="B165" i="4"/>
  <c r="A165" i="4"/>
  <c r="D164" i="4"/>
  <c r="C164" i="4"/>
  <c r="B164" i="4"/>
  <c r="A164" i="4"/>
  <c r="D163" i="4"/>
  <c r="C163" i="4"/>
  <c r="B163" i="4"/>
  <c r="A163" i="4"/>
  <c r="D162" i="4"/>
  <c r="C162" i="4"/>
  <c r="B162" i="4"/>
  <c r="A162" i="4"/>
  <c r="D161" i="4"/>
  <c r="C161" i="4"/>
  <c r="B161" i="4"/>
  <c r="A161" i="4"/>
  <c r="D160" i="4"/>
  <c r="C160" i="4"/>
  <c r="B160" i="4"/>
  <c r="A160" i="4"/>
  <c r="D159" i="4"/>
  <c r="C159" i="4"/>
  <c r="B159" i="4"/>
  <c r="A159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D155" i="4"/>
  <c r="C155" i="4"/>
  <c r="B155" i="4"/>
  <c r="A155" i="4"/>
  <c r="D154" i="4"/>
  <c r="C154" i="4"/>
  <c r="B154" i="4"/>
  <c r="A154" i="4"/>
  <c r="D153" i="4"/>
  <c r="C153" i="4"/>
  <c r="B153" i="4"/>
  <c r="A153" i="4"/>
  <c r="D152" i="4"/>
  <c r="C152" i="4"/>
  <c r="B152" i="4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D148" i="4"/>
  <c r="C148" i="4"/>
  <c r="B148" i="4"/>
  <c r="A148" i="4"/>
  <c r="D147" i="4"/>
  <c r="C147" i="4"/>
  <c r="B147" i="4"/>
  <c r="A147" i="4"/>
  <c r="D146" i="4"/>
  <c r="C146" i="4"/>
  <c r="B146" i="4"/>
  <c r="A146" i="4"/>
  <c r="D145" i="4"/>
  <c r="C145" i="4"/>
  <c r="B145" i="4"/>
  <c r="A145" i="4"/>
  <c r="D144" i="4"/>
  <c r="C144" i="4"/>
  <c r="B144" i="4"/>
  <c r="A144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D139" i="4"/>
  <c r="C139" i="4"/>
  <c r="B139" i="4"/>
  <c r="A139" i="4"/>
  <c r="D138" i="4"/>
  <c r="C138" i="4"/>
  <c r="B138" i="4"/>
  <c r="A138" i="4"/>
  <c r="D137" i="4"/>
  <c r="C137" i="4"/>
  <c r="B137" i="4"/>
  <c r="A137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D132" i="4"/>
  <c r="C132" i="4"/>
  <c r="B132" i="4"/>
  <c r="A132" i="4"/>
  <c r="D131" i="4"/>
  <c r="C131" i="4"/>
  <c r="B131" i="4"/>
  <c r="A131" i="4"/>
  <c r="D130" i="4"/>
  <c r="C130" i="4"/>
  <c r="B130" i="4"/>
  <c r="A130" i="4"/>
  <c r="D129" i="4"/>
  <c r="C129" i="4"/>
  <c r="B129" i="4"/>
  <c r="A129" i="4"/>
  <c r="D128" i="4"/>
  <c r="C128" i="4"/>
  <c r="B128" i="4"/>
  <c r="A128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D124" i="4"/>
  <c r="C124" i="4"/>
  <c r="B124" i="4"/>
  <c r="A124" i="4"/>
  <c r="D123" i="4"/>
  <c r="C123" i="4"/>
  <c r="B123" i="4"/>
  <c r="A123" i="4"/>
  <c r="D122" i="4"/>
  <c r="C122" i="4"/>
  <c r="B122" i="4"/>
  <c r="A122" i="4"/>
  <c r="D121" i="4"/>
  <c r="C121" i="4"/>
  <c r="B121" i="4"/>
  <c r="A121" i="4"/>
  <c r="D120" i="4"/>
  <c r="C120" i="4"/>
  <c r="B120" i="4"/>
  <c r="A120" i="4"/>
  <c r="D119" i="4"/>
  <c r="C119" i="4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D115" i="4"/>
  <c r="C115" i="4"/>
  <c r="B115" i="4"/>
  <c r="A115" i="4"/>
  <c r="D114" i="4"/>
  <c r="C114" i="4"/>
  <c r="B114" i="4"/>
  <c r="A114" i="4"/>
  <c r="D113" i="4"/>
  <c r="C113" i="4"/>
  <c r="B113" i="4"/>
  <c r="A113" i="4"/>
  <c r="D112" i="4"/>
  <c r="C112" i="4"/>
  <c r="B112" i="4"/>
  <c r="A112" i="4"/>
  <c r="D111" i="4"/>
  <c r="C111" i="4"/>
  <c r="B111" i="4"/>
  <c r="A111" i="4"/>
  <c r="D110" i="4"/>
  <c r="C110" i="4"/>
  <c r="B110" i="4"/>
  <c r="A110" i="4"/>
  <c r="D109" i="4"/>
  <c r="C109" i="4"/>
  <c r="B109" i="4"/>
  <c r="A109" i="4"/>
  <c r="D108" i="4"/>
  <c r="C108" i="4"/>
  <c r="B108" i="4"/>
  <c r="A108" i="4"/>
  <c r="D107" i="4"/>
  <c r="B107" i="4"/>
  <c r="A107" i="4"/>
  <c r="D106" i="4"/>
  <c r="C106" i="4"/>
  <c r="B106" i="4"/>
  <c r="A106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D100" i="4"/>
  <c r="C100" i="4"/>
  <c r="B100" i="4"/>
  <c r="A100" i="4"/>
  <c r="D99" i="4"/>
  <c r="C99" i="4"/>
  <c r="B99" i="4"/>
  <c r="A99" i="4"/>
  <c r="D98" i="4"/>
  <c r="C98" i="4"/>
  <c r="B98" i="4"/>
  <c r="A98" i="4"/>
  <c r="D97" i="4"/>
  <c r="C97" i="4"/>
  <c r="B97" i="4"/>
  <c r="A97" i="4"/>
  <c r="D96" i="4"/>
  <c r="C96" i="4"/>
  <c r="B96" i="4"/>
  <c r="A96" i="4"/>
  <c r="D95" i="4"/>
  <c r="C95" i="4"/>
  <c r="B95" i="4"/>
  <c r="A95" i="4"/>
  <c r="D94" i="4"/>
  <c r="C94" i="4"/>
  <c r="B94" i="4"/>
  <c r="A94" i="4"/>
  <c r="D93" i="4"/>
  <c r="C93" i="4"/>
  <c r="B93" i="4"/>
  <c r="A93" i="4"/>
  <c r="D92" i="4"/>
  <c r="C92" i="4"/>
  <c r="B92" i="4"/>
  <c r="A92" i="4"/>
  <c r="D91" i="4"/>
  <c r="C91" i="4"/>
  <c r="B91" i="4"/>
  <c r="A91" i="4"/>
  <c r="D90" i="4"/>
  <c r="C90" i="4"/>
  <c r="B90" i="4"/>
  <c r="A90" i="4"/>
  <c r="D89" i="4"/>
  <c r="C89" i="4"/>
  <c r="B89" i="4"/>
  <c r="A89" i="4"/>
  <c r="D88" i="4"/>
  <c r="C88" i="4"/>
  <c r="B88" i="4"/>
  <c r="A88" i="4"/>
  <c r="D87" i="4"/>
  <c r="C87" i="4"/>
  <c r="B87" i="4"/>
  <c r="A87" i="4"/>
  <c r="D86" i="4"/>
  <c r="C86" i="4"/>
  <c r="B86" i="4"/>
  <c r="A86" i="4"/>
  <c r="D85" i="4"/>
  <c r="C85" i="4"/>
  <c r="B85" i="4"/>
  <c r="A85" i="4"/>
  <c r="D84" i="4"/>
  <c r="C84" i="4"/>
  <c r="B84" i="4"/>
  <c r="A84" i="4"/>
  <c r="D83" i="4"/>
  <c r="C83" i="4"/>
  <c r="B83" i="4"/>
  <c r="A83" i="4"/>
  <c r="D82" i="4"/>
  <c r="C82" i="4"/>
  <c r="B82" i="4"/>
  <c r="A82" i="4"/>
  <c r="D81" i="4"/>
  <c r="C81" i="4"/>
  <c r="B81" i="4"/>
  <c r="A81" i="4"/>
  <c r="D80" i="4"/>
  <c r="C80" i="4"/>
  <c r="B80" i="4"/>
  <c r="A80" i="4"/>
  <c r="D79" i="4"/>
  <c r="C79" i="4"/>
  <c r="B79" i="4"/>
  <c r="A79" i="4"/>
  <c r="D78" i="4"/>
  <c r="C78" i="4"/>
  <c r="B78" i="4"/>
  <c r="A78" i="4"/>
  <c r="D77" i="4"/>
  <c r="C77" i="4"/>
  <c r="B77" i="4"/>
  <c r="A77" i="4"/>
  <c r="D76" i="4"/>
  <c r="C76" i="4"/>
  <c r="B76" i="4"/>
  <c r="A76" i="4"/>
  <c r="D75" i="4"/>
  <c r="C75" i="4"/>
  <c r="B75" i="4"/>
  <c r="A75" i="4"/>
  <c r="D74" i="4"/>
  <c r="C74" i="4"/>
  <c r="B74" i="4"/>
  <c r="A74" i="4"/>
  <c r="D73" i="4"/>
  <c r="C73" i="4"/>
  <c r="B73" i="4"/>
  <c r="A73" i="4"/>
  <c r="D72" i="4"/>
  <c r="C72" i="4"/>
  <c r="B72" i="4"/>
  <c r="A72" i="4"/>
  <c r="D71" i="4"/>
  <c r="C71" i="4"/>
  <c r="B71" i="4"/>
  <c r="A71" i="4"/>
  <c r="D70" i="4"/>
  <c r="C70" i="4"/>
  <c r="B70" i="4"/>
  <c r="A70" i="4"/>
  <c r="D69" i="4"/>
  <c r="C69" i="4"/>
  <c r="B69" i="4"/>
  <c r="A69" i="4"/>
  <c r="D68" i="4"/>
  <c r="C68" i="4"/>
  <c r="B68" i="4"/>
  <c r="A68" i="4"/>
  <c r="D67" i="4"/>
  <c r="C67" i="4"/>
  <c r="B67" i="4"/>
  <c r="A67" i="4"/>
  <c r="D66" i="4"/>
  <c r="C66" i="4"/>
  <c r="B66" i="4"/>
  <c r="A66" i="4"/>
  <c r="D65" i="4"/>
  <c r="C65" i="4"/>
  <c r="B65" i="4"/>
  <c r="A65" i="4"/>
  <c r="D64" i="4"/>
  <c r="C64" i="4"/>
  <c r="B64" i="4"/>
  <c r="A64" i="4"/>
  <c r="D63" i="4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D1462" i="3"/>
  <c r="C1462" i="3"/>
  <c r="B1462" i="3"/>
  <c r="A1462" i="3"/>
  <c r="D1461" i="3"/>
  <c r="C1461" i="3"/>
  <c r="B1461" i="3"/>
  <c r="A1461" i="3"/>
  <c r="D1460" i="3"/>
  <c r="C1460" i="3"/>
  <c r="B1460" i="3"/>
  <c r="A1460" i="3"/>
  <c r="D1459" i="3"/>
  <c r="C1459" i="3"/>
  <c r="B1459" i="3"/>
  <c r="A1459" i="3"/>
  <c r="D1458" i="3"/>
  <c r="C1458" i="3"/>
  <c r="B1458" i="3"/>
  <c r="A1458" i="3"/>
  <c r="D1457" i="3"/>
  <c r="C1457" i="3"/>
  <c r="B1457" i="3"/>
  <c r="A1457" i="3"/>
  <c r="D1456" i="3"/>
  <c r="C1456" i="3"/>
  <c r="B1456" i="3"/>
  <c r="A1456" i="3"/>
  <c r="D1455" i="3"/>
  <c r="C1455" i="3"/>
  <c r="B1455" i="3"/>
  <c r="A1455" i="3"/>
  <c r="D1454" i="3"/>
  <c r="C1454" i="3"/>
  <c r="B1454" i="3"/>
  <c r="A1454" i="3"/>
  <c r="D1453" i="3"/>
  <c r="C1453" i="3"/>
  <c r="B1453" i="3"/>
  <c r="A1453" i="3"/>
  <c r="D1452" i="3"/>
  <c r="C1452" i="3"/>
  <c r="B1452" i="3"/>
  <c r="A1452" i="3"/>
  <c r="D1451" i="3"/>
  <c r="C1451" i="3"/>
  <c r="B1451" i="3"/>
  <c r="A1451" i="3"/>
  <c r="D1450" i="3"/>
  <c r="C1450" i="3"/>
  <c r="B1450" i="3"/>
  <c r="A1450" i="3"/>
  <c r="D1449" i="3"/>
  <c r="C1449" i="3"/>
  <c r="B1449" i="3"/>
  <c r="A1449" i="3"/>
  <c r="D1448" i="3"/>
  <c r="C1448" i="3"/>
  <c r="B1448" i="3"/>
  <c r="A1448" i="3"/>
  <c r="D1447" i="3"/>
  <c r="C1447" i="3"/>
  <c r="B1447" i="3"/>
  <c r="A1447" i="3"/>
  <c r="D1446" i="3"/>
  <c r="C1446" i="3"/>
  <c r="B1446" i="3"/>
  <c r="A1446" i="3"/>
  <c r="D1445" i="3"/>
  <c r="C1445" i="3"/>
  <c r="B1445" i="3"/>
  <c r="A1445" i="3"/>
  <c r="D1444" i="3"/>
  <c r="C1444" i="3"/>
  <c r="B1444" i="3"/>
  <c r="A1444" i="3"/>
  <c r="D1443" i="3"/>
  <c r="C1443" i="3"/>
  <c r="B1443" i="3"/>
  <c r="A1443" i="3"/>
  <c r="D1442" i="3"/>
  <c r="C1442" i="3"/>
  <c r="B1442" i="3"/>
  <c r="A1442" i="3"/>
  <c r="D1441" i="3"/>
  <c r="C1441" i="3"/>
  <c r="B1441" i="3"/>
  <c r="A1441" i="3"/>
  <c r="D1440" i="3"/>
  <c r="C1440" i="3"/>
  <c r="B1440" i="3"/>
  <c r="A1440" i="3"/>
  <c r="D1439" i="3"/>
  <c r="C1439" i="3"/>
  <c r="B1439" i="3"/>
  <c r="A1439" i="3"/>
  <c r="D1438" i="3"/>
  <c r="C1438" i="3"/>
  <c r="B1438" i="3"/>
  <c r="A1438" i="3"/>
  <c r="D1437" i="3"/>
  <c r="C1437" i="3"/>
  <c r="B1437" i="3"/>
  <c r="A1437" i="3"/>
  <c r="D1436" i="3"/>
  <c r="C1436" i="3"/>
  <c r="B1436" i="3"/>
  <c r="A1436" i="3"/>
  <c r="D1435" i="3"/>
  <c r="C1435" i="3"/>
  <c r="B1435" i="3"/>
  <c r="A1435" i="3"/>
  <c r="D1434" i="3"/>
  <c r="C1434" i="3"/>
  <c r="B1434" i="3"/>
  <c r="A1434" i="3"/>
  <c r="D1433" i="3"/>
  <c r="C1433" i="3"/>
  <c r="B1433" i="3"/>
  <c r="A1433" i="3"/>
  <c r="D1432" i="3"/>
  <c r="C1432" i="3"/>
  <c r="B1432" i="3"/>
  <c r="A1432" i="3"/>
  <c r="D1431" i="3"/>
  <c r="C1431" i="3"/>
  <c r="B1431" i="3"/>
  <c r="A1431" i="3"/>
  <c r="D1430" i="3"/>
  <c r="C1430" i="3"/>
  <c r="B1430" i="3"/>
  <c r="A1430" i="3"/>
  <c r="D1429" i="3"/>
  <c r="C1429" i="3"/>
  <c r="B1429" i="3"/>
  <c r="A1429" i="3"/>
  <c r="D1428" i="3"/>
  <c r="C1428" i="3"/>
  <c r="B1428" i="3"/>
  <c r="A1428" i="3"/>
  <c r="D1427" i="3"/>
  <c r="C1427" i="3"/>
  <c r="B1427" i="3"/>
  <c r="A1427" i="3"/>
  <c r="D1426" i="3"/>
  <c r="C1426" i="3"/>
  <c r="B1426" i="3"/>
  <c r="A1426" i="3"/>
  <c r="D1425" i="3"/>
  <c r="C1425" i="3"/>
  <c r="B1425" i="3"/>
  <c r="A1425" i="3"/>
  <c r="D1424" i="3"/>
  <c r="C1424" i="3"/>
  <c r="B1424" i="3"/>
  <c r="A1424" i="3"/>
  <c r="D1423" i="3"/>
  <c r="C1423" i="3"/>
  <c r="B1423" i="3"/>
  <c r="A1423" i="3"/>
  <c r="D1422" i="3"/>
  <c r="C1422" i="3"/>
  <c r="B1422" i="3"/>
  <c r="A1422" i="3"/>
  <c r="D1421" i="3"/>
  <c r="C1421" i="3"/>
  <c r="B1421" i="3"/>
  <c r="A1421" i="3"/>
  <c r="D1420" i="3"/>
  <c r="C1420" i="3"/>
  <c r="B1420" i="3"/>
  <c r="A1420" i="3"/>
  <c r="D1419" i="3"/>
  <c r="C1419" i="3"/>
  <c r="B1419" i="3"/>
  <c r="A1419" i="3"/>
  <c r="D1418" i="3"/>
  <c r="C1418" i="3"/>
  <c r="B1418" i="3"/>
  <c r="A1418" i="3"/>
  <c r="D1417" i="3"/>
  <c r="C1417" i="3"/>
  <c r="B1417" i="3"/>
  <c r="A1417" i="3"/>
  <c r="D1416" i="3"/>
  <c r="C1416" i="3"/>
  <c r="B1416" i="3"/>
  <c r="A1416" i="3"/>
  <c r="D1415" i="3"/>
  <c r="C1415" i="3"/>
  <c r="B1415" i="3"/>
  <c r="A1415" i="3"/>
  <c r="D1414" i="3"/>
  <c r="C1414" i="3"/>
  <c r="B1414" i="3"/>
  <c r="A1414" i="3"/>
  <c r="D1413" i="3"/>
  <c r="C1413" i="3"/>
  <c r="B1413" i="3"/>
  <c r="A1413" i="3"/>
  <c r="D1412" i="3"/>
  <c r="C1412" i="3"/>
  <c r="B1412" i="3"/>
  <c r="A1412" i="3"/>
  <c r="D1411" i="3"/>
  <c r="C1411" i="3"/>
  <c r="B1411" i="3"/>
  <c r="A1411" i="3"/>
  <c r="D1410" i="3"/>
  <c r="C1410" i="3"/>
  <c r="B1410" i="3"/>
  <c r="A1410" i="3"/>
  <c r="D1409" i="3"/>
  <c r="C1409" i="3"/>
  <c r="B1409" i="3"/>
  <c r="A1409" i="3"/>
  <c r="D1408" i="3"/>
  <c r="C1408" i="3"/>
  <c r="B1408" i="3"/>
  <c r="A1408" i="3"/>
  <c r="D1407" i="3"/>
  <c r="C1407" i="3"/>
  <c r="B1407" i="3"/>
  <c r="A1407" i="3"/>
  <c r="D1406" i="3"/>
  <c r="C1406" i="3"/>
  <c r="B1406" i="3"/>
  <c r="A1406" i="3"/>
  <c r="D1405" i="3"/>
  <c r="C1405" i="3"/>
  <c r="B1405" i="3"/>
  <c r="A1405" i="3"/>
  <c r="D1404" i="3"/>
  <c r="C1404" i="3"/>
  <c r="B1404" i="3"/>
  <c r="A1404" i="3"/>
  <c r="D1403" i="3"/>
  <c r="C1403" i="3"/>
  <c r="B1403" i="3"/>
  <c r="A1403" i="3"/>
  <c r="D1402" i="3"/>
  <c r="C1402" i="3"/>
  <c r="B1402" i="3"/>
  <c r="A1402" i="3"/>
  <c r="D1401" i="3"/>
  <c r="C1401" i="3"/>
  <c r="B1401" i="3"/>
  <c r="A1401" i="3"/>
  <c r="D1400" i="3"/>
  <c r="C1400" i="3"/>
  <c r="B1400" i="3"/>
  <c r="A1400" i="3"/>
  <c r="D1399" i="3"/>
  <c r="C1399" i="3"/>
  <c r="B1399" i="3"/>
  <c r="A1399" i="3"/>
  <c r="D1398" i="3"/>
  <c r="C1398" i="3"/>
  <c r="B1398" i="3"/>
  <c r="A1398" i="3"/>
  <c r="D1397" i="3"/>
  <c r="C1397" i="3"/>
  <c r="B1397" i="3"/>
  <c r="A1397" i="3"/>
  <c r="D1396" i="3"/>
  <c r="C1396" i="3"/>
  <c r="B1396" i="3"/>
  <c r="A1396" i="3"/>
  <c r="D1395" i="3"/>
  <c r="C1395" i="3"/>
  <c r="B1395" i="3"/>
  <c r="A1395" i="3"/>
  <c r="D1394" i="3"/>
  <c r="C1394" i="3"/>
  <c r="B1394" i="3"/>
  <c r="A1394" i="3"/>
  <c r="D1393" i="3"/>
  <c r="C1393" i="3"/>
  <c r="B1393" i="3"/>
  <c r="A1393" i="3"/>
  <c r="D1392" i="3"/>
  <c r="C1392" i="3"/>
  <c r="B1392" i="3"/>
  <c r="A1392" i="3"/>
  <c r="D1391" i="3"/>
  <c r="C1391" i="3"/>
  <c r="B1391" i="3"/>
  <c r="A1391" i="3"/>
  <c r="D1390" i="3"/>
  <c r="C1390" i="3"/>
  <c r="B1390" i="3"/>
  <c r="A1390" i="3"/>
  <c r="D1389" i="3"/>
  <c r="C1389" i="3"/>
  <c r="B1389" i="3"/>
  <c r="A1389" i="3"/>
  <c r="D1388" i="3"/>
  <c r="C1388" i="3"/>
  <c r="B1388" i="3"/>
  <c r="A1388" i="3"/>
  <c r="D1387" i="3"/>
  <c r="C1387" i="3"/>
  <c r="B1387" i="3"/>
  <c r="A1387" i="3"/>
  <c r="D1386" i="3"/>
  <c r="C1386" i="3"/>
  <c r="B1386" i="3"/>
  <c r="A1386" i="3"/>
  <c r="D1385" i="3"/>
  <c r="C1385" i="3"/>
  <c r="B1385" i="3"/>
  <c r="A1385" i="3"/>
  <c r="D1384" i="3"/>
  <c r="C1384" i="3"/>
  <c r="B1384" i="3"/>
  <c r="A1384" i="3"/>
  <c r="D1383" i="3"/>
  <c r="C1383" i="3"/>
  <c r="B1383" i="3"/>
  <c r="A1383" i="3"/>
  <c r="D1382" i="3"/>
  <c r="C1382" i="3"/>
  <c r="B1382" i="3"/>
  <c r="A1382" i="3"/>
  <c r="D1381" i="3"/>
  <c r="C1381" i="3"/>
  <c r="B1381" i="3"/>
  <c r="A1381" i="3"/>
  <c r="D1380" i="3"/>
  <c r="C1380" i="3"/>
  <c r="B1380" i="3"/>
  <c r="A1380" i="3"/>
  <c r="D1379" i="3"/>
  <c r="C1379" i="3"/>
  <c r="B1379" i="3"/>
  <c r="A1379" i="3"/>
  <c r="D1378" i="3"/>
  <c r="C1378" i="3"/>
  <c r="B1378" i="3"/>
  <c r="A1378" i="3"/>
  <c r="D1377" i="3"/>
  <c r="C1377" i="3"/>
  <c r="B1377" i="3"/>
  <c r="A1377" i="3"/>
  <c r="D1376" i="3"/>
  <c r="C1376" i="3"/>
  <c r="B1376" i="3"/>
  <c r="A1376" i="3"/>
  <c r="D1375" i="3"/>
  <c r="C1375" i="3"/>
  <c r="B1375" i="3"/>
  <c r="A1375" i="3"/>
  <c r="D1374" i="3"/>
  <c r="C1374" i="3"/>
  <c r="B1374" i="3"/>
  <c r="A1374" i="3"/>
  <c r="D1373" i="3"/>
  <c r="C1373" i="3"/>
  <c r="B1373" i="3"/>
  <c r="A1373" i="3"/>
  <c r="D1372" i="3"/>
  <c r="C1372" i="3"/>
  <c r="B1372" i="3"/>
  <c r="A1372" i="3"/>
  <c r="D1371" i="3"/>
  <c r="C1371" i="3"/>
  <c r="B1371" i="3"/>
  <c r="A1371" i="3"/>
  <c r="D1370" i="3"/>
  <c r="C1370" i="3"/>
  <c r="B1370" i="3"/>
  <c r="A1370" i="3"/>
  <c r="D1369" i="3"/>
  <c r="C1369" i="3"/>
  <c r="B1369" i="3"/>
  <c r="A1369" i="3"/>
  <c r="D1368" i="3"/>
  <c r="C1368" i="3"/>
  <c r="B1368" i="3"/>
  <c r="A1368" i="3"/>
  <c r="D1367" i="3"/>
  <c r="C1367" i="3"/>
  <c r="B1367" i="3"/>
  <c r="A1367" i="3"/>
  <c r="D1366" i="3"/>
  <c r="C1366" i="3"/>
  <c r="B1366" i="3"/>
  <c r="A1366" i="3"/>
  <c r="D1365" i="3"/>
  <c r="C1365" i="3"/>
  <c r="B1365" i="3"/>
  <c r="A1365" i="3"/>
  <c r="D1364" i="3"/>
  <c r="C1364" i="3"/>
  <c r="B1364" i="3"/>
  <c r="A1364" i="3"/>
  <c r="D1363" i="3"/>
  <c r="C1363" i="3"/>
  <c r="B1363" i="3"/>
  <c r="A1363" i="3"/>
  <c r="D1362" i="3"/>
  <c r="C1362" i="3"/>
  <c r="B1362" i="3"/>
  <c r="A1362" i="3"/>
  <c r="D1361" i="3"/>
  <c r="C1361" i="3"/>
  <c r="B1361" i="3"/>
  <c r="A1361" i="3"/>
  <c r="D1360" i="3"/>
  <c r="C1360" i="3"/>
  <c r="B1360" i="3"/>
  <c r="A1360" i="3"/>
  <c r="D1359" i="3"/>
  <c r="C1359" i="3"/>
  <c r="B1359" i="3"/>
  <c r="A1359" i="3"/>
  <c r="D1358" i="3"/>
  <c r="C1358" i="3"/>
  <c r="B1358" i="3"/>
  <c r="A1358" i="3"/>
  <c r="D1357" i="3"/>
  <c r="C1357" i="3"/>
  <c r="B1357" i="3"/>
  <c r="A1357" i="3"/>
  <c r="D1356" i="3"/>
  <c r="C1356" i="3"/>
  <c r="B1356" i="3"/>
  <c r="A1356" i="3"/>
  <c r="D1355" i="3"/>
  <c r="C1355" i="3"/>
  <c r="B1355" i="3"/>
  <c r="A1355" i="3"/>
  <c r="D1354" i="3"/>
  <c r="C1354" i="3"/>
  <c r="B1354" i="3"/>
  <c r="A1354" i="3"/>
  <c r="D1353" i="3"/>
  <c r="C1353" i="3"/>
  <c r="B1353" i="3"/>
  <c r="A1353" i="3"/>
  <c r="D1352" i="3"/>
  <c r="C1352" i="3"/>
  <c r="B1352" i="3"/>
  <c r="A1352" i="3"/>
  <c r="D1351" i="3"/>
  <c r="C1351" i="3"/>
  <c r="B1351" i="3"/>
  <c r="A1351" i="3"/>
  <c r="D1350" i="3"/>
  <c r="C1350" i="3"/>
  <c r="B1350" i="3"/>
  <c r="A1350" i="3"/>
  <c r="D1349" i="3"/>
  <c r="C1349" i="3"/>
  <c r="B1349" i="3"/>
  <c r="A1349" i="3"/>
  <c r="D1348" i="3"/>
  <c r="C1348" i="3"/>
  <c r="B1348" i="3"/>
  <c r="A1348" i="3"/>
  <c r="D1347" i="3"/>
  <c r="C1347" i="3"/>
  <c r="B1347" i="3"/>
  <c r="A1347" i="3"/>
  <c r="D1346" i="3"/>
  <c r="C1346" i="3"/>
  <c r="B1346" i="3"/>
  <c r="A1346" i="3"/>
  <c r="D1345" i="3"/>
  <c r="C1345" i="3"/>
  <c r="B1345" i="3"/>
  <c r="A1345" i="3"/>
  <c r="D1344" i="3"/>
  <c r="C1344" i="3"/>
  <c r="B1344" i="3"/>
  <c r="A1344" i="3"/>
  <c r="D1343" i="3"/>
  <c r="C1343" i="3"/>
  <c r="B1343" i="3"/>
  <c r="A1343" i="3"/>
  <c r="D1342" i="3"/>
  <c r="C1342" i="3"/>
  <c r="B1342" i="3"/>
  <c r="A1342" i="3"/>
  <c r="D1341" i="3"/>
  <c r="C1341" i="3"/>
  <c r="B1341" i="3"/>
  <c r="A1341" i="3"/>
  <c r="D1340" i="3"/>
  <c r="C1340" i="3"/>
  <c r="B1340" i="3"/>
  <c r="A1340" i="3"/>
  <c r="D1339" i="3"/>
  <c r="C1339" i="3"/>
  <c r="B1339" i="3"/>
  <c r="A1339" i="3"/>
  <c r="D1338" i="3"/>
  <c r="C1338" i="3"/>
  <c r="B1338" i="3"/>
  <c r="A1338" i="3"/>
  <c r="D1337" i="3"/>
  <c r="C1337" i="3"/>
  <c r="B1337" i="3"/>
  <c r="A1337" i="3"/>
  <c r="D1336" i="3"/>
  <c r="C1336" i="3"/>
  <c r="B1336" i="3"/>
  <c r="A1336" i="3"/>
  <c r="D1335" i="3"/>
  <c r="C1335" i="3"/>
  <c r="B1335" i="3"/>
  <c r="A1335" i="3"/>
  <c r="D1334" i="3"/>
  <c r="C1334" i="3"/>
  <c r="B1334" i="3"/>
  <c r="A1334" i="3"/>
  <c r="D1333" i="3"/>
  <c r="C1333" i="3"/>
  <c r="B1333" i="3"/>
  <c r="A1333" i="3"/>
  <c r="D1332" i="3"/>
  <c r="C1332" i="3"/>
  <c r="B1332" i="3"/>
  <c r="A1332" i="3"/>
  <c r="D1331" i="3"/>
  <c r="C1331" i="3"/>
  <c r="B1331" i="3"/>
  <c r="A1331" i="3"/>
  <c r="D1330" i="3"/>
  <c r="C1330" i="3"/>
  <c r="B1330" i="3"/>
  <c r="A1330" i="3"/>
  <c r="D1329" i="3"/>
  <c r="C1329" i="3"/>
  <c r="B1329" i="3"/>
  <c r="A1329" i="3"/>
  <c r="D1328" i="3"/>
  <c r="C1328" i="3"/>
  <c r="B1328" i="3"/>
  <c r="A1328" i="3"/>
  <c r="D1327" i="3"/>
  <c r="C1327" i="3"/>
  <c r="B1327" i="3"/>
  <c r="A1327" i="3"/>
  <c r="D1326" i="3"/>
  <c r="C1326" i="3"/>
  <c r="B1326" i="3"/>
  <c r="A1326" i="3"/>
  <c r="D1325" i="3"/>
  <c r="C1325" i="3"/>
  <c r="B1325" i="3"/>
  <c r="A1325" i="3"/>
  <c r="D1324" i="3"/>
  <c r="C1324" i="3"/>
  <c r="B1324" i="3"/>
  <c r="A1324" i="3"/>
  <c r="D1323" i="3"/>
  <c r="C1323" i="3"/>
  <c r="B1323" i="3"/>
  <c r="A1323" i="3"/>
  <c r="D1322" i="3"/>
  <c r="C1322" i="3"/>
  <c r="B1322" i="3"/>
  <c r="A1322" i="3"/>
  <c r="D1321" i="3"/>
  <c r="C1321" i="3"/>
  <c r="B1321" i="3"/>
  <c r="A1321" i="3"/>
  <c r="D1320" i="3"/>
  <c r="C1320" i="3"/>
  <c r="B1320" i="3"/>
  <c r="A1320" i="3"/>
  <c r="D1319" i="3"/>
  <c r="C1319" i="3"/>
  <c r="B1319" i="3"/>
  <c r="A1319" i="3"/>
  <c r="D1318" i="3"/>
  <c r="C1318" i="3"/>
  <c r="B1318" i="3"/>
  <c r="A1318" i="3"/>
  <c r="D1317" i="3"/>
  <c r="C1317" i="3"/>
  <c r="B1317" i="3"/>
  <c r="A1317" i="3"/>
  <c r="D1316" i="3"/>
  <c r="C1316" i="3"/>
  <c r="B1316" i="3"/>
  <c r="A1316" i="3"/>
  <c r="D1315" i="3"/>
  <c r="C1315" i="3"/>
  <c r="B1315" i="3"/>
  <c r="A1315" i="3"/>
  <c r="D1314" i="3"/>
  <c r="C1314" i="3"/>
  <c r="B1314" i="3"/>
  <c r="A1314" i="3"/>
  <c r="D1313" i="3"/>
  <c r="C1313" i="3"/>
  <c r="B1313" i="3"/>
  <c r="A1313" i="3"/>
  <c r="D1312" i="3"/>
  <c r="C1312" i="3"/>
  <c r="B1312" i="3"/>
  <c r="A1312" i="3"/>
  <c r="D1311" i="3"/>
  <c r="C1311" i="3"/>
  <c r="B1311" i="3"/>
  <c r="A1311" i="3"/>
  <c r="D1310" i="3"/>
  <c r="C1310" i="3"/>
  <c r="B1310" i="3"/>
  <c r="A1310" i="3"/>
  <c r="D1309" i="3"/>
  <c r="C1309" i="3"/>
  <c r="B1309" i="3"/>
  <c r="A1309" i="3"/>
  <c r="D1308" i="3"/>
  <c r="C1308" i="3"/>
  <c r="A1308" i="3"/>
  <c r="D1307" i="3"/>
  <c r="C1307" i="3"/>
  <c r="B1307" i="3"/>
  <c r="A1307" i="3"/>
  <c r="D1306" i="3"/>
  <c r="C1306" i="3"/>
  <c r="B1306" i="3"/>
  <c r="A1306" i="3"/>
  <c r="D1305" i="3"/>
  <c r="C1305" i="3"/>
  <c r="B1305" i="3"/>
  <c r="A1305" i="3"/>
  <c r="D1304" i="3"/>
  <c r="C1304" i="3"/>
  <c r="B1304" i="3"/>
  <c r="A1304" i="3"/>
  <c r="D1303" i="3"/>
  <c r="C1303" i="3"/>
  <c r="B1303" i="3"/>
  <c r="A1303" i="3"/>
  <c r="D1302" i="3"/>
  <c r="C1302" i="3"/>
  <c r="B1302" i="3"/>
  <c r="A1302" i="3"/>
  <c r="D1301" i="3"/>
  <c r="C1301" i="3"/>
  <c r="B1301" i="3"/>
  <c r="A1301" i="3"/>
  <c r="D1300" i="3"/>
  <c r="C1300" i="3"/>
  <c r="B1300" i="3"/>
  <c r="A1300" i="3"/>
  <c r="D1299" i="3"/>
  <c r="C1299" i="3"/>
  <c r="B1299" i="3"/>
  <c r="A1299" i="3"/>
  <c r="D1298" i="3"/>
  <c r="C1298" i="3"/>
  <c r="B1298" i="3"/>
  <c r="A1298" i="3"/>
  <c r="D1297" i="3"/>
  <c r="C1297" i="3"/>
  <c r="B1297" i="3"/>
  <c r="A1297" i="3"/>
  <c r="D1296" i="3"/>
  <c r="C1296" i="3"/>
  <c r="B1296" i="3"/>
  <c r="A1296" i="3"/>
  <c r="D1295" i="3"/>
  <c r="C1295" i="3"/>
  <c r="B1295" i="3"/>
  <c r="A1295" i="3"/>
  <c r="D1294" i="3"/>
  <c r="C1294" i="3"/>
  <c r="B1294" i="3"/>
  <c r="A1294" i="3"/>
  <c r="D1293" i="3"/>
  <c r="C1293" i="3"/>
  <c r="B1293" i="3"/>
  <c r="A1293" i="3"/>
  <c r="D1292" i="3"/>
  <c r="C1292" i="3"/>
  <c r="B1292" i="3"/>
  <c r="A1292" i="3"/>
  <c r="D1291" i="3"/>
  <c r="C1291" i="3"/>
  <c r="B1291" i="3"/>
  <c r="A1291" i="3"/>
  <c r="D1290" i="3"/>
  <c r="C1290" i="3"/>
  <c r="B1290" i="3"/>
  <c r="A1290" i="3"/>
  <c r="D1289" i="3"/>
  <c r="C1289" i="3"/>
  <c r="B1289" i="3"/>
  <c r="A1289" i="3"/>
  <c r="D1288" i="3"/>
  <c r="C1288" i="3"/>
  <c r="B1288" i="3"/>
  <c r="A1288" i="3"/>
  <c r="D1287" i="3"/>
  <c r="C1287" i="3"/>
  <c r="B1287" i="3"/>
  <c r="A1287" i="3"/>
  <c r="D1286" i="3"/>
  <c r="C1286" i="3"/>
  <c r="B1286" i="3"/>
  <c r="A1286" i="3"/>
  <c r="D1285" i="3"/>
  <c r="C1285" i="3"/>
  <c r="B1285" i="3"/>
  <c r="A1285" i="3"/>
  <c r="D1284" i="3"/>
  <c r="C1284" i="3"/>
  <c r="B1284" i="3"/>
  <c r="A1284" i="3"/>
  <c r="D1283" i="3"/>
  <c r="C1283" i="3"/>
  <c r="B1283" i="3"/>
  <c r="A1283" i="3"/>
  <c r="D1282" i="3"/>
  <c r="C1282" i="3"/>
  <c r="B1282" i="3"/>
  <c r="A1282" i="3"/>
  <c r="D1281" i="3"/>
  <c r="C1281" i="3"/>
  <c r="B1281" i="3"/>
  <c r="A1281" i="3"/>
  <c r="D1280" i="3"/>
  <c r="C1280" i="3"/>
  <c r="B1280" i="3"/>
  <c r="A1280" i="3"/>
  <c r="D1279" i="3"/>
  <c r="C1279" i="3"/>
  <c r="B1279" i="3"/>
  <c r="A1279" i="3"/>
  <c r="D1278" i="3"/>
  <c r="C1278" i="3"/>
  <c r="B1278" i="3"/>
  <c r="A1278" i="3"/>
  <c r="D1277" i="3"/>
  <c r="C1277" i="3"/>
  <c r="B1277" i="3"/>
  <c r="A1277" i="3"/>
  <c r="D1276" i="3"/>
  <c r="C1276" i="3"/>
  <c r="B1276" i="3"/>
  <c r="A1276" i="3"/>
  <c r="D1275" i="3"/>
  <c r="C1275" i="3"/>
  <c r="B1275" i="3"/>
  <c r="A1275" i="3"/>
  <c r="D1274" i="3"/>
  <c r="C1274" i="3"/>
  <c r="B1274" i="3"/>
  <c r="A1274" i="3"/>
  <c r="D1273" i="3"/>
  <c r="C1273" i="3"/>
  <c r="B1273" i="3"/>
  <c r="A1273" i="3"/>
  <c r="D1272" i="3"/>
  <c r="C1272" i="3"/>
  <c r="B1272" i="3"/>
  <c r="A1272" i="3"/>
  <c r="D1271" i="3"/>
  <c r="C1271" i="3"/>
  <c r="B1271" i="3"/>
  <c r="A1271" i="3"/>
  <c r="D1270" i="3"/>
  <c r="C1270" i="3"/>
  <c r="B1270" i="3"/>
  <c r="A1270" i="3"/>
  <c r="D1269" i="3"/>
  <c r="C1269" i="3"/>
  <c r="B1269" i="3"/>
  <c r="A1269" i="3"/>
  <c r="D1268" i="3"/>
  <c r="C1268" i="3"/>
  <c r="B1268" i="3"/>
  <c r="A1268" i="3"/>
  <c r="D1267" i="3"/>
  <c r="C1267" i="3"/>
  <c r="B1267" i="3"/>
  <c r="A1267" i="3"/>
  <c r="D1266" i="3"/>
  <c r="C1266" i="3"/>
  <c r="B1266" i="3"/>
  <c r="A1266" i="3"/>
  <c r="D1265" i="3"/>
  <c r="C1265" i="3"/>
  <c r="B1265" i="3"/>
  <c r="A1265" i="3"/>
  <c r="D1264" i="3"/>
  <c r="C1264" i="3"/>
  <c r="B1264" i="3"/>
  <c r="A1264" i="3"/>
  <c r="D1263" i="3"/>
  <c r="C1263" i="3"/>
  <c r="B1263" i="3"/>
  <c r="A1263" i="3"/>
  <c r="D1262" i="3"/>
  <c r="C1262" i="3"/>
  <c r="B1262" i="3"/>
  <c r="A1262" i="3"/>
  <c r="D1261" i="3"/>
  <c r="C1261" i="3"/>
  <c r="B1261" i="3"/>
  <c r="A1261" i="3"/>
  <c r="D1260" i="3"/>
  <c r="C1260" i="3"/>
  <c r="B1260" i="3"/>
  <c r="A1260" i="3"/>
  <c r="D1259" i="3"/>
  <c r="C1259" i="3"/>
  <c r="B1259" i="3"/>
  <c r="A1259" i="3"/>
  <c r="D1258" i="3"/>
  <c r="C1258" i="3"/>
  <c r="B1258" i="3"/>
  <c r="A1258" i="3"/>
  <c r="D1257" i="3"/>
  <c r="C1257" i="3"/>
  <c r="B1257" i="3"/>
  <c r="A1257" i="3"/>
  <c r="D1256" i="3"/>
  <c r="C1256" i="3"/>
  <c r="B1256" i="3"/>
  <c r="A1256" i="3"/>
  <c r="D1255" i="3"/>
  <c r="C1255" i="3"/>
  <c r="B1255" i="3"/>
  <c r="A1255" i="3"/>
  <c r="D1254" i="3"/>
  <c r="C1254" i="3"/>
  <c r="B1254" i="3"/>
  <c r="A1254" i="3"/>
  <c r="D1253" i="3"/>
  <c r="C1253" i="3"/>
  <c r="B1253" i="3"/>
  <c r="A1253" i="3"/>
  <c r="D1252" i="3"/>
  <c r="C1252" i="3"/>
  <c r="B1252" i="3"/>
  <c r="A1252" i="3"/>
  <c r="D1251" i="3"/>
  <c r="C1251" i="3"/>
  <c r="B1251" i="3"/>
  <c r="A1251" i="3"/>
  <c r="D1250" i="3"/>
  <c r="C1250" i="3"/>
  <c r="B1250" i="3"/>
  <c r="A1250" i="3"/>
  <c r="D1249" i="3"/>
  <c r="C1249" i="3"/>
  <c r="B1249" i="3"/>
  <c r="A1249" i="3"/>
  <c r="D1248" i="3"/>
  <c r="C1248" i="3"/>
  <c r="B1248" i="3"/>
  <c r="A1248" i="3"/>
  <c r="D1247" i="3"/>
  <c r="C1247" i="3"/>
  <c r="B1247" i="3"/>
  <c r="A1247" i="3"/>
  <c r="D1246" i="3"/>
  <c r="C1246" i="3"/>
  <c r="B1246" i="3"/>
  <c r="A1246" i="3"/>
  <c r="D1245" i="3"/>
  <c r="C1245" i="3"/>
  <c r="B1245" i="3"/>
  <c r="A1245" i="3"/>
  <c r="D1244" i="3"/>
  <c r="C1244" i="3"/>
  <c r="B1244" i="3"/>
  <c r="A1244" i="3"/>
  <c r="D1243" i="3"/>
  <c r="C1243" i="3"/>
  <c r="B1243" i="3"/>
  <c r="A1243" i="3"/>
  <c r="D1242" i="3"/>
  <c r="C1242" i="3"/>
  <c r="B1242" i="3"/>
  <c r="A1242" i="3"/>
  <c r="D1241" i="3"/>
  <c r="C1241" i="3"/>
  <c r="B1241" i="3"/>
  <c r="A1241" i="3"/>
  <c r="D1240" i="3"/>
  <c r="C1240" i="3"/>
  <c r="B1240" i="3"/>
  <c r="A1240" i="3"/>
  <c r="D1239" i="3"/>
  <c r="C1239" i="3"/>
  <c r="B1239" i="3"/>
  <c r="A1239" i="3"/>
  <c r="D1238" i="3"/>
  <c r="C1238" i="3"/>
  <c r="B1238" i="3"/>
  <c r="A1238" i="3"/>
  <c r="D1237" i="3"/>
  <c r="C1237" i="3"/>
  <c r="B1237" i="3"/>
  <c r="A1237" i="3"/>
  <c r="D1236" i="3"/>
  <c r="C1236" i="3"/>
  <c r="B1236" i="3"/>
  <c r="A1236" i="3"/>
  <c r="D1235" i="3"/>
  <c r="C1235" i="3"/>
  <c r="B1235" i="3"/>
  <c r="A1235" i="3"/>
  <c r="D1234" i="3"/>
  <c r="C1234" i="3"/>
  <c r="B1234" i="3"/>
  <c r="A1234" i="3"/>
  <c r="D1233" i="3"/>
  <c r="C1233" i="3"/>
  <c r="B1233" i="3"/>
  <c r="A1233" i="3"/>
  <c r="D1232" i="3"/>
  <c r="C1232" i="3"/>
  <c r="B1232" i="3"/>
  <c r="A1232" i="3"/>
  <c r="D1231" i="3"/>
  <c r="C1231" i="3"/>
  <c r="B1231" i="3"/>
  <c r="A1231" i="3"/>
  <c r="D1230" i="3"/>
  <c r="C1230" i="3"/>
  <c r="B1230" i="3"/>
  <c r="A1230" i="3"/>
  <c r="D1229" i="3"/>
  <c r="C1229" i="3"/>
  <c r="B1229" i="3"/>
  <c r="A1229" i="3"/>
  <c r="D1228" i="3"/>
  <c r="C1228" i="3"/>
  <c r="B1228" i="3"/>
  <c r="A1228" i="3"/>
  <c r="D1227" i="3"/>
  <c r="C1227" i="3"/>
  <c r="B1227" i="3"/>
  <c r="A1227" i="3"/>
  <c r="D1226" i="3"/>
  <c r="C1226" i="3"/>
  <c r="B1226" i="3"/>
  <c r="A1226" i="3"/>
  <c r="D1225" i="3"/>
  <c r="C1225" i="3"/>
  <c r="B1225" i="3"/>
  <c r="A1225" i="3"/>
  <c r="D1224" i="3"/>
  <c r="C1224" i="3"/>
  <c r="B1224" i="3"/>
  <c r="A1224" i="3"/>
  <c r="D1223" i="3"/>
  <c r="C1223" i="3"/>
  <c r="B1223" i="3"/>
  <c r="A1223" i="3"/>
  <c r="D1222" i="3"/>
  <c r="C1222" i="3"/>
  <c r="B1222" i="3"/>
  <c r="A1222" i="3"/>
  <c r="D1221" i="3"/>
  <c r="C1221" i="3"/>
  <c r="B1221" i="3"/>
  <c r="A1221" i="3"/>
  <c r="D1220" i="3"/>
  <c r="C1220" i="3"/>
  <c r="B1220" i="3"/>
  <c r="A1220" i="3"/>
  <c r="D1219" i="3"/>
  <c r="C1219" i="3"/>
  <c r="B1219" i="3"/>
  <c r="A1219" i="3"/>
  <c r="D1218" i="3"/>
  <c r="C1218" i="3"/>
  <c r="B1218" i="3"/>
  <c r="A1218" i="3"/>
  <c r="D1217" i="3"/>
  <c r="C1217" i="3"/>
  <c r="B1217" i="3"/>
  <c r="A1217" i="3"/>
  <c r="D1216" i="3"/>
  <c r="C1216" i="3"/>
  <c r="B1216" i="3"/>
  <c r="A1216" i="3"/>
  <c r="D1215" i="3"/>
  <c r="C1215" i="3"/>
  <c r="B1215" i="3"/>
  <c r="A1215" i="3"/>
  <c r="D1214" i="3"/>
  <c r="C1214" i="3"/>
  <c r="B1214" i="3"/>
  <c r="A1214" i="3"/>
  <c r="D1213" i="3"/>
  <c r="C1213" i="3"/>
  <c r="B1213" i="3"/>
  <c r="A1213" i="3"/>
  <c r="D1212" i="3"/>
  <c r="C1212" i="3"/>
  <c r="B1212" i="3"/>
  <c r="A1212" i="3"/>
  <c r="D1211" i="3"/>
  <c r="C1211" i="3"/>
  <c r="B1211" i="3"/>
  <c r="A1211" i="3"/>
  <c r="D1210" i="3"/>
  <c r="C1210" i="3"/>
  <c r="B1210" i="3"/>
  <c r="A1210" i="3"/>
  <c r="D1209" i="3"/>
  <c r="C1209" i="3"/>
  <c r="B1209" i="3"/>
  <c r="A1209" i="3"/>
  <c r="D1208" i="3"/>
  <c r="C1208" i="3"/>
  <c r="B1208" i="3"/>
  <c r="A1208" i="3"/>
  <c r="D1207" i="3"/>
  <c r="C1207" i="3"/>
  <c r="B1207" i="3"/>
  <c r="A1207" i="3"/>
  <c r="D1206" i="3"/>
  <c r="C1206" i="3"/>
  <c r="B1206" i="3"/>
  <c r="A1206" i="3"/>
  <c r="D1205" i="3"/>
  <c r="C1205" i="3"/>
  <c r="B1205" i="3"/>
  <c r="A1205" i="3"/>
  <c r="D1204" i="3"/>
  <c r="C1204" i="3"/>
  <c r="B1204" i="3"/>
  <c r="A1204" i="3"/>
  <c r="D1203" i="3"/>
  <c r="C1203" i="3"/>
  <c r="B1203" i="3"/>
  <c r="A1203" i="3"/>
  <c r="D1202" i="3"/>
  <c r="C1202" i="3"/>
  <c r="B1202" i="3"/>
  <c r="A1202" i="3"/>
  <c r="D1201" i="3"/>
  <c r="C1201" i="3"/>
  <c r="B1201" i="3"/>
  <c r="A1201" i="3"/>
  <c r="D1200" i="3"/>
  <c r="C1200" i="3"/>
  <c r="B1200" i="3"/>
  <c r="A1200" i="3"/>
  <c r="D1199" i="3"/>
  <c r="C1199" i="3"/>
  <c r="B1199" i="3"/>
  <c r="A1199" i="3"/>
  <c r="D1198" i="3"/>
  <c r="C1198" i="3"/>
  <c r="B1198" i="3"/>
  <c r="A1198" i="3"/>
  <c r="D1197" i="3"/>
  <c r="C1197" i="3"/>
  <c r="B1197" i="3"/>
  <c r="A1197" i="3"/>
  <c r="D1196" i="3"/>
  <c r="C1196" i="3"/>
  <c r="B1196" i="3"/>
  <c r="A1196" i="3"/>
  <c r="D1195" i="3"/>
  <c r="C1195" i="3"/>
  <c r="B1195" i="3"/>
  <c r="A1195" i="3"/>
  <c r="D1194" i="3"/>
  <c r="C1194" i="3"/>
  <c r="B1194" i="3"/>
  <c r="A1194" i="3"/>
  <c r="D1193" i="3"/>
  <c r="C1193" i="3"/>
  <c r="B1193" i="3"/>
  <c r="A1193" i="3"/>
  <c r="D1192" i="3"/>
  <c r="C1192" i="3"/>
  <c r="B1192" i="3"/>
  <c r="A1192" i="3"/>
  <c r="D1191" i="3"/>
  <c r="C1191" i="3"/>
  <c r="B1191" i="3"/>
  <c r="A1191" i="3"/>
  <c r="D1190" i="3"/>
  <c r="C1190" i="3"/>
  <c r="B1190" i="3"/>
  <c r="A1190" i="3"/>
  <c r="D1189" i="3"/>
  <c r="C1189" i="3"/>
  <c r="B1189" i="3"/>
  <c r="A1189" i="3"/>
  <c r="D1188" i="3"/>
  <c r="C1188" i="3"/>
  <c r="B1188" i="3"/>
  <c r="A1188" i="3"/>
  <c r="D1187" i="3"/>
  <c r="C1187" i="3"/>
  <c r="B1187" i="3"/>
  <c r="A1187" i="3"/>
  <c r="D1186" i="3"/>
  <c r="C1186" i="3"/>
  <c r="B1186" i="3"/>
  <c r="A1186" i="3"/>
  <c r="D1185" i="3"/>
  <c r="C1185" i="3"/>
  <c r="B1185" i="3"/>
  <c r="A1185" i="3"/>
  <c r="D1184" i="3"/>
  <c r="C1184" i="3"/>
  <c r="B1184" i="3"/>
  <c r="A1184" i="3"/>
  <c r="D1183" i="3"/>
  <c r="C1183" i="3"/>
  <c r="B1183" i="3"/>
  <c r="A1183" i="3"/>
  <c r="D1182" i="3"/>
  <c r="C1182" i="3"/>
  <c r="B1182" i="3"/>
  <c r="A1182" i="3"/>
  <c r="D1181" i="3"/>
  <c r="C1181" i="3"/>
  <c r="B1181" i="3"/>
  <c r="A1181" i="3"/>
  <c r="D1180" i="3"/>
  <c r="C1180" i="3"/>
  <c r="B1180" i="3"/>
  <c r="A1180" i="3"/>
  <c r="D1179" i="3"/>
  <c r="C1179" i="3"/>
  <c r="B1179" i="3"/>
  <c r="A1179" i="3"/>
  <c r="D1178" i="3"/>
  <c r="C1178" i="3"/>
  <c r="B1178" i="3"/>
  <c r="A1178" i="3"/>
  <c r="D1177" i="3"/>
  <c r="C1177" i="3"/>
  <c r="B1177" i="3"/>
  <c r="A1177" i="3"/>
  <c r="D1176" i="3"/>
  <c r="C1176" i="3"/>
  <c r="B1176" i="3"/>
  <c r="A1176" i="3"/>
  <c r="D1175" i="3"/>
  <c r="C1175" i="3"/>
  <c r="B1175" i="3"/>
  <c r="A1175" i="3"/>
  <c r="D1174" i="3"/>
  <c r="C1174" i="3"/>
  <c r="B1174" i="3"/>
  <c r="A1174" i="3"/>
  <c r="D1173" i="3"/>
  <c r="C1173" i="3"/>
  <c r="B1173" i="3"/>
  <c r="A1173" i="3"/>
  <c r="D1172" i="3"/>
  <c r="C1172" i="3"/>
  <c r="B1172" i="3"/>
  <c r="A1172" i="3"/>
  <c r="D1171" i="3"/>
  <c r="C1171" i="3"/>
  <c r="B1171" i="3"/>
  <c r="A1171" i="3"/>
  <c r="D1170" i="3"/>
  <c r="C1170" i="3"/>
  <c r="B1170" i="3"/>
  <c r="A1170" i="3"/>
  <c r="D1169" i="3"/>
  <c r="C1169" i="3"/>
  <c r="B1169" i="3"/>
  <c r="A1169" i="3"/>
  <c r="D1168" i="3"/>
  <c r="C1168" i="3"/>
  <c r="B1168" i="3"/>
  <c r="A1168" i="3"/>
  <c r="D1167" i="3"/>
  <c r="C1167" i="3"/>
  <c r="B1167" i="3"/>
  <c r="A1167" i="3"/>
  <c r="D1166" i="3"/>
  <c r="C1166" i="3"/>
  <c r="B1166" i="3"/>
  <c r="A1166" i="3"/>
  <c r="D1165" i="3"/>
  <c r="C1165" i="3"/>
  <c r="B1165" i="3"/>
  <c r="A1165" i="3"/>
  <c r="D1164" i="3"/>
  <c r="C1164" i="3"/>
  <c r="B1164" i="3"/>
  <c r="A1164" i="3"/>
  <c r="D1163" i="3"/>
  <c r="C1163" i="3"/>
  <c r="B1163" i="3"/>
  <c r="A1163" i="3"/>
  <c r="D1162" i="3"/>
  <c r="C1162" i="3"/>
  <c r="B1162" i="3"/>
  <c r="A1162" i="3"/>
  <c r="D1161" i="3"/>
  <c r="C1161" i="3"/>
  <c r="B1161" i="3"/>
  <c r="A1161" i="3"/>
  <c r="D1160" i="3"/>
  <c r="C1160" i="3"/>
  <c r="B1160" i="3"/>
  <c r="A1160" i="3"/>
  <c r="D1159" i="3"/>
  <c r="C1159" i="3"/>
  <c r="B1159" i="3"/>
  <c r="A1159" i="3"/>
  <c r="D1158" i="3"/>
  <c r="C1158" i="3"/>
  <c r="B1158" i="3"/>
  <c r="A1158" i="3"/>
  <c r="D1157" i="3"/>
  <c r="C1157" i="3"/>
  <c r="B1157" i="3"/>
  <c r="A1157" i="3"/>
  <c r="D1156" i="3"/>
  <c r="C1156" i="3"/>
  <c r="B1156" i="3"/>
  <c r="A1156" i="3"/>
  <c r="D1155" i="3"/>
  <c r="C1155" i="3"/>
  <c r="B1155" i="3"/>
  <c r="A1155" i="3"/>
  <c r="D1154" i="3"/>
  <c r="C1154" i="3"/>
  <c r="B1154" i="3"/>
  <c r="A1154" i="3"/>
  <c r="D1153" i="3"/>
  <c r="C1153" i="3"/>
  <c r="B1153" i="3"/>
  <c r="A1153" i="3"/>
  <c r="D1152" i="3"/>
  <c r="C1152" i="3"/>
  <c r="B1152" i="3"/>
  <c r="A1152" i="3"/>
  <c r="D1151" i="3"/>
  <c r="C1151" i="3"/>
  <c r="B1151" i="3"/>
  <c r="A1151" i="3"/>
  <c r="D1150" i="3"/>
  <c r="C1150" i="3"/>
  <c r="B1150" i="3"/>
  <c r="A1150" i="3"/>
  <c r="D1149" i="3"/>
  <c r="C1149" i="3"/>
  <c r="B1149" i="3"/>
  <c r="A1149" i="3"/>
  <c r="D1148" i="3"/>
  <c r="C1148" i="3"/>
  <c r="B1148" i="3"/>
  <c r="A1148" i="3"/>
  <c r="D1147" i="3"/>
  <c r="C1147" i="3"/>
  <c r="B1147" i="3"/>
  <c r="A1147" i="3"/>
  <c r="D1146" i="3"/>
  <c r="C1146" i="3"/>
  <c r="B1146" i="3"/>
  <c r="A1146" i="3"/>
  <c r="D1145" i="3"/>
  <c r="C1145" i="3"/>
  <c r="B1145" i="3"/>
  <c r="A1145" i="3"/>
  <c r="D1144" i="3"/>
  <c r="C1144" i="3"/>
  <c r="B1144" i="3"/>
  <c r="A1144" i="3"/>
  <c r="D1143" i="3"/>
  <c r="C1143" i="3"/>
  <c r="B1143" i="3"/>
  <c r="A1143" i="3"/>
  <c r="D1142" i="3"/>
  <c r="C1142" i="3"/>
  <c r="B1142" i="3"/>
  <c r="A1142" i="3"/>
  <c r="D1141" i="3"/>
  <c r="C1141" i="3"/>
  <c r="B1141" i="3"/>
  <c r="A1141" i="3"/>
  <c r="D1140" i="3"/>
  <c r="C1140" i="3"/>
  <c r="B1140" i="3"/>
  <c r="A1140" i="3"/>
  <c r="D1139" i="3"/>
  <c r="C1139" i="3"/>
  <c r="B1139" i="3"/>
  <c r="A1139" i="3"/>
  <c r="D1138" i="3"/>
  <c r="C1138" i="3"/>
  <c r="B1138" i="3"/>
  <c r="A1138" i="3"/>
  <c r="D1137" i="3"/>
  <c r="C1137" i="3"/>
  <c r="B1137" i="3"/>
  <c r="A1137" i="3"/>
  <c r="D1136" i="3"/>
  <c r="C1136" i="3"/>
  <c r="B1136" i="3"/>
  <c r="A1136" i="3"/>
  <c r="D1135" i="3"/>
  <c r="C1135" i="3"/>
  <c r="B1135" i="3"/>
  <c r="A1135" i="3"/>
  <c r="D1134" i="3"/>
  <c r="C1134" i="3"/>
  <c r="B1134" i="3"/>
  <c r="A1134" i="3"/>
  <c r="D1133" i="3"/>
  <c r="C1133" i="3"/>
  <c r="B1133" i="3"/>
  <c r="A1133" i="3"/>
  <c r="D1132" i="3"/>
  <c r="C1132" i="3"/>
  <c r="B1132" i="3"/>
  <c r="A1132" i="3"/>
  <c r="D1131" i="3"/>
  <c r="C1131" i="3"/>
  <c r="B1131" i="3"/>
  <c r="A1131" i="3"/>
  <c r="D1130" i="3"/>
  <c r="C1130" i="3"/>
  <c r="B1130" i="3"/>
  <c r="A1130" i="3"/>
  <c r="D1129" i="3"/>
  <c r="C1129" i="3"/>
  <c r="B1129" i="3"/>
  <c r="A1129" i="3"/>
  <c r="D1128" i="3"/>
  <c r="C1128" i="3"/>
  <c r="B1128" i="3"/>
  <c r="A1128" i="3"/>
  <c r="D1127" i="3"/>
  <c r="C1127" i="3"/>
  <c r="B1127" i="3"/>
  <c r="A1127" i="3"/>
  <c r="D1126" i="3"/>
  <c r="C1126" i="3"/>
  <c r="B1126" i="3"/>
  <c r="A1126" i="3"/>
  <c r="D1125" i="3"/>
  <c r="C1125" i="3"/>
  <c r="B1125" i="3"/>
  <c r="A1125" i="3"/>
  <c r="D1124" i="3"/>
  <c r="C1124" i="3"/>
  <c r="B1124" i="3"/>
  <c r="A1124" i="3"/>
  <c r="D1123" i="3"/>
  <c r="C1123" i="3"/>
  <c r="B1123" i="3"/>
  <c r="A1123" i="3"/>
  <c r="D1122" i="3"/>
  <c r="C1122" i="3"/>
  <c r="B1122" i="3"/>
  <c r="A1122" i="3"/>
  <c r="D1121" i="3"/>
  <c r="C1121" i="3"/>
  <c r="B1121" i="3"/>
  <c r="A1121" i="3"/>
  <c r="D1120" i="3"/>
  <c r="C1120" i="3"/>
  <c r="B1120" i="3"/>
  <c r="A1120" i="3"/>
  <c r="D1119" i="3"/>
  <c r="C1119" i="3"/>
  <c r="B1119" i="3"/>
  <c r="A1119" i="3"/>
  <c r="D1118" i="3"/>
  <c r="C1118" i="3"/>
  <c r="B1118" i="3"/>
  <c r="A1118" i="3"/>
  <c r="D1117" i="3"/>
  <c r="C1117" i="3"/>
  <c r="B1117" i="3"/>
  <c r="A1117" i="3"/>
  <c r="D1116" i="3"/>
  <c r="C1116" i="3"/>
  <c r="B1116" i="3"/>
  <c r="A1116" i="3"/>
  <c r="D1115" i="3"/>
  <c r="C1115" i="3"/>
  <c r="B1115" i="3"/>
  <c r="A1115" i="3"/>
  <c r="D1114" i="3"/>
  <c r="C1114" i="3"/>
  <c r="B1114" i="3"/>
  <c r="A1114" i="3"/>
  <c r="D1113" i="3"/>
  <c r="C1113" i="3"/>
  <c r="B1113" i="3"/>
  <c r="A1113" i="3"/>
  <c r="D1112" i="3"/>
  <c r="C1112" i="3"/>
  <c r="B1112" i="3"/>
  <c r="A1112" i="3"/>
  <c r="D1111" i="3"/>
  <c r="C1111" i="3"/>
  <c r="B1111" i="3"/>
  <c r="A1111" i="3"/>
  <c r="D1110" i="3"/>
  <c r="C1110" i="3"/>
  <c r="B1110" i="3"/>
  <c r="A1110" i="3"/>
  <c r="D1109" i="3"/>
  <c r="C1109" i="3"/>
  <c r="B1109" i="3"/>
  <c r="A1109" i="3"/>
  <c r="D1108" i="3"/>
  <c r="C1108" i="3"/>
  <c r="B1108" i="3"/>
  <c r="A1108" i="3"/>
  <c r="D1107" i="3"/>
  <c r="C1107" i="3"/>
  <c r="B1107" i="3"/>
  <c r="A1107" i="3"/>
  <c r="D1106" i="3"/>
  <c r="C1106" i="3"/>
  <c r="B1106" i="3"/>
  <c r="A1106" i="3"/>
  <c r="D1105" i="3"/>
  <c r="C1105" i="3"/>
  <c r="B1105" i="3"/>
  <c r="A1105" i="3"/>
  <c r="D1104" i="3"/>
  <c r="C1104" i="3"/>
  <c r="B1104" i="3"/>
  <c r="A1104" i="3"/>
  <c r="D1103" i="3"/>
  <c r="C1103" i="3"/>
  <c r="B1103" i="3"/>
  <c r="A1103" i="3"/>
  <c r="D1102" i="3"/>
  <c r="C1102" i="3"/>
  <c r="B1102" i="3"/>
  <c r="A1102" i="3"/>
  <c r="D1101" i="3"/>
  <c r="C1101" i="3"/>
  <c r="B1101" i="3"/>
  <c r="A1101" i="3"/>
  <c r="D1100" i="3"/>
  <c r="C1100" i="3"/>
  <c r="B1100" i="3"/>
  <c r="A1100" i="3"/>
  <c r="D1099" i="3"/>
  <c r="C1099" i="3"/>
  <c r="B1099" i="3"/>
  <c r="A1099" i="3"/>
  <c r="D1098" i="3"/>
  <c r="C1098" i="3"/>
  <c r="B1098" i="3"/>
  <c r="A1098" i="3"/>
  <c r="D1097" i="3"/>
  <c r="C1097" i="3"/>
  <c r="B1097" i="3"/>
  <c r="A1097" i="3"/>
  <c r="D1096" i="3"/>
  <c r="C1096" i="3"/>
  <c r="B1096" i="3"/>
  <c r="A1096" i="3"/>
  <c r="D1095" i="3"/>
  <c r="C1095" i="3"/>
  <c r="B1095" i="3"/>
  <c r="A1095" i="3"/>
  <c r="D1094" i="3"/>
  <c r="C1094" i="3"/>
  <c r="B1094" i="3"/>
  <c r="A1094" i="3"/>
  <c r="D1093" i="3"/>
  <c r="C1093" i="3"/>
  <c r="B1093" i="3"/>
  <c r="A1093" i="3"/>
  <c r="D1092" i="3"/>
  <c r="C1092" i="3"/>
  <c r="B1092" i="3"/>
  <c r="A1092" i="3"/>
  <c r="D1091" i="3"/>
  <c r="C1091" i="3"/>
  <c r="B1091" i="3"/>
  <c r="A1091" i="3"/>
  <c r="D1090" i="3"/>
  <c r="C1090" i="3"/>
  <c r="B1090" i="3"/>
  <c r="A1090" i="3"/>
  <c r="D1089" i="3"/>
  <c r="C1089" i="3"/>
  <c r="B1089" i="3"/>
  <c r="A1089" i="3"/>
  <c r="D1088" i="3"/>
  <c r="C1088" i="3"/>
  <c r="B1088" i="3"/>
  <c r="A1088" i="3"/>
  <c r="D1087" i="3"/>
  <c r="C1087" i="3"/>
  <c r="B1087" i="3"/>
  <c r="A1087" i="3"/>
  <c r="D1086" i="3"/>
  <c r="C1086" i="3"/>
  <c r="B1086" i="3"/>
  <c r="A1086" i="3"/>
  <c r="D1085" i="3"/>
  <c r="C1085" i="3"/>
  <c r="B1085" i="3"/>
  <c r="A1085" i="3"/>
  <c r="D1084" i="3"/>
  <c r="C1084" i="3"/>
  <c r="B1084" i="3"/>
  <c r="A1084" i="3"/>
  <c r="D1083" i="3"/>
  <c r="C1083" i="3"/>
  <c r="B1083" i="3"/>
  <c r="A1083" i="3"/>
  <c r="D1082" i="3"/>
  <c r="C1082" i="3"/>
  <c r="B1082" i="3"/>
  <c r="A1082" i="3"/>
  <c r="D1081" i="3"/>
  <c r="C1081" i="3"/>
  <c r="B1081" i="3"/>
  <c r="A1081" i="3"/>
  <c r="D1080" i="3"/>
  <c r="C1080" i="3"/>
  <c r="B1080" i="3"/>
  <c r="A1080" i="3"/>
  <c r="D1079" i="3"/>
  <c r="C1079" i="3"/>
  <c r="B1079" i="3"/>
  <c r="A1079" i="3"/>
  <c r="D1078" i="3"/>
  <c r="C1078" i="3"/>
  <c r="B1078" i="3"/>
  <c r="A1078" i="3"/>
  <c r="D1077" i="3"/>
  <c r="C1077" i="3"/>
  <c r="B1077" i="3"/>
  <c r="A1077" i="3"/>
  <c r="D1076" i="3"/>
  <c r="C1076" i="3"/>
  <c r="B1076" i="3"/>
  <c r="A1076" i="3"/>
  <c r="D1075" i="3"/>
  <c r="C1075" i="3"/>
  <c r="B1075" i="3"/>
  <c r="A1075" i="3"/>
  <c r="D1074" i="3"/>
  <c r="C1074" i="3"/>
  <c r="B1074" i="3"/>
  <c r="A1074" i="3"/>
  <c r="D1073" i="3"/>
  <c r="C1073" i="3"/>
  <c r="B1073" i="3"/>
  <c r="A1073" i="3"/>
  <c r="D1072" i="3"/>
  <c r="C1072" i="3"/>
  <c r="B1072" i="3"/>
  <c r="A1072" i="3"/>
  <c r="D1071" i="3"/>
  <c r="C1071" i="3"/>
  <c r="B1071" i="3"/>
  <c r="A1071" i="3"/>
  <c r="D1070" i="3"/>
  <c r="C1070" i="3"/>
  <c r="B1070" i="3"/>
  <c r="A1070" i="3"/>
  <c r="D1069" i="3"/>
  <c r="C1069" i="3"/>
  <c r="B1069" i="3"/>
  <c r="A1069" i="3"/>
  <c r="D1068" i="3"/>
  <c r="C1068" i="3"/>
  <c r="B1068" i="3"/>
  <c r="A1068" i="3"/>
  <c r="D1067" i="3"/>
  <c r="C1067" i="3"/>
  <c r="B1067" i="3"/>
  <c r="A1067" i="3"/>
  <c r="D1066" i="3"/>
  <c r="C1066" i="3"/>
  <c r="B1066" i="3"/>
  <c r="A1066" i="3"/>
  <c r="D1065" i="3"/>
  <c r="C1065" i="3"/>
  <c r="B1065" i="3"/>
  <c r="A1065" i="3"/>
  <c r="D1064" i="3"/>
  <c r="C1064" i="3"/>
  <c r="B1064" i="3"/>
  <c r="A1064" i="3"/>
  <c r="D1063" i="3"/>
  <c r="C1063" i="3"/>
  <c r="B1063" i="3"/>
  <c r="A1063" i="3"/>
  <c r="D1062" i="3"/>
  <c r="C1062" i="3"/>
  <c r="B1062" i="3"/>
  <c r="A1062" i="3"/>
  <c r="D1061" i="3"/>
  <c r="C1061" i="3"/>
  <c r="B1061" i="3"/>
  <c r="A1061" i="3"/>
  <c r="D1060" i="3"/>
  <c r="C1060" i="3"/>
  <c r="B1060" i="3"/>
  <c r="A1060" i="3"/>
  <c r="D1059" i="3"/>
  <c r="C1059" i="3"/>
  <c r="B1059" i="3"/>
  <c r="A1059" i="3"/>
  <c r="D1058" i="3"/>
  <c r="C1058" i="3"/>
  <c r="B1058" i="3"/>
  <c r="A1058" i="3"/>
  <c r="D1057" i="3"/>
  <c r="C1057" i="3"/>
  <c r="B1057" i="3"/>
  <c r="A1057" i="3"/>
  <c r="D1056" i="3"/>
  <c r="C1056" i="3"/>
  <c r="B1056" i="3"/>
  <c r="A1056" i="3"/>
  <c r="D1055" i="3"/>
  <c r="C1055" i="3"/>
  <c r="B1055" i="3"/>
  <c r="A1055" i="3"/>
  <c r="D1054" i="3"/>
  <c r="C1054" i="3"/>
  <c r="B1054" i="3"/>
  <c r="A1054" i="3"/>
  <c r="D1053" i="3"/>
  <c r="C1053" i="3"/>
  <c r="B1053" i="3"/>
  <c r="A1053" i="3"/>
  <c r="D1052" i="3"/>
  <c r="C1052" i="3"/>
  <c r="B1052" i="3"/>
  <c r="A1052" i="3"/>
  <c r="D1051" i="3"/>
  <c r="C1051" i="3"/>
  <c r="B1051" i="3"/>
  <c r="A1051" i="3"/>
  <c r="D1050" i="3"/>
  <c r="C1050" i="3"/>
  <c r="B1050" i="3"/>
  <c r="A1050" i="3"/>
  <c r="D1049" i="3"/>
  <c r="C1049" i="3"/>
  <c r="B1049" i="3"/>
  <c r="A1049" i="3"/>
  <c r="D1048" i="3"/>
  <c r="C1048" i="3"/>
  <c r="B1048" i="3"/>
  <c r="A1048" i="3"/>
  <c r="D1047" i="3"/>
  <c r="C1047" i="3"/>
  <c r="B1047" i="3"/>
  <c r="A1047" i="3"/>
  <c r="D1046" i="3"/>
  <c r="C1046" i="3"/>
  <c r="B1046" i="3"/>
  <c r="A1046" i="3"/>
  <c r="D1045" i="3"/>
  <c r="C1045" i="3"/>
  <c r="B1045" i="3"/>
  <c r="A1045" i="3"/>
  <c r="D1044" i="3"/>
  <c r="C1044" i="3"/>
  <c r="B1044" i="3"/>
  <c r="A1044" i="3"/>
  <c r="D1043" i="3"/>
  <c r="C1043" i="3"/>
  <c r="B1043" i="3"/>
  <c r="A1043" i="3"/>
  <c r="D1042" i="3"/>
  <c r="C1042" i="3"/>
  <c r="B1042" i="3"/>
  <c r="A1042" i="3"/>
  <c r="D1041" i="3"/>
  <c r="C1041" i="3"/>
  <c r="B1041" i="3"/>
  <c r="A1041" i="3"/>
  <c r="D1040" i="3"/>
  <c r="C1040" i="3"/>
  <c r="B1040" i="3"/>
  <c r="A1040" i="3"/>
  <c r="D1039" i="3"/>
  <c r="C1039" i="3"/>
  <c r="B1039" i="3"/>
  <c r="A1039" i="3"/>
  <c r="D1038" i="3"/>
  <c r="C1038" i="3"/>
  <c r="B1038" i="3"/>
  <c r="A1038" i="3"/>
  <c r="D1037" i="3"/>
  <c r="C1037" i="3"/>
  <c r="B1037" i="3"/>
  <c r="A1037" i="3"/>
  <c r="D1036" i="3"/>
  <c r="C1036" i="3"/>
  <c r="B1036" i="3"/>
  <c r="A1036" i="3"/>
  <c r="D1035" i="3"/>
  <c r="C1035" i="3"/>
  <c r="B1035" i="3"/>
  <c r="A1035" i="3"/>
  <c r="D1034" i="3"/>
  <c r="C1034" i="3"/>
  <c r="B1034" i="3"/>
  <c r="A1034" i="3"/>
  <c r="D1033" i="3"/>
  <c r="C1033" i="3"/>
  <c r="B1033" i="3"/>
  <c r="A1033" i="3"/>
  <c r="D1032" i="3"/>
  <c r="C1032" i="3"/>
  <c r="B1032" i="3"/>
  <c r="A1032" i="3"/>
  <c r="D1031" i="3"/>
  <c r="C1031" i="3"/>
  <c r="B1031" i="3"/>
  <c r="A1031" i="3"/>
  <c r="D1030" i="3"/>
  <c r="C1030" i="3"/>
  <c r="B1030" i="3"/>
  <c r="A1030" i="3"/>
  <c r="D1029" i="3"/>
  <c r="C1029" i="3"/>
  <c r="B1029" i="3"/>
  <c r="A1029" i="3"/>
  <c r="D1028" i="3"/>
  <c r="C1028" i="3"/>
  <c r="B1028" i="3"/>
  <c r="A1028" i="3"/>
  <c r="D1027" i="3"/>
  <c r="C1027" i="3"/>
  <c r="B1027" i="3"/>
  <c r="A1027" i="3"/>
  <c r="D1026" i="3"/>
  <c r="C1026" i="3"/>
  <c r="B1026" i="3"/>
  <c r="A1026" i="3"/>
  <c r="D1025" i="3"/>
  <c r="C1025" i="3"/>
  <c r="B1025" i="3"/>
  <c r="A1025" i="3"/>
  <c r="D1024" i="3"/>
  <c r="C1024" i="3"/>
  <c r="B1024" i="3"/>
  <c r="A1024" i="3"/>
  <c r="D1023" i="3"/>
  <c r="C1023" i="3"/>
  <c r="B1023" i="3"/>
  <c r="A1023" i="3"/>
  <c r="D1022" i="3"/>
  <c r="C1022" i="3"/>
  <c r="B1022" i="3"/>
  <c r="A1022" i="3"/>
  <c r="D1021" i="3"/>
  <c r="C1021" i="3"/>
  <c r="B1021" i="3"/>
  <c r="A1021" i="3"/>
  <c r="D1020" i="3"/>
  <c r="C1020" i="3"/>
  <c r="B1020" i="3"/>
  <c r="A1020" i="3"/>
  <c r="D1019" i="3"/>
  <c r="C1019" i="3"/>
  <c r="B1019" i="3"/>
  <c r="A1019" i="3"/>
  <c r="D1018" i="3"/>
  <c r="C1018" i="3"/>
  <c r="B1018" i="3"/>
  <c r="A1018" i="3"/>
  <c r="D1017" i="3"/>
  <c r="C1017" i="3"/>
  <c r="B1017" i="3"/>
  <c r="A1017" i="3"/>
  <c r="D1016" i="3"/>
  <c r="C1016" i="3"/>
  <c r="B1016" i="3"/>
  <c r="A1016" i="3"/>
  <c r="D1015" i="3"/>
  <c r="C1015" i="3"/>
  <c r="B1015" i="3"/>
  <c r="A1015" i="3"/>
  <c r="D1014" i="3"/>
  <c r="C1014" i="3"/>
  <c r="B1014" i="3"/>
  <c r="A1014" i="3"/>
  <c r="D1013" i="3"/>
  <c r="C1013" i="3"/>
  <c r="B1013" i="3"/>
  <c r="A1013" i="3"/>
  <c r="D1012" i="3"/>
  <c r="C1012" i="3"/>
  <c r="B1012" i="3"/>
  <c r="A1012" i="3"/>
  <c r="D1011" i="3"/>
  <c r="C1011" i="3"/>
  <c r="B1011" i="3"/>
  <c r="A1011" i="3"/>
  <c r="D1010" i="3"/>
  <c r="C1010" i="3"/>
  <c r="B1010" i="3"/>
  <c r="A1010" i="3"/>
  <c r="D1009" i="3"/>
  <c r="C1009" i="3"/>
  <c r="B1009" i="3"/>
  <c r="A1009" i="3"/>
  <c r="D1008" i="3"/>
  <c r="C1008" i="3"/>
  <c r="B1008" i="3"/>
  <c r="A1008" i="3"/>
  <c r="D1007" i="3"/>
  <c r="C1007" i="3"/>
  <c r="B1007" i="3"/>
  <c r="A1007" i="3"/>
  <c r="D1006" i="3"/>
  <c r="C1006" i="3"/>
  <c r="B1006" i="3"/>
  <c r="A1006" i="3"/>
  <c r="D1005" i="3"/>
  <c r="C1005" i="3"/>
  <c r="B1005" i="3"/>
  <c r="A1005" i="3"/>
  <c r="D1004" i="3"/>
  <c r="C1004" i="3"/>
  <c r="B1004" i="3"/>
  <c r="A1004" i="3"/>
  <c r="D1003" i="3"/>
  <c r="C1003" i="3"/>
  <c r="B1003" i="3"/>
  <c r="A1003" i="3"/>
  <c r="D1002" i="3"/>
  <c r="C1002" i="3"/>
  <c r="B1002" i="3"/>
  <c r="A1002" i="3"/>
  <c r="D1001" i="3"/>
  <c r="C1001" i="3"/>
  <c r="B1001" i="3"/>
  <c r="A1001" i="3"/>
  <c r="D1000" i="3"/>
  <c r="C1000" i="3"/>
  <c r="B1000" i="3"/>
  <c r="A1000" i="3"/>
  <c r="D999" i="3"/>
  <c r="C999" i="3"/>
  <c r="B999" i="3"/>
  <c r="A999" i="3"/>
  <c r="D998" i="3"/>
  <c r="C998" i="3"/>
  <c r="B998" i="3"/>
  <c r="A998" i="3"/>
  <c r="D997" i="3"/>
  <c r="C997" i="3"/>
  <c r="B997" i="3"/>
  <c r="A997" i="3"/>
  <c r="D996" i="3"/>
  <c r="C996" i="3"/>
  <c r="B996" i="3"/>
  <c r="A996" i="3"/>
  <c r="D995" i="3"/>
  <c r="C995" i="3"/>
  <c r="B995" i="3"/>
  <c r="A995" i="3"/>
  <c r="D994" i="3"/>
  <c r="C994" i="3"/>
  <c r="B994" i="3"/>
  <c r="A994" i="3"/>
  <c r="D993" i="3"/>
  <c r="C993" i="3"/>
  <c r="B993" i="3"/>
  <c r="A993" i="3"/>
  <c r="D992" i="3"/>
  <c r="C992" i="3"/>
  <c r="B992" i="3"/>
  <c r="A992" i="3"/>
  <c r="D991" i="3"/>
  <c r="C991" i="3"/>
  <c r="B991" i="3"/>
  <c r="A991" i="3"/>
  <c r="D990" i="3"/>
  <c r="C990" i="3"/>
  <c r="B990" i="3"/>
  <c r="A990" i="3"/>
  <c r="D989" i="3"/>
  <c r="C989" i="3"/>
  <c r="B989" i="3"/>
  <c r="A989" i="3"/>
  <c r="D988" i="3"/>
  <c r="C988" i="3"/>
  <c r="B988" i="3"/>
  <c r="A988" i="3"/>
  <c r="D987" i="3"/>
  <c r="C987" i="3"/>
  <c r="B987" i="3"/>
  <c r="A987" i="3"/>
  <c r="D986" i="3"/>
  <c r="C986" i="3"/>
  <c r="B986" i="3"/>
  <c r="A986" i="3"/>
  <c r="D985" i="3"/>
  <c r="C985" i="3"/>
  <c r="B985" i="3"/>
  <c r="A985" i="3"/>
  <c r="D984" i="3"/>
  <c r="C984" i="3"/>
  <c r="B984" i="3"/>
  <c r="A984" i="3"/>
  <c r="D983" i="3"/>
  <c r="C983" i="3"/>
  <c r="B983" i="3"/>
  <c r="A983" i="3"/>
  <c r="D982" i="3"/>
  <c r="C982" i="3"/>
  <c r="B982" i="3"/>
  <c r="A982" i="3"/>
  <c r="D981" i="3"/>
  <c r="C981" i="3"/>
  <c r="B981" i="3"/>
  <c r="A981" i="3"/>
  <c r="D980" i="3"/>
  <c r="C980" i="3"/>
  <c r="B980" i="3"/>
  <c r="A980" i="3"/>
  <c r="D979" i="3"/>
  <c r="C979" i="3"/>
  <c r="B979" i="3"/>
  <c r="A979" i="3"/>
  <c r="D978" i="3"/>
  <c r="C978" i="3"/>
  <c r="B978" i="3"/>
  <c r="A978" i="3"/>
  <c r="D977" i="3"/>
  <c r="C977" i="3"/>
  <c r="B977" i="3"/>
  <c r="A977" i="3"/>
  <c r="D976" i="3"/>
  <c r="C976" i="3"/>
  <c r="B976" i="3"/>
  <c r="A976" i="3"/>
  <c r="D975" i="3"/>
  <c r="C975" i="3"/>
  <c r="B975" i="3"/>
  <c r="A975" i="3"/>
  <c r="D974" i="3"/>
  <c r="C974" i="3"/>
  <c r="B974" i="3"/>
  <c r="A974" i="3"/>
  <c r="D973" i="3"/>
  <c r="C973" i="3"/>
  <c r="B973" i="3"/>
  <c r="A973" i="3"/>
  <c r="D972" i="3"/>
  <c r="C972" i="3"/>
  <c r="B972" i="3"/>
  <c r="A972" i="3"/>
  <c r="D971" i="3"/>
  <c r="C971" i="3"/>
  <c r="B971" i="3"/>
  <c r="A971" i="3"/>
  <c r="D970" i="3"/>
  <c r="C970" i="3"/>
  <c r="B970" i="3"/>
  <c r="A970" i="3"/>
  <c r="D969" i="3"/>
  <c r="C969" i="3"/>
  <c r="B969" i="3"/>
  <c r="A969" i="3"/>
  <c r="D968" i="3"/>
  <c r="C968" i="3"/>
  <c r="B968" i="3"/>
  <c r="A968" i="3"/>
  <c r="D967" i="3"/>
  <c r="C967" i="3"/>
  <c r="B967" i="3"/>
  <c r="A967" i="3"/>
  <c r="D966" i="3"/>
  <c r="C966" i="3"/>
  <c r="B966" i="3"/>
  <c r="A966" i="3"/>
  <c r="D965" i="3"/>
  <c r="C965" i="3"/>
  <c r="B965" i="3"/>
  <c r="A965" i="3"/>
  <c r="D964" i="3"/>
  <c r="C964" i="3"/>
  <c r="B964" i="3"/>
  <c r="A964" i="3"/>
  <c r="D963" i="3"/>
  <c r="C963" i="3"/>
  <c r="B963" i="3"/>
  <c r="A963" i="3"/>
  <c r="D962" i="3"/>
  <c r="C962" i="3"/>
  <c r="B962" i="3"/>
  <c r="A962" i="3"/>
  <c r="D961" i="3"/>
  <c r="C961" i="3"/>
  <c r="B961" i="3"/>
  <c r="A961" i="3"/>
  <c r="D960" i="3"/>
  <c r="C960" i="3"/>
  <c r="B960" i="3"/>
  <c r="A960" i="3"/>
  <c r="D959" i="3"/>
  <c r="C959" i="3"/>
  <c r="B959" i="3"/>
  <c r="A959" i="3"/>
  <c r="D958" i="3"/>
  <c r="C958" i="3"/>
  <c r="B958" i="3"/>
  <c r="A958" i="3"/>
  <c r="D957" i="3"/>
  <c r="C957" i="3"/>
  <c r="B957" i="3"/>
  <c r="A957" i="3"/>
  <c r="D956" i="3"/>
  <c r="C956" i="3"/>
  <c r="B956" i="3"/>
  <c r="A956" i="3"/>
  <c r="D955" i="3"/>
  <c r="C955" i="3"/>
  <c r="B955" i="3"/>
  <c r="A955" i="3"/>
  <c r="D954" i="3"/>
  <c r="C954" i="3"/>
  <c r="B954" i="3"/>
  <c r="A954" i="3"/>
  <c r="D953" i="3"/>
  <c r="C953" i="3"/>
  <c r="B953" i="3"/>
  <c r="A953" i="3"/>
  <c r="D952" i="3"/>
  <c r="C952" i="3"/>
  <c r="B952" i="3"/>
  <c r="A952" i="3"/>
  <c r="D951" i="3"/>
  <c r="C951" i="3"/>
  <c r="B951" i="3"/>
  <c r="A951" i="3"/>
  <c r="D950" i="3"/>
  <c r="C950" i="3"/>
  <c r="B950" i="3"/>
  <c r="A950" i="3"/>
  <c r="D949" i="3"/>
  <c r="C949" i="3"/>
  <c r="B949" i="3"/>
  <c r="A949" i="3"/>
  <c r="D948" i="3"/>
  <c r="C948" i="3"/>
  <c r="B948" i="3"/>
  <c r="A948" i="3"/>
  <c r="D947" i="3"/>
  <c r="C947" i="3"/>
  <c r="B947" i="3"/>
  <c r="A947" i="3"/>
  <c r="D946" i="3"/>
  <c r="C946" i="3"/>
  <c r="B946" i="3"/>
  <c r="A946" i="3"/>
  <c r="D945" i="3"/>
  <c r="C945" i="3"/>
  <c r="B945" i="3"/>
  <c r="A945" i="3"/>
  <c r="D944" i="3"/>
  <c r="C944" i="3"/>
  <c r="B944" i="3"/>
  <c r="A944" i="3"/>
  <c r="D943" i="3"/>
  <c r="C943" i="3"/>
  <c r="B943" i="3"/>
  <c r="A943" i="3"/>
  <c r="D942" i="3"/>
  <c r="C942" i="3"/>
  <c r="B942" i="3"/>
  <c r="A942" i="3"/>
  <c r="D941" i="3"/>
  <c r="C941" i="3"/>
  <c r="B941" i="3"/>
  <c r="A941" i="3"/>
  <c r="D940" i="3"/>
  <c r="C940" i="3"/>
  <c r="B940" i="3"/>
  <c r="A940" i="3"/>
  <c r="D939" i="3"/>
  <c r="C939" i="3"/>
  <c r="B939" i="3"/>
  <c r="A939" i="3"/>
  <c r="D938" i="3"/>
  <c r="C938" i="3"/>
  <c r="B938" i="3"/>
  <c r="A938" i="3"/>
  <c r="D937" i="3"/>
  <c r="C937" i="3"/>
  <c r="B937" i="3"/>
  <c r="A937" i="3"/>
  <c r="D936" i="3"/>
  <c r="C936" i="3"/>
  <c r="B936" i="3"/>
  <c r="A936" i="3"/>
  <c r="D935" i="3"/>
  <c r="C935" i="3"/>
  <c r="B935" i="3"/>
  <c r="A935" i="3"/>
  <c r="D934" i="3"/>
  <c r="C934" i="3"/>
  <c r="B934" i="3"/>
  <c r="A934" i="3"/>
  <c r="D933" i="3"/>
  <c r="C933" i="3"/>
  <c r="B933" i="3"/>
  <c r="A933" i="3"/>
  <c r="D932" i="3"/>
  <c r="C932" i="3"/>
  <c r="B932" i="3"/>
  <c r="A932" i="3"/>
  <c r="D931" i="3"/>
  <c r="C931" i="3"/>
  <c r="B931" i="3"/>
  <c r="A931" i="3"/>
  <c r="D930" i="3"/>
  <c r="C930" i="3"/>
  <c r="B930" i="3"/>
  <c r="A930" i="3"/>
  <c r="D929" i="3"/>
  <c r="C929" i="3"/>
  <c r="B929" i="3"/>
  <c r="A929" i="3"/>
  <c r="D928" i="3"/>
  <c r="C928" i="3"/>
  <c r="B928" i="3"/>
  <c r="A928" i="3"/>
  <c r="D927" i="3"/>
  <c r="C927" i="3"/>
  <c r="B927" i="3"/>
  <c r="A927" i="3"/>
  <c r="D926" i="3"/>
  <c r="C926" i="3"/>
  <c r="B926" i="3"/>
  <c r="A926" i="3"/>
  <c r="D925" i="3"/>
  <c r="C925" i="3"/>
  <c r="B925" i="3"/>
  <c r="A925" i="3"/>
  <c r="D924" i="3"/>
  <c r="C924" i="3"/>
  <c r="B924" i="3"/>
  <c r="A924" i="3"/>
  <c r="D923" i="3"/>
  <c r="C923" i="3"/>
  <c r="B923" i="3"/>
  <c r="A923" i="3"/>
  <c r="D922" i="3"/>
  <c r="C922" i="3"/>
  <c r="B922" i="3"/>
  <c r="A922" i="3"/>
  <c r="D921" i="3"/>
  <c r="C921" i="3"/>
  <c r="B921" i="3"/>
  <c r="A921" i="3"/>
  <c r="D920" i="3"/>
  <c r="C920" i="3"/>
  <c r="B920" i="3"/>
  <c r="A920" i="3"/>
  <c r="D919" i="3"/>
  <c r="C919" i="3"/>
  <c r="B919" i="3"/>
  <c r="A919" i="3"/>
  <c r="D918" i="3"/>
  <c r="C918" i="3"/>
  <c r="B918" i="3"/>
  <c r="A918" i="3"/>
  <c r="D917" i="3"/>
  <c r="C917" i="3"/>
  <c r="B917" i="3"/>
  <c r="A917" i="3"/>
  <c r="D916" i="3"/>
  <c r="C916" i="3"/>
  <c r="B916" i="3"/>
  <c r="A916" i="3"/>
  <c r="D915" i="3"/>
  <c r="C915" i="3"/>
  <c r="B915" i="3"/>
  <c r="A915" i="3"/>
  <c r="D914" i="3"/>
  <c r="C914" i="3"/>
  <c r="B914" i="3"/>
  <c r="A914" i="3"/>
  <c r="D913" i="3"/>
  <c r="C913" i="3"/>
  <c r="B913" i="3"/>
  <c r="A913" i="3"/>
  <c r="D912" i="3"/>
  <c r="C912" i="3"/>
  <c r="B912" i="3"/>
  <c r="A912" i="3"/>
  <c r="D911" i="3"/>
  <c r="C911" i="3"/>
  <c r="B911" i="3"/>
  <c r="A911" i="3"/>
  <c r="D910" i="3"/>
  <c r="C910" i="3"/>
  <c r="B910" i="3"/>
  <c r="A910" i="3"/>
  <c r="D909" i="3"/>
  <c r="C909" i="3"/>
  <c r="B909" i="3"/>
  <c r="A909" i="3"/>
  <c r="D908" i="3"/>
  <c r="C908" i="3"/>
  <c r="B908" i="3"/>
  <c r="A908" i="3"/>
  <c r="D907" i="3"/>
  <c r="C907" i="3"/>
  <c r="B907" i="3"/>
  <c r="A907" i="3"/>
  <c r="D906" i="3"/>
  <c r="C906" i="3"/>
  <c r="B906" i="3"/>
  <c r="A906" i="3"/>
  <c r="D905" i="3"/>
  <c r="C905" i="3"/>
  <c r="B905" i="3"/>
  <c r="A905" i="3"/>
  <c r="D904" i="3"/>
  <c r="C904" i="3"/>
  <c r="B904" i="3"/>
  <c r="A904" i="3"/>
  <c r="D903" i="3"/>
  <c r="C903" i="3"/>
  <c r="B903" i="3"/>
  <c r="A903" i="3"/>
  <c r="D902" i="3"/>
  <c r="C902" i="3"/>
  <c r="B902" i="3"/>
  <c r="A902" i="3"/>
  <c r="D901" i="3"/>
  <c r="C901" i="3"/>
  <c r="B901" i="3"/>
  <c r="A901" i="3"/>
  <c r="D900" i="3"/>
  <c r="C900" i="3"/>
  <c r="B900" i="3"/>
  <c r="A900" i="3"/>
  <c r="D899" i="3"/>
  <c r="C899" i="3"/>
  <c r="B899" i="3"/>
  <c r="A899" i="3"/>
  <c r="D898" i="3"/>
  <c r="C898" i="3"/>
  <c r="B898" i="3"/>
  <c r="A898" i="3"/>
  <c r="D897" i="3"/>
  <c r="C897" i="3"/>
  <c r="B897" i="3"/>
  <c r="A897" i="3"/>
  <c r="D896" i="3"/>
  <c r="C896" i="3"/>
  <c r="B896" i="3"/>
  <c r="A896" i="3"/>
  <c r="D895" i="3"/>
  <c r="C895" i="3"/>
  <c r="B895" i="3"/>
  <c r="A895" i="3"/>
  <c r="D894" i="3"/>
  <c r="C894" i="3"/>
  <c r="B894" i="3"/>
  <c r="A894" i="3"/>
  <c r="D893" i="3"/>
  <c r="C893" i="3"/>
  <c r="B893" i="3"/>
  <c r="A893" i="3"/>
  <c r="D892" i="3"/>
  <c r="C892" i="3"/>
  <c r="B892" i="3"/>
  <c r="A892" i="3"/>
  <c r="D891" i="3"/>
  <c r="C891" i="3"/>
  <c r="B891" i="3"/>
  <c r="A891" i="3"/>
  <c r="D890" i="3"/>
  <c r="C890" i="3"/>
  <c r="B890" i="3"/>
  <c r="A890" i="3"/>
  <c r="D889" i="3"/>
  <c r="C889" i="3"/>
  <c r="B889" i="3"/>
  <c r="A889" i="3"/>
  <c r="D888" i="3"/>
  <c r="C888" i="3"/>
  <c r="B888" i="3"/>
  <c r="A888" i="3"/>
  <c r="D887" i="3"/>
  <c r="C887" i="3"/>
  <c r="B887" i="3"/>
  <c r="A887" i="3"/>
  <c r="D886" i="3"/>
  <c r="C886" i="3"/>
  <c r="B886" i="3"/>
  <c r="A886" i="3"/>
  <c r="D885" i="3"/>
  <c r="C885" i="3"/>
  <c r="B885" i="3"/>
  <c r="A885" i="3"/>
  <c r="D884" i="3"/>
  <c r="C884" i="3"/>
  <c r="B884" i="3"/>
  <c r="A884" i="3"/>
  <c r="D883" i="3"/>
  <c r="C883" i="3"/>
  <c r="B883" i="3"/>
  <c r="A883" i="3"/>
  <c r="D882" i="3"/>
  <c r="C882" i="3"/>
  <c r="B882" i="3"/>
  <c r="A882" i="3"/>
  <c r="D881" i="3"/>
  <c r="C881" i="3"/>
  <c r="B881" i="3"/>
  <c r="A881" i="3"/>
  <c r="D880" i="3"/>
  <c r="C880" i="3"/>
  <c r="B880" i="3"/>
  <c r="A880" i="3"/>
  <c r="D879" i="3"/>
  <c r="C879" i="3"/>
  <c r="B879" i="3"/>
  <c r="A879" i="3"/>
  <c r="D878" i="3"/>
  <c r="C878" i="3"/>
  <c r="B878" i="3"/>
  <c r="A878" i="3"/>
  <c r="D877" i="3"/>
  <c r="C877" i="3"/>
  <c r="B877" i="3"/>
  <c r="A877" i="3"/>
  <c r="D876" i="3"/>
  <c r="C876" i="3"/>
  <c r="B876" i="3"/>
  <c r="A876" i="3"/>
  <c r="D875" i="3"/>
  <c r="C875" i="3"/>
  <c r="B875" i="3"/>
  <c r="A875" i="3"/>
  <c r="D874" i="3"/>
  <c r="C874" i="3"/>
  <c r="B874" i="3"/>
  <c r="A874" i="3"/>
  <c r="D873" i="3"/>
  <c r="C873" i="3"/>
  <c r="B873" i="3"/>
  <c r="A873" i="3"/>
  <c r="D872" i="3"/>
  <c r="C872" i="3"/>
  <c r="B872" i="3"/>
  <c r="A872" i="3"/>
  <c r="D871" i="3"/>
  <c r="C871" i="3"/>
  <c r="B871" i="3"/>
  <c r="A871" i="3"/>
  <c r="D870" i="3"/>
  <c r="C870" i="3"/>
  <c r="B870" i="3"/>
  <c r="A870" i="3"/>
  <c r="D869" i="3"/>
  <c r="C869" i="3"/>
  <c r="B869" i="3"/>
  <c r="A869" i="3"/>
  <c r="D868" i="3"/>
  <c r="C868" i="3"/>
  <c r="B868" i="3"/>
  <c r="A868" i="3"/>
  <c r="D867" i="3"/>
  <c r="C867" i="3"/>
  <c r="B867" i="3"/>
  <c r="A867" i="3"/>
  <c r="D866" i="3"/>
  <c r="C866" i="3"/>
  <c r="B866" i="3"/>
  <c r="A866" i="3"/>
  <c r="D865" i="3"/>
  <c r="C865" i="3"/>
  <c r="B865" i="3"/>
  <c r="A865" i="3"/>
  <c r="D864" i="3"/>
  <c r="C864" i="3"/>
  <c r="B864" i="3"/>
  <c r="A864" i="3"/>
  <c r="D863" i="3"/>
  <c r="C863" i="3"/>
  <c r="B863" i="3"/>
  <c r="A863" i="3"/>
  <c r="D862" i="3"/>
  <c r="C862" i="3"/>
  <c r="B862" i="3"/>
  <c r="A862" i="3"/>
  <c r="D861" i="3"/>
  <c r="C861" i="3"/>
  <c r="B861" i="3"/>
  <c r="A861" i="3"/>
  <c r="D860" i="3"/>
  <c r="C860" i="3"/>
  <c r="B860" i="3"/>
  <c r="A860" i="3"/>
  <c r="D859" i="3"/>
  <c r="C859" i="3"/>
  <c r="B859" i="3"/>
  <c r="A859" i="3"/>
  <c r="D858" i="3"/>
  <c r="C858" i="3"/>
  <c r="B858" i="3"/>
  <c r="A858" i="3"/>
  <c r="D857" i="3"/>
  <c r="C857" i="3"/>
  <c r="B857" i="3"/>
  <c r="A857" i="3"/>
  <c r="D856" i="3"/>
  <c r="C856" i="3"/>
  <c r="B856" i="3"/>
  <c r="A856" i="3"/>
  <c r="D855" i="3"/>
  <c r="C855" i="3"/>
  <c r="B855" i="3"/>
  <c r="A855" i="3"/>
  <c r="D854" i="3"/>
  <c r="C854" i="3"/>
  <c r="B854" i="3"/>
  <c r="A854" i="3"/>
  <c r="D853" i="3"/>
  <c r="C853" i="3"/>
  <c r="B853" i="3"/>
  <c r="A853" i="3"/>
  <c r="D852" i="3"/>
  <c r="C852" i="3"/>
  <c r="B852" i="3"/>
  <c r="A852" i="3"/>
  <c r="D851" i="3"/>
  <c r="C851" i="3"/>
  <c r="B851" i="3"/>
  <c r="A851" i="3"/>
  <c r="D850" i="3"/>
  <c r="C850" i="3"/>
  <c r="B850" i="3"/>
  <c r="A850" i="3"/>
  <c r="D849" i="3"/>
  <c r="C849" i="3"/>
  <c r="B849" i="3"/>
  <c r="A849" i="3"/>
  <c r="D848" i="3"/>
  <c r="C848" i="3"/>
  <c r="B848" i="3"/>
  <c r="A848" i="3"/>
  <c r="D847" i="3"/>
  <c r="C847" i="3"/>
  <c r="B847" i="3"/>
  <c r="A847" i="3"/>
  <c r="D846" i="3"/>
  <c r="C846" i="3"/>
  <c r="B846" i="3"/>
  <c r="A846" i="3"/>
  <c r="D845" i="3"/>
  <c r="C845" i="3"/>
  <c r="B845" i="3"/>
  <c r="A845" i="3"/>
  <c r="D844" i="3"/>
  <c r="C844" i="3"/>
  <c r="B844" i="3"/>
  <c r="A844" i="3"/>
  <c r="D843" i="3"/>
  <c r="C843" i="3"/>
  <c r="B843" i="3"/>
  <c r="A843" i="3"/>
  <c r="D842" i="3"/>
  <c r="C842" i="3"/>
  <c r="B842" i="3"/>
  <c r="A842" i="3"/>
  <c r="D841" i="3"/>
  <c r="C841" i="3"/>
  <c r="B841" i="3"/>
  <c r="A841" i="3"/>
  <c r="D840" i="3"/>
  <c r="C840" i="3"/>
  <c r="B840" i="3"/>
  <c r="A840" i="3"/>
  <c r="D839" i="3"/>
  <c r="C839" i="3"/>
  <c r="B839" i="3"/>
  <c r="A839" i="3"/>
  <c r="D838" i="3"/>
  <c r="C838" i="3"/>
  <c r="B838" i="3"/>
  <c r="A838" i="3"/>
  <c r="D837" i="3"/>
  <c r="C837" i="3"/>
  <c r="B837" i="3"/>
  <c r="A837" i="3"/>
  <c r="D836" i="3"/>
  <c r="C836" i="3"/>
  <c r="B836" i="3"/>
  <c r="A836" i="3"/>
  <c r="D835" i="3"/>
  <c r="C835" i="3"/>
  <c r="B835" i="3"/>
  <c r="A835" i="3"/>
  <c r="D834" i="3"/>
  <c r="C834" i="3"/>
  <c r="B834" i="3"/>
  <c r="A834" i="3"/>
  <c r="D833" i="3"/>
  <c r="C833" i="3"/>
  <c r="B833" i="3"/>
  <c r="A833" i="3"/>
  <c r="D832" i="3"/>
  <c r="C832" i="3"/>
  <c r="B832" i="3"/>
  <c r="A832" i="3"/>
  <c r="D831" i="3"/>
  <c r="C831" i="3"/>
  <c r="B831" i="3"/>
  <c r="A831" i="3"/>
  <c r="D830" i="3"/>
  <c r="C830" i="3"/>
  <c r="B830" i="3"/>
  <c r="A830" i="3"/>
  <c r="D829" i="3"/>
  <c r="C829" i="3"/>
  <c r="B829" i="3"/>
  <c r="A829" i="3"/>
  <c r="D828" i="3"/>
  <c r="C828" i="3"/>
  <c r="B828" i="3"/>
  <c r="A828" i="3"/>
  <c r="D827" i="3"/>
  <c r="C827" i="3"/>
  <c r="B827" i="3"/>
  <c r="A827" i="3"/>
  <c r="D826" i="3"/>
  <c r="C826" i="3"/>
  <c r="B826" i="3"/>
  <c r="A826" i="3"/>
  <c r="D825" i="3"/>
  <c r="C825" i="3"/>
  <c r="B825" i="3"/>
  <c r="A825" i="3"/>
  <c r="D824" i="3"/>
  <c r="C824" i="3"/>
  <c r="B824" i="3"/>
  <c r="A824" i="3"/>
  <c r="D823" i="3"/>
  <c r="C823" i="3"/>
  <c r="B823" i="3"/>
  <c r="A823" i="3"/>
  <c r="D822" i="3"/>
  <c r="C822" i="3"/>
  <c r="B822" i="3"/>
  <c r="A822" i="3"/>
  <c r="D821" i="3"/>
  <c r="C821" i="3"/>
  <c r="B821" i="3"/>
  <c r="A821" i="3"/>
  <c r="D820" i="3"/>
  <c r="C820" i="3"/>
  <c r="B820" i="3"/>
  <c r="A820" i="3"/>
  <c r="D819" i="3"/>
  <c r="C819" i="3"/>
  <c r="B819" i="3"/>
  <c r="A819" i="3"/>
  <c r="D818" i="3"/>
  <c r="C818" i="3"/>
  <c r="B818" i="3"/>
  <c r="A818" i="3"/>
  <c r="D817" i="3"/>
  <c r="C817" i="3"/>
  <c r="B817" i="3"/>
  <c r="A817" i="3"/>
  <c r="D816" i="3"/>
  <c r="C816" i="3"/>
  <c r="B816" i="3"/>
  <c r="A816" i="3"/>
  <c r="D815" i="3"/>
  <c r="C815" i="3"/>
  <c r="B815" i="3"/>
  <c r="A815" i="3"/>
  <c r="D814" i="3"/>
  <c r="C814" i="3"/>
  <c r="B814" i="3"/>
  <c r="A814" i="3"/>
  <c r="D813" i="3"/>
  <c r="C813" i="3"/>
  <c r="B813" i="3"/>
  <c r="A813" i="3"/>
  <c r="D812" i="3"/>
  <c r="C812" i="3"/>
  <c r="B812" i="3"/>
  <c r="A812" i="3"/>
  <c r="D811" i="3"/>
  <c r="C811" i="3"/>
  <c r="B811" i="3"/>
  <c r="A811" i="3"/>
  <c r="D810" i="3"/>
  <c r="C810" i="3"/>
  <c r="B810" i="3"/>
  <c r="A810" i="3"/>
  <c r="D809" i="3"/>
  <c r="C809" i="3"/>
  <c r="B809" i="3"/>
  <c r="A809" i="3"/>
  <c r="D808" i="3"/>
  <c r="C808" i="3"/>
  <c r="B808" i="3"/>
  <c r="A808" i="3"/>
  <c r="D807" i="3"/>
  <c r="C807" i="3"/>
  <c r="B807" i="3"/>
  <c r="A807" i="3"/>
  <c r="D806" i="3"/>
  <c r="C806" i="3"/>
  <c r="B806" i="3"/>
  <c r="A806" i="3"/>
  <c r="D805" i="3"/>
  <c r="C805" i="3"/>
  <c r="B805" i="3"/>
  <c r="A805" i="3"/>
  <c r="D804" i="3"/>
  <c r="C804" i="3"/>
  <c r="B804" i="3"/>
  <c r="A804" i="3"/>
  <c r="D803" i="3"/>
  <c r="C803" i="3"/>
  <c r="B803" i="3"/>
  <c r="A803" i="3"/>
  <c r="D802" i="3"/>
  <c r="C802" i="3"/>
  <c r="B802" i="3"/>
  <c r="A802" i="3"/>
  <c r="D801" i="3"/>
  <c r="C801" i="3"/>
  <c r="B801" i="3"/>
  <c r="A801" i="3"/>
  <c r="D800" i="3"/>
  <c r="C800" i="3"/>
  <c r="B800" i="3"/>
  <c r="A800" i="3"/>
  <c r="D799" i="3"/>
  <c r="C799" i="3"/>
  <c r="B799" i="3"/>
  <c r="A799" i="3"/>
  <c r="D798" i="3"/>
  <c r="C798" i="3"/>
  <c r="B798" i="3"/>
  <c r="A798" i="3"/>
  <c r="D797" i="3"/>
  <c r="C797" i="3"/>
  <c r="B797" i="3"/>
  <c r="A797" i="3"/>
  <c r="D796" i="3"/>
  <c r="C796" i="3"/>
  <c r="B796" i="3"/>
  <c r="A796" i="3"/>
  <c r="D795" i="3"/>
  <c r="C795" i="3"/>
  <c r="B795" i="3"/>
  <c r="A795" i="3"/>
  <c r="D794" i="3"/>
  <c r="C794" i="3"/>
  <c r="B794" i="3"/>
  <c r="A794" i="3"/>
  <c r="D793" i="3"/>
  <c r="C793" i="3"/>
  <c r="B793" i="3"/>
  <c r="A793" i="3"/>
  <c r="D792" i="3"/>
  <c r="C792" i="3"/>
  <c r="B792" i="3"/>
  <c r="A792" i="3"/>
  <c r="D791" i="3"/>
  <c r="C791" i="3"/>
  <c r="B791" i="3"/>
  <c r="A791" i="3"/>
  <c r="D790" i="3"/>
  <c r="C790" i="3"/>
  <c r="B790" i="3"/>
  <c r="A790" i="3"/>
  <c r="D789" i="3"/>
  <c r="C789" i="3"/>
  <c r="B789" i="3"/>
  <c r="A789" i="3"/>
  <c r="D788" i="3"/>
  <c r="C788" i="3"/>
  <c r="B788" i="3"/>
  <c r="A788" i="3"/>
  <c r="D787" i="3"/>
  <c r="C787" i="3"/>
  <c r="B787" i="3"/>
  <c r="A787" i="3"/>
  <c r="D786" i="3"/>
  <c r="C786" i="3"/>
  <c r="B786" i="3"/>
  <c r="A786" i="3"/>
  <c r="D785" i="3"/>
  <c r="C785" i="3"/>
  <c r="B785" i="3"/>
  <c r="A785" i="3"/>
  <c r="D784" i="3"/>
  <c r="C784" i="3"/>
  <c r="B784" i="3"/>
  <c r="A784" i="3"/>
  <c r="D783" i="3"/>
  <c r="C783" i="3"/>
  <c r="B783" i="3"/>
  <c r="A783" i="3"/>
  <c r="D782" i="3"/>
  <c r="C782" i="3"/>
  <c r="B782" i="3"/>
  <c r="A782" i="3"/>
  <c r="D781" i="3"/>
  <c r="C781" i="3"/>
  <c r="B781" i="3"/>
  <c r="A781" i="3"/>
  <c r="D780" i="3"/>
  <c r="C780" i="3"/>
  <c r="B780" i="3"/>
  <c r="A780" i="3"/>
  <c r="D779" i="3"/>
  <c r="C779" i="3"/>
  <c r="B779" i="3"/>
  <c r="A779" i="3"/>
  <c r="D778" i="3"/>
  <c r="C778" i="3"/>
  <c r="B778" i="3"/>
  <c r="A778" i="3"/>
  <c r="D777" i="3"/>
  <c r="C777" i="3"/>
  <c r="B777" i="3"/>
  <c r="A777" i="3"/>
  <c r="D776" i="3"/>
  <c r="C776" i="3"/>
  <c r="B776" i="3"/>
  <c r="A776" i="3"/>
  <c r="D775" i="3"/>
  <c r="C775" i="3"/>
  <c r="B775" i="3"/>
  <c r="A775" i="3"/>
  <c r="D774" i="3"/>
  <c r="C774" i="3"/>
  <c r="B774" i="3"/>
  <c r="A774" i="3"/>
  <c r="D773" i="3"/>
  <c r="C773" i="3"/>
  <c r="B773" i="3"/>
  <c r="A773" i="3"/>
  <c r="D772" i="3"/>
  <c r="C772" i="3"/>
  <c r="B772" i="3"/>
  <c r="A772" i="3"/>
  <c r="D771" i="3"/>
  <c r="C771" i="3"/>
  <c r="B771" i="3"/>
  <c r="A771" i="3"/>
  <c r="D770" i="3"/>
  <c r="C770" i="3"/>
  <c r="B770" i="3"/>
  <c r="A770" i="3"/>
  <c r="D769" i="3"/>
  <c r="C769" i="3"/>
  <c r="B769" i="3"/>
  <c r="A769" i="3"/>
  <c r="D768" i="3"/>
  <c r="C768" i="3"/>
  <c r="B768" i="3"/>
  <c r="A768" i="3"/>
  <c r="D767" i="3"/>
  <c r="C767" i="3"/>
  <c r="B767" i="3"/>
  <c r="A767" i="3"/>
  <c r="D766" i="3"/>
  <c r="C766" i="3"/>
  <c r="B766" i="3"/>
  <c r="A766" i="3"/>
  <c r="D765" i="3"/>
  <c r="C765" i="3"/>
  <c r="B765" i="3"/>
  <c r="A765" i="3"/>
  <c r="D764" i="3"/>
  <c r="C764" i="3"/>
  <c r="B764" i="3"/>
  <c r="A764" i="3"/>
  <c r="D763" i="3"/>
  <c r="C763" i="3"/>
  <c r="B763" i="3"/>
  <c r="A763" i="3"/>
  <c r="D762" i="3"/>
  <c r="C762" i="3"/>
  <c r="B762" i="3"/>
  <c r="A762" i="3"/>
  <c r="D761" i="3"/>
  <c r="C761" i="3"/>
  <c r="B761" i="3"/>
  <c r="A761" i="3"/>
  <c r="D760" i="3"/>
  <c r="C760" i="3"/>
  <c r="B760" i="3"/>
  <c r="A760" i="3"/>
  <c r="D759" i="3"/>
  <c r="C759" i="3"/>
  <c r="B759" i="3"/>
  <c r="A759" i="3"/>
  <c r="D758" i="3"/>
  <c r="C758" i="3"/>
  <c r="B758" i="3"/>
  <c r="A758" i="3"/>
  <c r="D757" i="3"/>
  <c r="C757" i="3"/>
  <c r="B757" i="3"/>
  <c r="A757" i="3"/>
  <c r="D756" i="3"/>
  <c r="C756" i="3"/>
  <c r="B756" i="3"/>
  <c r="A756" i="3"/>
  <c r="D755" i="3"/>
  <c r="C755" i="3"/>
  <c r="B755" i="3"/>
  <c r="A755" i="3"/>
  <c r="D754" i="3"/>
  <c r="C754" i="3"/>
  <c r="B754" i="3"/>
  <c r="A754" i="3"/>
  <c r="D753" i="3"/>
  <c r="C753" i="3"/>
  <c r="B753" i="3"/>
  <c r="A753" i="3"/>
  <c r="D752" i="3"/>
  <c r="C752" i="3"/>
  <c r="B752" i="3"/>
  <c r="A752" i="3"/>
  <c r="D751" i="3"/>
  <c r="C751" i="3"/>
  <c r="B751" i="3"/>
  <c r="A751" i="3"/>
  <c r="D750" i="3"/>
  <c r="C750" i="3"/>
  <c r="B750" i="3"/>
  <c r="A750" i="3"/>
  <c r="D749" i="3"/>
  <c r="C749" i="3"/>
  <c r="B749" i="3"/>
  <c r="A749" i="3"/>
  <c r="D748" i="3"/>
  <c r="C748" i="3"/>
  <c r="B748" i="3"/>
  <c r="A748" i="3"/>
  <c r="D747" i="3"/>
  <c r="C747" i="3"/>
  <c r="B747" i="3"/>
  <c r="A747" i="3"/>
  <c r="D746" i="3"/>
  <c r="C746" i="3"/>
  <c r="B746" i="3"/>
  <c r="A746" i="3"/>
  <c r="D745" i="3"/>
  <c r="C745" i="3"/>
  <c r="B745" i="3"/>
  <c r="A745" i="3"/>
  <c r="D744" i="3"/>
  <c r="C744" i="3"/>
  <c r="B744" i="3"/>
  <c r="A744" i="3"/>
  <c r="D743" i="3"/>
  <c r="C743" i="3"/>
  <c r="B743" i="3"/>
  <c r="A743" i="3"/>
  <c r="D742" i="3"/>
  <c r="C742" i="3"/>
  <c r="B742" i="3"/>
  <c r="A742" i="3"/>
  <c r="D741" i="3"/>
  <c r="C741" i="3"/>
  <c r="B741" i="3"/>
  <c r="A741" i="3"/>
  <c r="D740" i="3"/>
  <c r="C740" i="3"/>
  <c r="B740" i="3"/>
  <c r="A740" i="3"/>
  <c r="D739" i="3"/>
  <c r="C739" i="3"/>
  <c r="B739" i="3"/>
  <c r="A739" i="3"/>
  <c r="D738" i="3"/>
  <c r="C738" i="3"/>
  <c r="B738" i="3"/>
  <c r="A738" i="3"/>
  <c r="D737" i="3"/>
  <c r="C737" i="3"/>
  <c r="B737" i="3"/>
  <c r="A737" i="3"/>
  <c r="D736" i="3"/>
  <c r="C736" i="3"/>
  <c r="B736" i="3"/>
  <c r="A736" i="3"/>
  <c r="D735" i="3"/>
  <c r="C735" i="3"/>
  <c r="B735" i="3"/>
  <c r="A735" i="3"/>
  <c r="D734" i="3"/>
  <c r="C734" i="3"/>
  <c r="B734" i="3"/>
  <c r="A734" i="3"/>
  <c r="D733" i="3"/>
  <c r="C733" i="3"/>
  <c r="B733" i="3"/>
  <c r="A733" i="3"/>
  <c r="D732" i="3"/>
  <c r="C732" i="3"/>
  <c r="B732" i="3"/>
  <c r="A732" i="3"/>
  <c r="D731" i="3"/>
  <c r="C731" i="3"/>
  <c r="B731" i="3"/>
  <c r="A731" i="3"/>
  <c r="D730" i="3"/>
  <c r="C730" i="3"/>
  <c r="B730" i="3"/>
  <c r="A730" i="3"/>
  <c r="D729" i="3"/>
  <c r="C729" i="3"/>
  <c r="B729" i="3"/>
  <c r="A729" i="3"/>
  <c r="D728" i="3"/>
  <c r="C728" i="3"/>
  <c r="B728" i="3"/>
  <c r="A728" i="3"/>
  <c r="D727" i="3"/>
  <c r="C727" i="3"/>
  <c r="B727" i="3"/>
  <c r="A727" i="3"/>
  <c r="D726" i="3"/>
  <c r="C726" i="3"/>
  <c r="B726" i="3"/>
  <c r="A726" i="3"/>
  <c r="D725" i="3"/>
  <c r="C725" i="3"/>
  <c r="B725" i="3"/>
  <c r="A725" i="3"/>
  <c r="D724" i="3"/>
  <c r="C724" i="3"/>
  <c r="B724" i="3"/>
  <c r="A724" i="3"/>
  <c r="D723" i="3"/>
  <c r="C723" i="3"/>
  <c r="B723" i="3"/>
  <c r="A723" i="3"/>
  <c r="D722" i="3"/>
  <c r="C722" i="3"/>
  <c r="B722" i="3"/>
  <c r="A722" i="3"/>
  <c r="D721" i="3"/>
  <c r="C721" i="3"/>
  <c r="B721" i="3"/>
  <c r="A721" i="3"/>
  <c r="D720" i="3"/>
  <c r="C720" i="3"/>
  <c r="B720" i="3"/>
  <c r="A720" i="3"/>
  <c r="D719" i="3"/>
  <c r="C719" i="3"/>
  <c r="B719" i="3"/>
  <c r="A719" i="3"/>
  <c r="D718" i="3"/>
  <c r="C718" i="3"/>
  <c r="B718" i="3"/>
  <c r="A718" i="3"/>
  <c r="D717" i="3"/>
  <c r="C717" i="3"/>
  <c r="B717" i="3"/>
  <c r="A717" i="3"/>
  <c r="D716" i="3"/>
  <c r="C716" i="3"/>
  <c r="B716" i="3"/>
  <c r="A716" i="3"/>
  <c r="D715" i="3"/>
  <c r="C715" i="3"/>
  <c r="B715" i="3"/>
  <c r="A715" i="3"/>
  <c r="D714" i="3"/>
  <c r="C714" i="3"/>
  <c r="B714" i="3"/>
  <c r="A714" i="3"/>
  <c r="D713" i="3"/>
  <c r="C713" i="3"/>
  <c r="B713" i="3"/>
  <c r="A713" i="3"/>
  <c r="D712" i="3"/>
  <c r="C712" i="3"/>
  <c r="B712" i="3"/>
  <c r="A712" i="3"/>
  <c r="D711" i="3"/>
  <c r="C711" i="3"/>
  <c r="B711" i="3"/>
  <c r="A711" i="3"/>
  <c r="D710" i="3"/>
  <c r="C710" i="3"/>
  <c r="B710" i="3"/>
  <c r="A710" i="3"/>
  <c r="D709" i="3"/>
  <c r="C709" i="3"/>
  <c r="B709" i="3"/>
  <c r="A709" i="3"/>
  <c r="D708" i="3"/>
  <c r="C708" i="3"/>
  <c r="B708" i="3"/>
  <c r="A708" i="3"/>
  <c r="D707" i="3"/>
  <c r="C707" i="3"/>
  <c r="B707" i="3"/>
  <c r="A707" i="3"/>
  <c r="D706" i="3"/>
  <c r="C706" i="3"/>
  <c r="B706" i="3"/>
  <c r="A706" i="3"/>
  <c r="D705" i="3"/>
  <c r="C705" i="3"/>
  <c r="B705" i="3"/>
  <c r="A705" i="3"/>
  <c r="D704" i="3"/>
  <c r="C704" i="3"/>
  <c r="B704" i="3"/>
  <c r="A704" i="3"/>
  <c r="D703" i="3"/>
  <c r="C703" i="3"/>
  <c r="B703" i="3"/>
  <c r="A703" i="3"/>
  <c r="D702" i="3"/>
  <c r="C702" i="3"/>
  <c r="B702" i="3"/>
  <c r="A702" i="3"/>
  <c r="D701" i="3"/>
  <c r="C701" i="3"/>
  <c r="B701" i="3"/>
  <c r="A701" i="3"/>
  <c r="D700" i="3"/>
  <c r="C700" i="3"/>
  <c r="B700" i="3"/>
  <c r="A700" i="3"/>
  <c r="D699" i="3"/>
  <c r="C699" i="3"/>
  <c r="B699" i="3"/>
  <c r="A699" i="3"/>
  <c r="D698" i="3"/>
  <c r="C698" i="3"/>
  <c r="B698" i="3"/>
  <c r="A698" i="3"/>
  <c r="D697" i="3"/>
  <c r="C697" i="3"/>
  <c r="B697" i="3"/>
  <c r="A697" i="3"/>
  <c r="D696" i="3"/>
  <c r="C696" i="3"/>
  <c r="B696" i="3"/>
  <c r="A696" i="3"/>
  <c r="D695" i="3"/>
  <c r="C695" i="3"/>
  <c r="B695" i="3"/>
  <c r="A695" i="3"/>
  <c r="D694" i="3"/>
  <c r="C694" i="3"/>
  <c r="B694" i="3"/>
  <c r="A694" i="3"/>
  <c r="D693" i="3"/>
  <c r="C693" i="3"/>
  <c r="B693" i="3"/>
  <c r="A693" i="3"/>
  <c r="D692" i="3"/>
  <c r="C692" i="3"/>
  <c r="B692" i="3"/>
  <c r="A692" i="3"/>
  <c r="D691" i="3"/>
  <c r="C691" i="3"/>
  <c r="B691" i="3"/>
  <c r="A691" i="3"/>
  <c r="D690" i="3"/>
  <c r="C690" i="3"/>
  <c r="B690" i="3"/>
  <c r="A690" i="3"/>
  <c r="D689" i="3"/>
  <c r="C689" i="3"/>
  <c r="B689" i="3"/>
  <c r="A689" i="3"/>
  <c r="D688" i="3"/>
  <c r="C688" i="3"/>
  <c r="B688" i="3"/>
  <c r="A688" i="3"/>
  <c r="D687" i="3"/>
  <c r="C687" i="3"/>
  <c r="B687" i="3"/>
  <c r="A687" i="3"/>
  <c r="D686" i="3"/>
  <c r="C686" i="3"/>
  <c r="B686" i="3"/>
  <c r="A686" i="3"/>
  <c r="D685" i="3"/>
  <c r="C685" i="3"/>
  <c r="B685" i="3"/>
  <c r="A685" i="3"/>
  <c r="D684" i="3"/>
  <c r="C684" i="3"/>
  <c r="B684" i="3"/>
  <c r="A684" i="3"/>
  <c r="D683" i="3"/>
  <c r="C683" i="3"/>
  <c r="B683" i="3"/>
  <c r="A683" i="3"/>
  <c r="D682" i="3"/>
  <c r="C682" i="3"/>
  <c r="B682" i="3"/>
  <c r="A682" i="3"/>
  <c r="D681" i="3"/>
  <c r="C681" i="3"/>
  <c r="B681" i="3"/>
  <c r="A681" i="3"/>
  <c r="D680" i="3"/>
  <c r="C680" i="3"/>
  <c r="B680" i="3"/>
  <c r="A680" i="3"/>
  <c r="D679" i="3"/>
  <c r="C679" i="3"/>
  <c r="B679" i="3"/>
  <c r="A679" i="3"/>
  <c r="D678" i="3"/>
  <c r="C678" i="3"/>
  <c r="B678" i="3"/>
  <c r="A678" i="3"/>
  <c r="D677" i="3"/>
  <c r="C677" i="3"/>
  <c r="B677" i="3"/>
  <c r="A677" i="3"/>
  <c r="D676" i="3"/>
  <c r="C676" i="3"/>
  <c r="B676" i="3"/>
  <c r="A676" i="3"/>
  <c r="D675" i="3"/>
  <c r="C675" i="3"/>
  <c r="B675" i="3"/>
  <c r="A675" i="3"/>
  <c r="D674" i="3"/>
  <c r="C674" i="3"/>
  <c r="B674" i="3"/>
  <c r="A674" i="3"/>
  <c r="D673" i="3"/>
  <c r="C673" i="3"/>
  <c r="B673" i="3"/>
  <c r="A673" i="3"/>
  <c r="D672" i="3"/>
  <c r="C672" i="3"/>
  <c r="B672" i="3"/>
  <c r="A672" i="3"/>
  <c r="D671" i="3"/>
  <c r="C671" i="3"/>
  <c r="B671" i="3"/>
  <c r="A671" i="3"/>
  <c r="D670" i="3"/>
  <c r="C670" i="3"/>
  <c r="B670" i="3"/>
  <c r="A670" i="3"/>
  <c r="D669" i="3"/>
  <c r="C669" i="3"/>
  <c r="B669" i="3"/>
  <c r="A669" i="3"/>
  <c r="D668" i="3"/>
  <c r="C668" i="3"/>
  <c r="B668" i="3"/>
  <c r="A668" i="3"/>
  <c r="D667" i="3"/>
  <c r="C667" i="3"/>
  <c r="B667" i="3"/>
  <c r="A667" i="3"/>
  <c r="D666" i="3"/>
  <c r="C666" i="3"/>
  <c r="B666" i="3"/>
  <c r="A666" i="3"/>
  <c r="D665" i="3"/>
  <c r="C665" i="3"/>
  <c r="B665" i="3"/>
  <c r="A665" i="3"/>
  <c r="D664" i="3"/>
  <c r="C664" i="3"/>
  <c r="B664" i="3"/>
  <c r="A664" i="3"/>
  <c r="D663" i="3"/>
  <c r="C663" i="3"/>
  <c r="B663" i="3"/>
  <c r="A663" i="3"/>
  <c r="D662" i="3"/>
  <c r="C662" i="3"/>
  <c r="B662" i="3"/>
  <c r="A662" i="3"/>
  <c r="D661" i="3"/>
  <c r="C661" i="3"/>
  <c r="B661" i="3"/>
  <c r="A661" i="3"/>
  <c r="D660" i="3"/>
  <c r="C660" i="3"/>
  <c r="B660" i="3"/>
  <c r="A660" i="3"/>
  <c r="D659" i="3"/>
  <c r="C659" i="3"/>
  <c r="B659" i="3"/>
  <c r="A659" i="3"/>
  <c r="D658" i="3"/>
  <c r="C658" i="3"/>
  <c r="B658" i="3"/>
  <c r="A658" i="3"/>
  <c r="D657" i="3"/>
  <c r="C657" i="3"/>
  <c r="B657" i="3"/>
  <c r="A657" i="3"/>
  <c r="D656" i="3"/>
  <c r="C656" i="3"/>
  <c r="B656" i="3"/>
  <c r="A656" i="3"/>
  <c r="D655" i="3"/>
  <c r="C655" i="3"/>
  <c r="B655" i="3"/>
  <c r="A655" i="3"/>
  <c r="D654" i="3"/>
  <c r="C654" i="3"/>
  <c r="B654" i="3"/>
  <c r="A654" i="3"/>
  <c r="D653" i="3"/>
  <c r="C653" i="3"/>
  <c r="B653" i="3"/>
  <c r="A653" i="3"/>
  <c r="D652" i="3"/>
  <c r="C652" i="3"/>
  <c r="B652" i="3"/>
  <c r="A652" i="3"/>
  <c r="D651" i="3"/>
  <c r="C651" i="3"/>
  <c r="B651" i="3"/>
  <c r="A651" i="3"/>
  <c r="D650" i="3"/>
  <c r="C650" i="3"/>
  <c r="B650" i="3"/>
  <c r="A650" i="3"/>
  <c r="D649" i="3"/>
  <c r="C649" i="3"/>
  <c r="B649" i="3"/>
  <c r="A649" i="3"/>
  <c r="D648" i="3"/>
  <c r="C648" i="3"/>
  <c r="B648" i="3"/>
  <c r="A648" i="3"/>
  <c r="D647" i="3"/>
  <c r="C647" i="3"/>
  <c r="B647" i="3"/>
  <c r="A647" i="3"/>
  <c r="D646" i="3"/>
  <c r="C646" i="3"/>
  <c r="B646" i="3"/>
  <c r="A646" i="3"/>
  <c r="D645" i="3"/>
  <c r="C645" i="3"/>
  <c r="B645" i="3"/>
  <c r="A645" i="3"/>
  <c r="D644" i="3"/>
  <c r="C644" i="3"/>
  <c r="B644" i="3"/>
  <c r="A644" i="3"/>
  <c r="D643" i="3"/>
  <c r="C643" i="3"/>
  <c r="B643" i="3"/>
  <c r="A643" i="3"/>
  <c r="D642" i="3"/>
  <c r="C642" i="3"/>
  <c r="B642" i="3"/>
  <c r="A642" i="3"/>
  <c r="D641" i="3"/>
  <c r="C641" i="3"/>
  <c r="B641" i="3"/>
  <c r="A641" i="3"/>
  <c r="D640" i="3"/>
  <c r="C640" i="3"/>
  <c r="B640" i="3"/>
  <c r="A640" i="3"/>
  <c r="D639" i="3"/>
  <c r="C639" i="3"/>
  <c r="B639" i="3"/>
  <c r="A639" i="3"/>
  <c r="D638" i="3"/>
  <c r="C638" i="3"/>
  <c r="B638" i="3"/>
  <c r="A638" i="3"/>
  <c r="D637" i="3"/>
  <c r="C637" i="3"/>
  <c r="B637" i="3"/>
  <c r="A637" i="3"/>
  <c r="D636" i="3"/>
  <c r="C636" i="3"/>
  <c r="B636" i="3"/>
  <c r="A636" i="3"/>
  <c r="D635" i="3"/>
  <c r="C635" i="3"/>
  <c r="B635" i="3"/>
  <c r="A635" i="3"/>
  <c r="D634" i="3"/>
  <c r="C634" i="3"/>
  <c r="B634" i="3"/>
  <c r="A634" i="3"/>
  <c r="D633" i="3"/>
  <c r="C633" i="3"/>
  <c r="B633" i="3"/>
  <c r="A633" i="3"/>
  <c r="D632" i="3"/>
  <c r="C632" i="3"/>
  <c r="B632" i="3"/>
  <c r="A632" i="3"/>
  <c r="D631" i="3"/>
  <c r="C631" i="3"/>
  <c r="B631" i="3"/>
  <c r="A631" i="3"/>
  <c r="D630" i="3"/>
  <c r="C630" i="3"/>
  <c r="B630" i="3"/>
  <c r="A630" i="3"/>
  <c r="D629" i="3"/>
  <c r="C629" i="3"/>
  <c r="B629" i="3"/>
  <c r="A629" i="3"/>
  <c r="D628" i="3"/>
  <c r="C628" i="3"/>
  <c r="B628" i="3"/>
  <c r="A628" i="3"/>
  <c r="D627" i="3"/>
  <c r="C627" i="3"/>
  <c r="B627" i="3"/>
  <c r="A627" i="3"/>
  <c r="D626" i="3"/>
  <c r="C626" i="3"/>
  <c r="B626" i="3"/>
  <c r="A626" i="3"/>
  <c r="D625" i="3"/>
  <c r="C625" i="3"/>
  <c r="B625" i="3"/>
  <c r="A625" i="3"/>
  <c r="D624" i="3"/>
  <c r="C624" i="3"/>
  <c r="B624" i="3"/>
  <c r="A624" i="3"/>
  <c r="D623" i="3"/>
  <c r="C623" i="3"/>
  <c r="B623" i="3"/>
  <c r="A623" i="3"/>
  <c r="D622" i="3"/>
  <c r="C622" i="3"/>
  <c r="B622" i="3"/>
  <c r="A622" i="3"/>
  <c r="D621" i="3"/>
  <c r="C621" i="3"/>
  <c r="B621" i="3"/>
  <c r="A621" i="3"/>
  <c r="D620" i="3"/>
  <c r="C620" i="3"/>
  <c r="B620" i="3"/>
  <c r="A620" i="3"/>
  <c r="D619" i="3"/>
  <c r="C619" i="3"/>
  <c r="B619" i="3"/>
  <c r="A619" i="3"/>
  <c r="D618" i="3"/>
  <c r="C618" i="3"/>
  <c r="B618" i="3"/>
  <c r="A618" i="3"/>
  <c r="D617" i="3"/>
  <c r="C617" i="3"/>
  <c r="B617" i="3"/>
  <c r="A617" i="3"/>
  <c r="D616" i="3"/>
  <c r="C616" i="3"/>
  <c r="B616" i="3"/>
  <c r="A616" i="3"/>
  <c r="D615" i="3"/>
  <c r="C615" i="3"/>
  <c r="B615" i="3"/>
  <c r="A615" i="3"/>
  <c r="D614" i="3"/>
  <c r="C614" i="3"/>
  <c r="B614" i="3"/>
  <c r="A614" i="3"/>
  <c r="D613" i="3"/>
  <c r="C613" i="3"/>
  <c r="B613" i="3"/>
  <c r="A613" i="3"/>
  <c r="D612" i="3"/>
  <c r="C612" i="3"/>
  <c r="B612" i="3"/>
  <c r="A612" i="3"/>
  <c r="D611" i="3"/>
  <c r="C611" i="3"/>
  <c r="B611" i="3"/>
  <c r="A611" i="3"/>
  <c r="D610" i="3"/>
  <c r="C610" i="3"/>
  <c r="B610" i="3"/>
  <c r="A610" i="3"/>
  <c r="D609" i="3"/>
  <c r="C609" i="3"/>
  <c r="B609" i="3"/>
  <c r="A609" i="3"/>
  <c r="D608" i="3"/>
  <c r="C608" i="3"/>
  <c r="B608" i="3"/>
  <c r="A608" i="3"/>
  <c r="D607" i="3"/>
  <c r="C607" i="3"/>
  <c r="B607" i="3"/>
  <c r="A607" i="3"/>
  <c r="D606" i="3"/>
  <c r="C606" i="3"/>
  <c r="B606" i="3"/>
  <c r="A606" i="3"/>
  <c r="D605" i="3"/>
  <c r="C605" i="3"/>
  <c r="B605" i="3"/>
  <c r="A605" i="3"/>
  <c r="D604" i="3"/>
  <c r="C604" i="3"/>
  <c r="B604" i="3"/>
  <c r="A604" i="3"/>
  <c r="D603" i="3"/>
  <c r="C603" i="3"/>
  <c r="B603" i="3"/>
  <c r="A603" i="3"/>
  <c r="D602" i="3"/>
  <c r="C602" i="3"/>
  <c r="B602" i="3"/>
  <c r="A602" i="3"/>
  <c r="D601" i="3"/>
  <c r="C601" i="3"/>
  <c r="B601" i="3"/>
  <c r="A601" i="3"/>
  <c r="D600" i="3"/>
  <c r="C600" i="3"/>
  <c r="B600" i="3"/>
  <c r="A600" i="3"/>
  <c r="D599" i="3"/>
  <c r="C599" i="3"/>
  <c r="B599" i="3"/>
  <c r="A599" i="3"/>
  <c r="D598" i="3"/>
  <c r="C598" i="3"/>
  <c r="B598" i="3"/>
  <c r="A598" i="3"/>
  <c r="D597" i="3"/>
  <c r="C597" i="3"/>
  <c r="B597" i="3"/>
  <c r="A597" i="3"/>
  <c r="D596" i="3"/>
  <c r="C596" i="3"/>
  <c r="B596" i="3"/>
  <c r="A596" i="3"/>
  <c r="D595" i="3"/>
  <c r="C595" i="3"/>
  <c r="B595" i="3"/>
  <c r="A595" i="3"/>
  <c r="D594" i="3"/>
  <c r="C594" i="3"/>
  <c r="B594" i="3"/>
  <c r="A594" i="3"/>
  <c r="D593" i="3"/>
  <c r="C593" i="3"/>
  <c r="B593" i="3"/>
  <c r="A593" i="3"/>
  <c r="D592" i="3"/>
  <c r="C592" i="3"/>
  <c r="B592" i="3"/>
  <c r="A592" i="3"/>
  <c r="D591" i="3"/>
  <c r="C591" i="3"/>
  <c r="B591" i="3"/>
  <c r="A591" i="3"/>
  <c r="D590" i="3"/>
  <c r="C590" i="3"/>
  <c r="B590" i="3"/>
  <c r="A590" i="3"/>
  <c r="D589" i="3"/>
  <c r="C589" i="3"/>
  <c r="B589" i="3"/>
  <c r="A589" i="3"/>
  <c r="D588" i="3"/>
  <c r="C588" i="3"/>
  <c r="B588" i="3"/>
  <c r="A588" i="3"/>
  <c r="D587" i="3"/>
  <c r="C587" i="3"/>
  <c r="B587" i="3"/>
  <c r="A587" i="3"/>
  <c r="D586" i="3"/>
  <c r="C586" i="3"/>
  <c r="B586" i="3"/>
  <c r="A586" i="3"/>
  <c r="D585" i="3"/>
  <c r="C585" i="3"/>
  <c r="B585" i="3"/>
  <c r="A585" i="3"/>
  <c r="D584" i="3"/>
  <c r="C584" i="3"/>
  <c r="B584" i="3"/>
  <c r="A584" i="3"/>
  <c r="D583" i="3"/>
  <c r="C583" i="3"/>
  <c r="B583" i="3"/>
  <c r="A583" i="3"/>
  <c r="D582" i="3"/>
  <c r="C582" i="3"/>
  <c r="B582" i="3"/>
  <c r="A582" i="3"/>
  <c r="D581" i="3"/>
  <c r="C581" i="3"/>
  <c r="B581" i="3"/>
  <c r="A581" i="3"/>
  <c r="D580" i="3"/>
  <c r="C580" i="3"/>
  <c r="B580" i="3"/>
  <c r="A580" i="3"/>
  <c r="D579" i="3"/>
  <c r="C579" i="3"/>
  <c r="B579" i="3"/>
  <c r="A579" i="3"/>
  <c r="D578" i="3"/>
  <c r="C578" i="3"/>
  <c r="B578" i="3"/>
  <c r="A578" i="3"/>
  <c r="D577" i="3"/>
  <c r="C577" i="3"/>
  <c r="B577" i="3"/>
  <c r="A577" i="3"/>
  <c r="D576" i="3"/>
  <c r="C576" i="3"/>
  <c r="B576" i="3"/>
  <c r="A576" i="3"/>
  <c r="D575" i="3"/>
  <c r="C575" i="3"/>
  <c r="B575" i="3"/>
  <c r="A575" i="3"/>
  <c r="D574" i="3"/>
  <c r="C574" i="3"/>
  <c r="B574" i="3"/>
  <c r="A574" i="3"/>
  <c r="D573" i="3"/>
  <c r="C573" i="3"/>
  <c r="B573" i="3"/>
  <c r="A573" i="3"/>
  <c r="D572" i="3"/>
  <c r="C572" i="3"/>
  <c r="B572" i="3"/>
  <c r="A572" i="3"/>
  <c r="D571" i="3"/>
  <c r="C571" i="3"/>
  <c r="B571" i="3"/>
  <c r="A571" i="3"/>
  <c r="D570" i="3"/>
  <c r="C570" i="3"/>
  <c r="B570" i="3"/>
  <c r="A570" i="3"/>
  <c r="D569" i="3"/>
  <c r="C569" i="3"/>
  <c r="B569" i="3"/>
  <c r="A569" i="3"/>
  <c r="D568" i="3"/>
  <c r="C568" i="3"/>
  <c r="B568" i="3"/>
  <c r="A568" i="3"/>
  <c r="D567" i="3"/>
  <c r="C567" i="3"/>
  <c r="B567" i="3"/>
  <c r="A567" i="3"/>
  <c r="D566" i="3"/>
  <c r="C566" i="3"/>
  <c r="B566" i="3"/>
  <c r="A566" i="3"/>
  <c r="D565" i="3"/>
  <c r="C565" i="3"/>
  <c r="B565" i="3"/>
  <c r="A565" i="3"/>
  <c r="D564" i="3"/>
  <c r="C564" i="3"/>
  <c r="B564" i="3"/>
  <c r="A564" i="3"/>
  <c r="D563" i="3"/>
  <c r="C563" i="3"/>
  <c r="B563" i="3"/>
  <c r="A563" i="3"/>
  <c r="D562" i="3"/>
  <c r="C562" i="3"/>
  <c r="B562" i="3"/>
  <c r="A562" i="3"/>
  <c r="D561" i="3"/>
  <c r="C561" i="3"/>
  <c r="B561" i="3"/>
  <c r="A561" i="3"/>
  <c r="D560" i="3"/>
  <c r="C560" i="3"/>
  <c r="B560" i="3"/>
  <c r="A560" i="3"/>
  <c r="D559" i="3"/>
  <c r="C559" i="3"/>
  <c r="B559" i="3"/>
  <c r="A559" i="3"/>
  <c r="D558" i="3"/>
  <c r="C558" i="3"/>
  <c r="B558" i="3"/>
  <c r="A558" i="3"/>
  <c r="D557" i="3"/>
  <c r="C557" i="3"/>
  <c r="B557" i="3"/>
  <c r="A557" i="3"/>
  <c r="D556" i="3"/>
  <c r="C556" i="3"/>
  <c r="B556" i="3"/>
  <c r="A556" i="3"/>
  <c r="D555" i="3"/>
  <c r="C555" i="3"/>
  <c r="B555" i="3"/>
  <c r="A555" i="3"/>
  <c r="D554" i="3"/>
  <c r="C554" i="3"/>
  <c r="B554" i="3"/>
  <c r="A554" i="3"/>
  <c r="D553" i="3"/>
  <c r="C553" i="3"/>
  <c r="B553" i="3"/>
  <c r="A553" i="3"/>
  <c r="D552" i="3"/>
  <c r="C552" i="3"/>
  <c r="B552" i="3"/>
  <c r="A552" i="3"/>
  <c r="D551" i="3"/>
  <c r="C551" i="3"/>
  <c r="B551" i="3"/>
  <c r="A551" i="3"/>
  <c r="D550" i="3"/>
  <c r="C550" i="3"/>
  <c r="B550" i="3"/>
  <c r="A550" i="3"/>
  <c r="D549" i="3"/>
  <c r="C549" i="3"/>
  <c r="B549" i="3"/>
  <c r="A549" i="3"/>
  <c r="D548" i="3"/>
  <c r="C548" i="3"/>
  <c r="B548" i="3"/>
  <c r="A548" i="3"/>
  <c r="D547" i="3"/>
  <c r="C547" i="3"/>
  <c r="B547" i="3"/>
  <c r="A547" i="3"/>
  <c r="D546" i="3"/>
  <c r="C546" i="3"/>
  <c r="B546" i="3"/>
  <c r="A546" i="3"/>
  <c r="D545" i="3"/>
  <c r="C545" i="3"/>
  <c r="B545" i="3"/>
  <c r="A545" i="3"/>
  <c r="D544" i="3"/>
  <c r="C544" i="3"/>
  <c r="B544" i="3"/>
  <c r="A544" i="3"/>
  <c r="D543" i="3"/>
  <c r="C543" i="3"/>
  <c r="B543" i="3"/>
  <c r="A543" i="3"/>
  <c r="D542" i="3"/>
  <c r="C542" i="3"/>
  <c r="B542" i="3"/>
  <c r="A542" i="3"/>
  <c r="D541" i="3"/>
  <c r="C541" i="3"/>
  <c r="B541" i="3"/>
  <c r="A541" i="3"/>
  <c r="D540" i="3"/>
  <c r="C540" i="3"/>
  <c r="B540" i="3"/>
  <c r="A540" i="3"/>
  <c r="D539" i="3"/>
  <c r="C539" i="3"/>
  <c r="B539" i="3"/>
  <c r="A539" i="3"/>
  <c r="D538" i="3"/>
  <c r="C538" i="3"/>
  <c r="B538" i="3"/>
  <c r="A538" i="3"/>
  <c r="D537" i="3"/>
  <c r="C537" i="3"/>
  <c r="B537" i="3"/>
  <c r="A537" i="3"/>
  <c r="D536" i="3"/>
  <c r="C536" i="3"/>
  <c r="B536" i="3"/>
  <c r="A536" i="3"/>
  <c r="D535" i="3"/>
  <c r="C535" i="3"/>
  <c r="B535" i="3"/>
  <c r="A535" i="3"/>
  <c r="D534" i="3"/>
  <c r="C534" i="3"/>
  <c r="B534" i="3"/>
  <c r="A534" i="3"/>
  <c r="D533" i="3"/>
  <c r="C533" i="3"/>
  <c r="B533" i="3"/>
  <c r="A533" i="3"/>
  <c r="D532" i="3"/>
  <c r="C532" i="3"/>
  <c r="B532" i="3"/>
  <c r="A532" i="3"/>
  <c r="D531" i="3"/>
  <c r="C531" i="3"/>
  <c r="B531" i="3"/>
  <c r="A531" i="3"/>
  <c r="D530" i="3"/>
  <c r="C530" i="3"/>
  <c r="B530" i="3"/>
  <c r="A530" i="3"/>
  <c r="D529" i="3"/>
  <c r="C529" i="3"/>
  <c r="B529" i="3"/>
  <c r="A529" i="3"/>
  <c r="D528" i="3"/>
  <c r="C528" i="3"/>
  <c r="B528" i="3"/>
  <c r="A528" i="3"/>
  <c r="D527" i="3"/>
  <c r="C527" i="3"/>
  <c r="B527" i="3"/>
  <c r="A527" i="3"/>
  <c r="D526" i="3"/>
  <c r="C526" i="3"/>
  <c r="B526" i="3"/>
  <c r="A526" i="3"/>
  <c r="D525" i="3"/>
  <c r="C525" i="3"/>
  <c r="B525" i="3"/>
  <c r="A525" i="3"/>
  <c r="D524" i="3"/>
  <c r="C524" i="3"/>
  <c r="B524" i="3"/>
  <c r="A524" i="3"/>
  <c r="D523" i="3"/>
  <c r="C523" i="3"/>
  <c r="B523" i="3"/>
  <c r="A523" i="3"/>
  <c r="D522" i="3"/>
  <c r="C522" i="3"/>
  <c r="B522" i="3"/>
  <c r="A522" i="3"/>
  <c r="D521" i="3"/>
  <c r="C521" i="3"/>
  <c r="B521" i="3"/>
  <c r="A521" i="3"/>
  <c r="D520" i="3"/>
  <c r="C520" i="3"/>
  <c r="B520" i="3"/>
  <c r="A520" i="3"/>
  <c r="D519" i="3"/>
  <c r="C519" i="3"/>
  <c r="B519" i="3"/>
  <c r="A519" i="3"/>
  <c r="D518" i="3"/>
  <c r="C518" i="3"/>
  <c r="B518" i="3"/>
  <c r="A518" i="3"/>
  <c r="D517" i="3"/>
  <c r="C517" i="3"/>
  <c r="B517" i="3"/>
  <c r="A517" i="3"/>
  <c r="D516" i="3"/>
  <c r="C516" i="3"/>
  <c r="B516" i="3"/>
  <c r="A516" i="3"/>
  <c r="D515" i="3"/>
  <c r="C515" i="3"/>
  <c r="B515" i="3"/>
  <c r="A515" i="3"/>
  <c r="D514" i="3"/>
  <c r="C514" i="3"/>
  <c r="B514" i="3"/>
  <c r="A514" i="3"/>
  <c r="D513" i="3"/>
  <c r="C513" i="3"/>
  <c r="B513" i="3"/>
  <c r="A513" i="3"/>
  <c r="D512" i="3"/>
  <c r="C512" i="3"/>
  <c r="B512" i="3"/>
  <c r="A512" i="3"/>
  <c r="D511" i="3"/>
  <c r="C511" i="3"/>
  <c r="B511" i="3"/>
  <c r="A511" i="3"/>
  <c r="D510" i="3"/>
  <c r="C510" i="3"/>
  <c r="B510" i="3"/>
  <c r="A510" i="3"/>
  <c r="D509" i="3"/>
  <c r="C509" i="3"/>
  <c r="B509" i="3"/>
  <c r="A509" i="3"/>
  <c r="D508" i="3"/>
  <c r="C508" i="3"/>
  <c r="B508" i="3"/>
  <c r="A508" i="3"/>
  <c r="D507" i="3"/>
  <c r="C507" i="3"/>
  <c r="B507" i="3"/>
  <c r="A507" i="3"/>
  <c r="D506" i="3"/>
  <c r="C506" i="3"/>
  <c r="B506" i="3"/>
  <c r="A506" i="3"/>
  <c r="D505" i="3"/>
  <c r="C505" i="3"/>
  <c r="B505" i="3"/>
  <c r="A505" i="3"/>
  <c r="D504" i="3"/>
  <c r="C504" i="3"/>
  <c r="B504" i="3"/>
  <c r="A504" i="3"/>
  <c r="D503" i="3"/>
  <c r="C503" i="3"/>
  <c r="B503" i="3"/>
  <c r="A503" i="3"/>
  <c r="D502" i="3"/>
  <c r="C502" i="3"/>
  <c r="B502" i="3"/>
  <c r="A502" i="3"/>
  <c r="D501" i="3"/>
  <c r="C501" i="3"/>
  <c r="B501" i="3"/>
  <c r="A501" i="3"/>
  <c r="D500" i="3"/>
  <c r="C500" i="3"/>
  <c r="B500" i="3"/>
  <c r="A500" i="3"/>
  <c r="D499" i="3"/>
  <c r="C499" i="3"/>
  <c r="B499" i="3"/>
  <c r="A499" i="3"/>
  <c r="D498" i="3"/>
  <c r="C498" i="3"/>
  <c r="B498" i="3"/>
  <c r="A498" i="3"/>
  <c r="D497" i="3"/>
  <c r="C497" i="3"/>
  <c r="B497" i="3"/>
  <c r="A497" i="3"/>
  <c r="D496" i="3"/>
  <c r="C496" i="3"/>
  <c r="B496" i="3"/>
  <c r="A496" i="3"/>
  <c r="D495" i="3"/>
  <c r="C495" i="3"/>
  <c r="B495" i="3"/>
  <c r="A495" i="3"/>
  <c r="D494" i="3"/>
  <c r="C494" i="3"/>
  <c r="B494" i="3"/>
  <c r="A494" i="3"/>
  <c r="D493" i="3"/>
  <c r="C493" i="3"/>
  <c r="B493" i="3"/>
  <c r="A493" i="3"/>
  <c r="D492" i="3"/>
  <c r="C492" i="3"/>
  <c r="B492" i="3"/>
  <c r="A492" i="3"/>
  <c r="D491" i="3"/>
  <c r="C491" i="3"/>
  <c r="B491" i="3"/>
  <c r="A491" i="3"/>
  <c r="D490" i="3"/>
  <c r="C490" i="3"/>
  <c r="B490" i="3"/>
  <c r="A490" i="3"/>
  <c r="D489" i="3"/>
  <c r="C489" i="3"/>
  <c r="B489" i="3"/>
  <c r="A489" i="3"/>
  <c r="D488" i="3"/>
  <c r="C488" i="3"/>
  <c r="B488" i="3"/>
  <c r="A488" i="3"/>
  <c r="D487" i="3"/>
  <c r="C487" i="3"/>
  <c r="B487" i="3"/>
  <c r="A487" i="3"/>
  <c r="D486" i="3"/>
  <c r="C486" i="3"/>
  <c r="B486" i="3"/>
  <c r="A486" i="3"/>
  <c r="D485" i="3"/>
  <c r="C485" i="3"/>
  <c r="B485" i="3"/>
  <c r="A485" i="3"/>
  <c r="D484" i="3"/>
  <c r="C484" i="3"/>
  <c r="B484" i="3"/>
  <c r="A484" i="3"/>
  <c r="D483" i="3"/>
  <c r="C483" i="3"/>
  <c r="B483" i="3"/>
  <c r="A483" i="3"/>
  <c r="D482" i="3"/>
  <c r="C482" i="3"/>
  <c r="B482" i="3"/>
  <c r="A482" i="3"/>
  <c r="D481" i="3"/>
  <c r="C481" i="3"/>
  <c r="B481" i="3"/>
  <c r="A481" i="3"/>
  <c r="D480" i="3"/>
  <c r="C480" i="3"/>
  <c r="B480" i="3"/>
  <c r="A480" i="3"/>
  <c r="D479" i="3"/>
  <c r="C479" i="3"/>
  <c r="B479" i="3"/>
  <c r="A479" i="3"/>
  <c r="D478" i="3"/>
  <c r="C478" i="3"/>
  <c r="B478" i="3"/>
  <c r="A478" i="3"/>
  <c r="D477" i="3"/>
  <c r="C477" i="3"/>
  <c r="B477" i="3"/>
  <c r="A477" i="3"/>
  <c r="D476" i="3"/>
  <c r="C476" i="3"/>
  <c r="B476" i="3"/>
  <c r="A476" i="3"/>
  <c r="D475" i="3"/>
  <c r="C475" i="3"/>
  <c r="B475" i="3"/>
  <c r="A475" i="3"/>
  <c r="D474" i="3"/>
  <c r="C474" i="3"/>
  <c r="B474" i="3"/>
  <c r="A474" i="3"/>
  <c r="D473" i="3"/>
  <c r="C473" i="3"/>
  <c r="B473" i="3"/>
  <c r="A473" i="3"/>
  <c r="D472" i="3"/>
  <c r="C472" i="3"/>
  <c r="B472" i="3"/>
  <c r="A472" i="3"/>
  <c r="D471" i="3"/>
  <c r="C471" i="3"/>
  <c r="B471" i="3"/>
  <c r="A471" i="3"/>
  <c r="D470" i="3"/>
  <c r="C470" i="3"/>
  <c r="B470" i="3"/>
  <c r="A470" i="3"/>
  <c r="D469" i="3"/>
  <c r="C469" i="3"/>
  <c r="B469" i="3"/>
  <c r="A469" i="3"/>
  <c r="D468" i="3"/>
  <c r="C468" i="3"/>
  <c r="B468" i="3"/>
  <c r="A468" i="3"/>
  <c r="D467" i="3"/>
  <c r="C467" i="3"/>
  <c r="B467" i="3"/>
  <c r="A467" i="3"/>
  <c r="D466" i="3"/>
  <c r="C466" i="3"/>
  <c r="B466" i="3"/>
  <c r="A466" i="3"/>
  <c r="D465" i="3"/>
  <c r="C465" i="3"/>
  <c r="B465" i="3"/>
  <c r="A465" i="3"/>
  <c r="D464" i="3"/>
  <c r="C464" i="3"/>
  <c r="B464" i="3"/>
  <c r="A464" i="3"/>
  <c r="D463" i="3"/>
  <c r="C463" i="3"/>
  <c r="B463" i="3"/>
  <c r="A463" i="3"/>
  <c r="D462" i="3"/>
  <c r="C462" i="3"/>
  <c r="B462" i="3"/>
  <c r="A462" i="3"/>
  <c r="D461" i="3"/>
  <c r="C461" i="3"/>
  <c r="B461" i="3"/>
  <c r="A461" i="3"/>
  <c r="D460" i="3"/>
  <c r="C460" i="3"/>
  <c r="B460" i="3"/>
  <c r="A460" i="3"/>
  <c r="D459" i="3"/>
  <c r="C459" i="3"/>
  <c r="B459" i="3"/>
  <c r="A459" i="3"/>
  <c r="D458" i="3"/>
  <c r="C458" i="3"/>
  <c r="B458" i="3"/>
  <c r="A458" i="3"/>
  <c r="D457" i="3"/>
  <c r="C457" i="3"/>
  <c r="B457" i="3"/>
  <c r="A457" i="3"/>
  <c r="D456" i="3"/>
  <c r="C456" i="3"/>
  <c r="B456" i="3"/>
  <c r="A456" i="3"/>
  <c r="D455" i="3"/>
  <c r="C455" i="3"/>
  <c r="B455" i="3"/>
  <c r="A455" i="3"/>
  <c r="D454" i="3"/>
  <c r="C454" i="3"/>
  <c r="B454" i="3"/>
  <c r="A454" i="3"/>
  <c r="D453" i="3"/>
  <c r="C453" i="3"/>
  <c r="B453" i="3"/>
  <c r="A453" i="3"/>
  <c r="D452" i="3"/>
  <c r="C452" i="3"/>
  <c r="B452" i="3"/>
  <c r="A452" i="3"/>
  <c r="D451" i="3"/>
  <c r="C451" i="3"/>
  <c r="B451" i="3"/>
  <c r="A451" i="3"/>
  <c r="D450" i="3"/>
  <c r="C450" i="3"/>
  <c r="B450" i="3"/>
  <c r="A450" i="3"/>
  <c r="D449" i="3"/>
  <c r="C449" i="3"/>
  <c r="B449" i="3"/>
  <c r="A449" i="3"/>
  <c r="D448" i="3"/>
  <c r="C448" i="3"/>
  <c r="B448" i="3"/>
  <c r="A448" i="3"/>
  <c r="D447" i="3"/>
  <c r="C447" i="3"/>
  <c r="B447" i="3"/>
  <c r="A447" i="3"/>
  <c r="D446" i="3"/>
  <c r="C446" i="3"/>
  <c r="B446" i="3"/>
  <c r="A446" i="3"/>
  <c r="D445" i="3"/>
  <c r="C445" i="3"/>
  <c r="B445" i="3"/>
  <c r="A445" i="3"/>
  <c r="D444" i="3"/>
  <c r="C444" i="3"/>
  <c r="B444" i="3"/>
  <c r="A444" i="3"/>
  <c r="D443" i="3"/>
  <c r="C443" i="3"/>
  <c r="B443" i="3"/>
  <c r="A443" i="3"/>
  <c r="D442" i="3"/>
  <c r="C442" i="3"/>
  <c r="B442" i="3"/>
  <c r="A442" i="3"/>
  <c r="D441" i="3"/>
  <c r="C441" i="3"/>
  <c r="B441" i="3"/>
  <c r="A441" i="3"/>
  <c r="D440" i="3"/>
  <c r="C440" i="3"/>
  <c r="B440" i="3"/>
  <c r="A440" i="3"/>
  <c r="D439" i="3"/>
  <c r="C439" i="3"/>
  <c r="B439" i="3"/>
  <c r="A439" i="3"/>
  <c r="D438" i="3"/>
  <c r="C438" i="3"/>
  <c r="B438" i="3"/>
  <c r="A438" i="3"/>
  <c r="D437" i="3"/>
  <c r="C437" i="3"/>
  <c r="B437" i="3"/>
  <c r="A437" i="3"/>
  <c r="D436" i="3"/>
  <c r="C436" i="3"/>
  <c r="B436" i="3"/>
  <c r="A436" i="3"/>
  <c r="D435" i="3"/>
  <c r="C435" i="3"/>
  <c r="B435" i="3"/>
  <c r="A435" i="3"/>
  <c r="D434" i="3"/>
  <c r="C434" i="3"/>
  <c r="B434" i="3"/>
  <c r="A434" i="3"/>
  <c r="D433" i="3"/>
  <c r="C433" i="3"/>
  <c r="B433" i="3"/>
  <c r="A433" i="3"/>
  <c r="D432" i="3"/>
  <c r="C432" i="3"/>
  <c r="B432" i="3"/>
  <c r="A432" i="3"/>
  <c r="D431" i="3"/>
  <c r="C431" i="3"/>
  <c r="B431" i="3"/>
  <c r="A431" i="3"/>
  <c r="D430" i="3"/>
  <c r="C430" i="3"/>
  <c r="B430" i="3"/>
  <c r="A430" i="3"/>
  <c r="D429" i="3"/>
  <c r="C429" i="3"/>
  <c r="B429" i="3"/>
  <c r="A429" i="3"/>
  <c r="D428" i="3"/>
  <c r="C428" i="3"/>
  <c r="B428" i="3"/>
  <c r="A428" i="3"/>
  <c r="D427" i="3"/>
  <c r="C427" i="3"/>
  <c r="B427" i="3"/>
  <c r="A427" i="3"/>
  <c r="D426" i="3"/>
  <c r="C426" i="3"/>
  <c r="B426" i="3"/>
  <c r="A426" i="3"/>
  <c r="D425" i="3"/>
  <c r="C425" i="3"/>
  <c r="B425" i="3"/>
  <c r="A425" i="3"/>
  <c r="D424" i="3"/>
  <c r="C424" i="3"/>
  <c r="B424" i="3"/>
  <c r="A424" i="3"/>
  <c r="D423" i="3"/>
  <c r="C423" i="3"/>
  <c r="B423" i="3"/>
  <c r="A423" i="3"/>
  <c r="D422" i="3"/>
  <c r="C422" i="3"/>
  <c r="B422" i="3"/>
  <c r="A422" i="3"/>
  <c r="D421" i="3"/>
  <c r="C421" i="3"/>
  <c r="B421" i="3"/>
  <c r="A421" i="3"/>
  <c r="D420" i="3"/>
  <c r="C420" i="3"/>
  <c r="B420" i="3"/>
  <c r="A420" i="3"/>
  <c r="D419" i="3"/>
  <c r="C419" i="3"/>
  <c r="B419" i="3"/>
  <c r="A419" i="3"/>
  <c r="D418" i="3"/>
  <c r="C418" i="3"/>
  <c r="B418" i="3"/>
  <c r="A418" i="3"/>
  <c r="D417" i="3"/>
  <c r="C417" i="3"/>
  <c r="B417" i="3"/>
  <c r="A417" i="3"/>
  <c r="D416" i="3"/>
  <c r="C416" i="3"/>
  <c r="B416" i="3"/>
  <c r="A416" i="3"/>
  <c r="D415" i="3"/>
  <c r="C415" i="3"/>
  <c r="B415" i="3"/>
  <c r="A415" i="3"/>
  <c r="D414" i="3"/>
  <c r="C414" i="3"/>
  <c r="B414" i="3"/>
  <c r="A414" i="3"/>
  <c r="D413" i="3"/>
  <c r="C413" i="3"/>
  <c r="B413" i="3"/>
  <c r="A413" i="3"/>
  <c r="D412" i="3"/>
  <c r="C412" i="3"/>
  <c r="B412" i="3"/>
  <c r="A412" i="3"/>
  <c r="D411" i="3"/>
  <c r="C411" i="3"/>
  <c r="B411" i="3"/>
  <c r="A411" i="3"/>
  <c r="D410" i="3"/>
  <c r="C410" i="3"/>
  <c r="B410" i="3"/>
  <c r="A410" i="3"/>
  <c r="D409" i="3"/>
  <c r="C409" i="3"/>
  <c r="B409" i="3"/>
  <c r="A409" i="3"/>
  <c r="D408" i="3"/>
  <c r="C408" i="3"/>
  <c r="B408" i="3"/>
  <c r="A408" i="3"/>
  <c r="D407" i="3"/>
  <c r="C407" i="3"/>
  <c r="B407" i="3"/>
  <c r="A407" i="3"/>
  <c r="D406" i="3"/>
  <c r="C406" i="3"/>
  <c r="B406" i="3"/>
  <c r="A406" i="3"/>
  <c r="D405" i="3"/>
  <c r="C405" i="3"/>
  <c r="B405" i="3"/>
  <c r="A405" i="3"/>
  <c r="D404" i="3"/>
  <c r="C404" i="3"/>
  <c r="B404" i="3"/>
  <c r="A404" i="3"/>
  <c r="D403" i="3"/>
  <c r="C403" i="3"/>
  <c r="B403" i="3"/>
  <c r="A403" i="3"/>
  <c r="D402" i="3"/>
  <c r="C402" i="3"/>
  <c r="B402" i="3"/>
  <c r="A402" i="3"/>
  <c r="D401" i="3"/>
  <c r="C401" i="3"/>
  <c r="B401" i="3"/>
  <c r="A401" i="3"/>
  <c r="D400" i="3"/>
  <c r="C400" i="3"/>
  <c r="B400" i="3"/>
  <c r="A400" i="3"/>
  <c r="D399" i="3"/>
  <c r="C399" i="3"/>
  <c r="B399" i="3"/>
  <c r="A399" i="3"/>
  <c r="D398" i="3"/>
  <c r="C398" i="3"/>
  <c r="B398" i="3"/>
  <c r="A398" i="3"/>
  <c r="D397" i="3"/>
  <c r="C397" i="3"/>
  <c r="B397" i="3"/>
  <c r="A397" i="3"/>
  <c r="D396" i="3"/>
  <c r="C396" i="3"/>
  <c r="B396" i="3"/>
  <c r="A396" i="3"/>
  <c r="D395" i="3"/>
  <c r="C395" i="3"/>
  <c r="B395" i="3"/>
  <c r="A395" i="3"/>
  <c r="D394" i="3"/>
  <c r="C394" i="3"/>
  <c r="B394" i="3"/>
  <c r="A394" i="3"/>
  <c r="D393" i="3"/>
  <c r="C393" i="3"/>
  <c r="B393" i="3"/>
  <c r="A393" i="3"/>
  <c r="D392" i="3"/>
  <c r="C392" i="3"/>
  <c r="B392" i="3"/>
  <c r="A392" i="3"/>
  <c r="D391" i="3"/>
  <c r="C391" i="3"/>
  <c r="B391" i="3"/>
  <c r="A391" i="3"/>
  <c r="D390" i="3"/>
  <c r="C390" i="3"/>
  <c r="B390" i="3"/>
  <c r="A390" i="3"/>
  <c r="D389" i="3"/>
  <c r="C389" i="3"/>
  <c r="B389" i="3"/>
  <c r="A389" i="3"/>
  <c r="D388" i="3"/>
  <c r="C388" i="3"/>
  <c r="B388" i="3"/>
  <c r="A388" i="3"/>
  <c r="D387" i="3"/>
  <c r="C387" i="3"/>
  <c r="B387" i="3"/>
  <c r="A387" i="3"/>
  <c r="D386" i="3"/>
  <c r="C386" i="3"/>
  <c r="B386" i="3"/>
  <c r="A386" i="3"/>
  <c r="D385" i="3"/>
  <c r="C385" i="3"/>
  <c r="B385" i="3"/>
  <c r="A385" i="3"/>
  <c r="D384" i="3"/>
  <c r="C384" i="3"/>
  <c r="B384" i="3"/>
  <c r="A384" i="3"/>
  <c r="D383" i="3"/>
  <c r="C383" i="3"/>
  <c r="B383" i="3"/>
  <c r="A383" i="3"/>
  <c r="D382" i="3"/>
  <c r="C382" i="3"/>
  <c r="B382" i="3"/>
  <c r="A382" i="3"/>
  <c r="D381" i="3"/>
  <c r="C381" i="3"/>
  <c r="B381" i="3"/>
  <c r="A381" i="3"/>
  <c r="D380" i="3"/>
  <c r="C380" i="3"/>
  <c r="B380" i="3"/>
  <c r="A380" i="3"/>
  <c r="D379" i="3"/>
  <c r="C379" i="3"/>
  <c r="B379" i="3"/>
  <c r="A379" i="3"/>
  <c r="D378" i="3"/>
  <c r="C378" i="3"/>
  <c r="B378" i="3"/>
  <c r="A378" i="3"/>
  <c r="D377" i="3"/>
  <c r="C377" i="3"/>
  <c r="B377" i="3"/>
  <c r="A377" i="3"/>
  <c r="D376" i="3"/>
  <c r="C376" i="3"/>
  <c r="B376" i="3"/>
  <c r="A376" i="3"/>
  <c r="D375" i="3"/>
  <c r="C375" i="3"/>
  <c r="B375" i="3"/>
  <c r="A375" i="3"/>
  <c r="D374" i="3"/>
  <c r="C374" i="3"/>
  <c r="B374" i="3"/>
  <c r="A374" i="3"/>
  <c r="D373" i="3"/>
  <c r="C373" i="3"/>
  <c r="B373" i="3"/>
  <c r="A373" i="3"/>
  <c r="D372" i="3"/>
  <c r="C372" i="3"/>
  <c r="B372" i="3"/>
  <c r="A372" i="3"/>
  <c r="D371" i="3"/>
  <c r="C371" i="3"/>
  <c r="B371" i="3"/>
  <c r="A371" i="3"/>
  <c r="D370" i="3"/>
  <c r="C370" i="3"/>
  <c r="B370" i="3"/>
  <c r="A370" i="3"/>
  <c r="D369" i="3"/>
  <c r="C369" i="3"/>
  <c r="B369" i="3"/>
  <c r="A369" i="3"/>
  <c r="D368" i="3"/>
  <c r="C368" i="3"/>
  <c r="B368" i="3"/>
  <c r="A368" i="3"/>
  <c r="D367" i="3"/>
  <c r="C367" i="3"/>
  <c r="B367" i="3"/>
  <c r="A367" i="3"/>
  <c r="D366" i="3"/>
  <c r="C366" i="3"/>
  <c r="B366" i="3"/>
  <c r="A366" i="3"/>
  <c r="D365" i="3"/>
  <c r="C365" i="3"/>
  <c r="B365" i="3"/>
  <c r="A365" i="3"/>
  <c r="D364" i="3"/>
  <c r="C364" i="3"/>
  <c r="B364" i="3"/>
  <c r="A364" i="3"/>
  <c r="D363" i="3"/>
  <c r="C363" i="3"/>
  <c r="B363" i="3"/>
  <c r="A363" i="3"/>
  <c r="D362" i="3"/>
  <c r="C362" i="3"/>
  <c r="B362" i="3"/>
  <c r="A362" i="3"/>
  <c r="D361" i="3"/>
  <c r="C361" i="3"/>
  <c r="B361" i="3"/>
  <c r="A361" i="3"/>
  <c r="D360" i="3"/>
  <c r="C360" i="3"/>
  <c r="B360" i="3"/>
  <c r="A360" i="3"/>
  <c r="D359" i="3"/>
  <c r="C359" i="3"/>
  <c r="B359" i="3"/>
  <c r="A359" i="3"/>
  <c r="D358" i="3"/>
  <c r="C358" i="3"/>
  <c r="B358" i="3"/>
  <c r="A358" i="3"/>
  <c r="D357" i="3"/>
  <c r="C357" i="3"/>
  <c r="B357" i="3"/>
  <c r="A357" i="3"/>
  <c r="D356" i="3"/>
  <c r="C356" i="3"/>
  <c r="B356" i="3"/>
  <c r="A356" i="3"/>
  <c r="D355" i="3"/>
  <c r="C355" i="3"/>
  <c r="B355" i="3"/>
  <c r="A355" i="3"/>
  <c r="D354" i="3"/>
  <c r="C354" i="3"/>
  <c r="B354" i="3"/>
  <c r="A354" i="3"/>
  <c r="D353" i="3"/>
  <c r="C353" i="3"/>
  <c r="B353" i="3"/>
  <c r="A353" i="3"/>
  <c r="D352" i="3"/>
  <c r="C352" i="3"/>
  <c r="B352" i="3"/>
  <c r="A352" i="3"/>
  <c r="D351" i="3"/>
  <c r="C351" i="3"/>
  <c r="B351" i="3"/>
  <c r="A351" i="3"/>
  <c r="D350" i="3"/>
  <c r="C350" i="3"/>
  <c r="B350" i="3"/>
  <c r="A350" i="3"/>
  <c r="D349" i="3"/>
  <c r="C349" i="3"/>
  <c r="B349" i="3"/>
  <c r="A349" i="3"/>
  <c r="D348" i="3"/>
  <c r="C348" i="3"/>
  <c r="B348" i="3"/>
  <c r="A348" i="3"/>
  <c r="D347" i="3"/>
  <c r="C347" i="3"/>
  <c r="B347" i="3"/>
  <c r="A347" i="3"/>
  <c r="D346" i="3"/>
  <c r="C346" i="3"/>
  <c r="B346" i="3"/>
  <c r="A346" i="3"/>
  <c r="D345" i="3"/>
  <c r="C345" i="3"/>
  <c r="B345" i="3"/>
  <c r="A345" i="3"/>
  <c r="D344" i="3"/>
  <c r="C344" i="3"/>
  <c r="B344" i="3"/>
  <c r="A344" i="3"/>
  <c r="D343" i="3"/>
  <c r="C343" i="3"/>
  <c r="B343" i="3"/>
  <c r="A343" i="3"/>
  <c r="D342" i="3"/>
  <c r="C342" i="3"/>
  <c r="B342" i="3"/>
  <c r="A342" i="3"/>
  <c r="D341" i="3"/>
  <c r="C341" i="3"/>
  <c r="B341" i="3"/>
  <c r="A341" i="3"/>
  <c r="D340" i="3"/>
  <c r="C340" i="3"/>
  <c r="B340" i="3"/>
  <c r="A340" i="3"/>
  <c r="D339" i="3"/>
  <c r="C339" i="3"/>
  <c r="B339" i="3"/>
  <c r="A339" i="3"/>
  <c r="D338" i="3"/>
  <c r="C338" i="3"/>
  <c r="B338" i="3"/>
  <c r="A338" i="3"/>
  <c r="D337" i="3"/>
  <c r="C337" i="3"/>
  <c r="B337" i="3"/>
  <c r="A337" i="3"/>
  <c r="D336" i="3"/>
  <c r="C336" i="3"/>
  <c r="B336" i="3"/>
  <c r="A336" i="3"/>
  <c r="D335" i="3"/>
  <c r="C335" i="3"/>
  <c r="B335" i="3"/>
  <c r="A335" i="3"/>
  <c r="D334" i="3"/>
  <c r="C334" i="3"/>
  <c r="B334" i="3"/>
  <c r="A334" i="3"/>
  <c r="D333" i="3"/>
  <c r="C333" i="3"/>
  <c r="B333" i="3"/>
  <c r="A333" i="3"/>
  <c r="D332" i="3"/>
  <c r="C332" i="3"/>
  <c r="B332" i="3"/>
  <c r="A332" i="3"/>
  <c r="D331" i="3"/>
  <c r="C331" i="3"/>
  <c r="B331" i="3"/>
  <c r="A331" i="3"/>
  <c r="D330" i="3"/>
  <c r="C330" i="3"/>
  <c r="B330" i="3"/>
  <c r="A330" i="3"/>
  <c r="D329" i="3"/>
  <c r="C329" i="3"/>
  <c r="B329" i="3"/>
  <c r="A329" i="3"/>
  <c r="D328" i="3"/>
  <c r="C328" i="3"/>
  <c r="B328" i="3"/>
  <c r="A328" i="3"/>
  <c r="D327" i="3"/>
  <c r="C327" i="3"/>
  <c r="B327" i="3"/>
  <c r="A327" i="3"/>
  <c r="D326" i="3"/>
  <c r="C326" i="3"/>
  <c r="B326" i="3"/>
  <c r="A326" i="3"/>
  <c r="D325" i="3"/>
  <c r="C325" i="3"/>
  <c r="B325" i="3"/>
  <c r="A325" i="3"/>
  <c r="D324" i="3"/>
  <c r="C324" i="3"/>
  <c r="B324" i="3"/>
  <c r="A324" i="3"/>
  <c r="D323" i="3"/>
  <c r="C323" i="3"/>
  <c r="B323" i="3"/>
  <c r="A323" i="3"/>
  <c r="D322" i="3"/>
  <c r="C322" i="3"/>
  <c r="B322" i="3"/>
  <c r="A322" i="3"/>
  <c r="D321" i="3"/>
  <c r="C321" i="3"/>
  <c r="B321" i="3"/>
  <c r="A321" i="3"/>
  <c r="D320" i="3"/>
  <c r="C320" i="3"/>
  <c r="B320" i="3"/>
  <c r="A320" i="3"/>
  <c r="D319" i="3"/>
  <c r="C319" i="3"/>
  <c r="B319" i="3"/>
  <c r="A319" i="3"/>
  <c r="D318" i="3"/>
  <c r="C318" i="3"/>
  <c r="B318" i="3"/>
  <c r="A318" i="3"/>
  <c r="D317" i="3"/>
  <c r="C317" i="3"/>
  <c r="B317" i="3"/>
  <c r="A317" i="3"/>
  <c r="D316" i="3"/>
  <c r="C316" i="3"/>
  <c r="B316" i="3"/>
  <c r="A316" i="3"/>
  <c r="D315" i="3"/>
  <c r="C315" i="3"/>
  <c r="B315" i="3"/>
  <c r="A315" i="3"/>
  <c r="D314" i="3"/>
  <c r="C314" i="3"/>
  <c r="B314" i="3"/>
  <c r="A314" i="3"/>
  <c r="D313" i="3"/>
  <c r="C313" i="3"/>
  <c r="B313" i="3"/>
  <c r="A313" i="3"/>
  <c r="D312" i="3"/>
  <c r="C312" i="3"/>
  <c r="B312" i="3"/>
  <c r="A312" i="3"/>
  <c r="D311" i="3"/>
  <c r="C311" i="3"/>
  <c r="B311" i="3"/>
  <c r="A311" i="3"/>
  <c r="D310" i="3"/>
  <c r="C310" i="3"/>
  <c r="B310" i="3"/>
  <c r="A310" i="3"/>
  <c r="D309" i="3"/>
  <c r="C309" i="3"/>
  <c r="B309" i="3"/>
  <c r="A309" i="3"/>
  <c r="D308" i="3"/>
  <c r="C308" i="3"/>
  <c r="B308" i="3"/>
  <c r="A308" i="3"/>
  <c r="D307" i="3"/>
  <c r="C307" i="3"/>
  <c r="B307" i="3"/>
  <c r="A307" i="3"/>
  <c r="D306" i="3"/>
  <c r="C306" i="3"/>
  <c r="B306" i="3"/>
  <c r="A306" i="3"/>
  <c r="D305" i="3"/>
  <c r="C305" i="3"/>
  <c r="B305" i="3"/>
  <c r="A305" i="3"/>
  <c r="D304" i="3"/>
  <c r="C304" i="3"/>
  <c r="B304" i="3"/>
  <c r="A304" i="3"/>
  <c r="D303" i="3"/>
  <c r="C303" i="3"/>
  <c r="B303" i="3"/>
  <c r="A303" i="3"/>
  <c r="D302" i="3"/>
  <c r="C302" i="3"/>
  <c r="B302" i="3"/>
  <c r="A302" i="3"/>
  <c r="D301" i="3"/>
  <c r="C301" i="3"/>
  <c r="B301" i="3"/>
  <c r="A301" i="3"/>
  <c r="D300" i="3"/>
  <c r="C300" i="3"/>
  <c r="B300" i="3"/>
  <c r="A300" i="3"/>
  <c r="D299" i="3"/>
  <c r="C299" i="3"/>
  <c r="B299" i="3"/>
  <c r="A299" i="3"/>
  <c r="D298" i="3"/>
  <c r="C298" i="3"/>
  <c r="B298" i="3"/>
  <c r="A298" i="3"/>
  <c r="D297" i="3"/>
  <c r="C297" i="3"/>
  <c r="B297" i="3"/>
  <c r="A297" i="3"/>
  <c r="D296" i="3"/>
  <c r="C296" i="3"/>
  <c r="B296" i="3"/>
  <c r="A296" i="3"/>
  <c r="D295" i="3"/>
  <c r="C295" i="3"/>
  <c r="B295" i="3"/>
  <c r="A295" i="3"/>
  <c r="D294" i="3"/>
  <c r="C294" i="3"/>
  <c r="B294" i="3"/>
  <c r="A294" i="3"/>
  <c r="D293" i="3"/>
  <c r="C293" i="3"/>
  <c r="B293" i="3"/>
  <c r="A293" i="3"/>
  <c r="D292" i="3"/>
  <c r="C292" i="3"/>
  <c r="B292" i="3"/>
  <c r="A292" i="3"/>
  <c r="D291" i="3"/>
  <c r="C291" i="3"/>
  <c r="B291" i="3"/>
  <c r="A291" i="3"/>
  <c r="D290" i="3"/>
  <c r="C290" i="3"/>
  <c r="B290" i="3"/>
  <c r="A290" i="3"/>
  <c r="D289" i="3"/>
  <c r="C289" i="3"/>
  <c r="B289" i="3"/>
  <c r="A289" i="3"/>
  <c r="D288" i="3"/>
  <c r="C288" i="3"/>
  <c r="B288" i="3"/>
  <c r="A288" i="3"/>
  <c r="D287" i="3"/>
  <c r="C287" i="3"/>
  <c r="B287" i="3"/>
  <c r="A287" i="3"/>
  <c r="D286" i="3"/>
  <c r="C286" i="3"/>
  <c r="B286" i="3"/>
  <c r="A286" i="3"/>
  <c r="D285" i="3"/>
  <c r="C285" i="3"/>
  <c r="B285" i="3"/>
  <c r="A285" i="3"/>
  <c r="D284" i="3"/>
  <c r="C284" i="3"/>
  <c r="B284" i="3"/>
  <c r="A284" i="3"/>
  <c r="D283" i="3"/>
  <c r="C283" i="3"/>
  <c r="B283" i="3"/>
  <c r="A283" i="3"/>
  <c r="D282" i="3"/>
  <c r="C282" i="3"/>
  <c r="B282" i="3"/>
  <c r="A282" i="3"/>
  <c r="D281" i="3"/>
  <c r="C281" i="3"/>
  <c r="B281" i="3"/>
  <c r="A281" i="3"/>
  <c r="D280" i="3"/>
  <c r="C280" i="3"/>
  <c r="B280" i="3"/>
  <c r="A280" i="3"/>
  <c r="D279" i="3"/>
  <c r="C279" i="3"/>
  <c r="B279" i="3"/>
  <c r="A279" i="3"/>
  <c r="D278" i="3"/>
  <c r="C278" i="3"/>
  <c r="B278" i="3"/>
  <c r="A278" i="3"/>
  <c r="D277" i="3"/>
  <c r="C277" i="3"/>
  <c r="B277" i="3"/>
  <c r="A277" i="3"/>
  <c r="D276" i="3"/>
  <c r="C276" i="3"/>
  <c r="B276" i="3"/>
  <c r="A276" i="3"/>
  <c r="D275" i="3"/>
  <c r="C275" i="3"/>
  <c r="B275" i="3"/>
  <c r="A275" i="3"/>
  <c r="D274" i="3"/>
  <c r="C274" i="3"/>
  <c r="B274" i="3"/>
  <c r="A274" i="3"/>
  <c r="D273" i="3"/>
  <c r="C273" i="3"/>
  <c r="B273" i="3"/>
  <c r="A273" i="3"/>
  <c r="D272" i="3"/>
  <c r="C272" i="3"/>
  <c r="B272" i="3"/>
  <c r="A272" i="3"/>
  <c r="D271" i="3"/>
  <c r="C271" i="3"/>
  <c r="B271" i="3"/>
  <c r="A271" i="3"/>
  <c r="D270" i="3"/>
  <c r="C270" i="3"/>
  <c r="B270" i="3"/>
  <c r="A270" i="3"/>
  <c r="D269" i="3"/>
  <c r="C269" i="3"/>
  <c r="B269" i="3"/>
  <c r="A269" i="3"/>
  <c r="D268" i="3"/>
  <c r="C268" i="3"/>
  <c r="B268" i="3"/>
  <c r="A268" i="3"/>
  <c r="D267" i="3"/>
  <c r="C267" i="3"/>
  <c r="B267" i="3"/>
  <c r="A267" i="3"/>
  <c r="D266" i="3"/>
  <c r="C266" i="3"/>
  <c r="B266" i="3"/>
  <c r="A266" i="3"/>
  <c r="D265" i="3"/>
  <c r="C265" i="3"/>
  <c r="B265" i="3"/>
  <c r="A265" i="3"/>
  <c r="D264" i="3"/>
  <c r="C264" i="3"/>
  <c r="B264" i="3"/>
  <c r="A264" i="3"/>
  <c r="D263" i="3"/>
  <c r="C263" i="3"/>
  <c r="B263" i="3"/>
  <c r="A263" i="3"/>
  <c r="D262" i="3"/>
  <c r="C262" i="3"/>
  <c r="B262" i="3"/>
  <c r="A262" i="3"/>
  <c r="D261" i="3"/>
  <c r="C261" i="3"/>
  <c r="B261" i="3"/>
  <c r="A261" i="3"/>
  <c r="D260" i="3"/>
  <c r="C260" i="3"/>
  <c r="B260" i="3"/>
  <c r="A260" i="3"/>
  <c r="D259" i="3"/>
  <c r="C259" i="3"/>
  <c r="B259" i="3"/>
  <c r="A259" i="3"/>
  <c r="D258" i="3"/>
  <c r="C258" i="3"/>
  <c r="B258" i="3"/>
  <c r="A258" i="3"/>
  <c r="D257" i="3"/>
  <c r="C257" i="3"/>
  <c r="B257" i="3"/>
  <c r="A257" i="3"/>
  <c r="D256" i="3"/>
  <c r="C256" i="3"/>
  <c r="B256" i="3"/>
  <c r="A256" i="3"/>
  <c r="D255" i="3"/>
  <c r="C255" i="3"/>
  <c r="B255" i="3"/>
  <c r="A255" i="3"/>
  <c r="D254" i="3"/>
  <c r="C254" i="3"/>
  <c r="B254" i="3"/>
  <c r="A254" i="3"/>
  <c r="D253" i="3"/>
  <c r="C253" i="3"/>
  <c r="B253" i="3"/>
  <c r="A253" i="3"/>
  <c r="D252" i="3"/>
  <c r="C252" i="3"/>
  <c r="B252" i="3"/>
  <c r="A252" i="3"/>
  <c r="D251" i="3"/>
  <c r="C251" i="3"/>
  <c r="B251" i="3"/>
  <c r="A251" i="3"/>
  <c r="D250" i="3"/>
  <c r="C250" i="3"/>
  <c r="B250" i="3"/>
  <c r="A250" i="3"/>
  <c r="D249" i="3"/>
  <c r="C249" i="3"/>
  <c r="B249" i="3"/>
  <c r="A249" i="3"/>
  <c r="D248" i="3"/>
  <c r="C248" i="3"/>
  <c r="B248" i="3"/>
  <c r="A248" i="3"/>
  <c r="D247" i="3"/>
  <c r="C247" i="3"/>
  <c r="B247" i="3"/>
  <c r="A247" i="3"/>
  <c r="D246" i="3"/>
  <c r="C246" i="3"/>
  <c r="B246" i="3"/>
  <c r="A246" i="3"/>
  <c r="D245" i="3"/>
  <c r="C245" i="3"/>
  <c r="B245" i="3"/>
  <c r="A245" i="3"/>
  <c r="D244" i="3"/>
  <c r="C244" i="3"/>
  <c r="B244" i="3"/>
  <c r="A244" i="3"/>
  <c r="D243" i="3"/>
  <c r="C243" i="3"/>
  <c r="B243" i="3"/>
  <c r="A243" i="3"/>
  <c r="D242" i="3"/>
  <c r="C242" i="3"/>
  <c r="B242" i="3"/>
  <c r="A242" i="3"/>
  <c r="D241" i="3"/>
  <c r="C241" i="3"/>
  <c r="B241" i="3"/>
  <c r="A241" i="3"/>
  <c r="D240" i="3"/>
  <c r="C240" i="3"/>
  <c r="B240" i="3"/>
  <c r="A240" i="3"/>
  <c r="D239" i="3"/>
  <c r="C239" i="3"/>
  <c r="B239" i="3"/>
  <c r="A239" i="3"/>
  <c r="D238" i="3"/>
  <c r="C238" i="3"/>
  <c r="B238" i="3"/>
  <c r="A238" i="3"/>
  <c r="D237" i="3"/>
  <c r="C237" i="3"/>
  <c r="B237" i="3"/>
  <c r="A237" i="3"/>
  <c r="D236" i="3"/>
  <c r="C236" i="3"/>
  <c r="B236" i="3"/>
  <c r="A236" i="3"/>
  <c r="D235" i="3"/>
  <c r="C235" i="3"/>
  <c r="B235" i="3"/>
  <c r="A235" i="3"/>
  <c r="D234" i="3"/>
  <c r="C234" i="3"/>
  <c r="B234" i="3"/>
  <c r="A234" i="3"/>
  <c r="D233" i="3"/>
  <c r="C233" i="3"/>
  <c r="B233" i="3"/>
  <c r="A233" i="3"/>
  <c r="D232" i="3"/>
  <c r="C232" i="3"/>
  <c r="B232" i="3"/>
  <c r="A232" i="3"/>
  <c r="D231" i="3"/>
  <c r="C231" i="3"/>
  <c r="B231" i="3"/>
  <c r="A231" i="3"/>
  <c r="D230" i="3"/>
  <c r="C230" i="3"/>
  <c r="B230" i="3"/>
  <c r="A230" i="3"/>
  <c r="D229" i="3"/>
  <c r="C229" i="3"/>
  <c r="B229" i="3"/>
  <c r="A229" i="3"/>
  <c r="D228" i="3"/>
  <c r="C228" i="3"/>
  <c r="B228" i="3"/>
  <c r="A228" i="3"/>
  <c r="D227" i="3"/>
  <c r="C227" i="3"/>
  <c r="B227" i="3"/>
  <c r="A227" i="3"/>
  <c r="D226" i="3"/>
  <c r="C226" i="3"/>
  <c r="B226" i="3"/>
  <c r="A226" i="3"/>
  <c r="D225" i="3"/>
  <c r="C225" i="3"/>
  <c r="B225" i="3"/>
  <c r="A225" i="3"/>
  <c r="D224" i="3"/>
  <c r="C224" i="3"/>
  <c r="B224" i="3"/>
  <c r="A224" i="3"/>
  <c r="D223" i="3"/>
  <c r="C223" i="3"/>
  <c r="B223" i="3"/>
  <c r="A223" i="3"/>
  <c r="D222" i="3"/>
  <c r="C222" i="3"/>
  <c r="B222" i="3"/>
  <c r="A222" i="3"/>
  <c r="D221" i="3"/>
  <c r="C221" i="3"/>
  <c r="B221" i="3"/>
  <c r="A221" i="3"/>
  <c r="D220" i="3"/>
  <c r="C220" i="3"/>
  <c r="B220" i="3"/>
  <c r="A220" i="3"/>
  <c r="D219" i="3"/>
  <c r="C219" i="3"/>
  <c r="B219" i="3"/>
  <c r="A219" i="3"/>
  <c r="D218" i="3"/>
  <c r="C218" i="3"/>
  <c r="B218" i="3"/>
  <c r="A218" i="3"/>
  <c r="D217" i="3"/>
  <c r="C217" i="3"/>
  <c r="B217" i="3"/>
  <c r="A217" i="3"/>
  <c r="D216" i="3"/>
  <c r="C216" i="3"/>
  <c r="B216" i="3"/>
  <c r="A216" i="3"/>
  <c r="D215" i="3"/>
  <c r="C215" i="3"/>
  <c r="B215" i="3"/>
  <c r="A215" i="3"/>
  <c r="D214" i="3"/>
  <c r="C214" i="3"/>
  <c r="B214" i="3"/>
  <c r="A214" i="3"/>
  <c r="D213" i="3"/>
  <c r="C213" i="3"/>
  <c r="B213" i="3"/>
  <c r="A213" i="3"/>
  <c r="D212" i="3"/>
  <c r="C212" i="3"/>
  <c r="B212" i="3"/>
  <c r="A212" i="3"/>
  <c r="D211" i="3"/>
  <c r="C211" i="3"/>
  <c r="B211" i="3"/>
  <c r="A211" i="3"/>
  <c r="D210" i="3"/>
  <c r="C210" i="3"/>
  <c r="B210" i="3"/>
  <c r="A210" i="3"/>
  <c r="D209" i="3"/>
  <c r="C209" i="3"/>
  <c r="B209" i="3"/>
  <c r="A209" i="3"/>
  <c r="D208" i="3"/>
  <c r="C208" i="3"/>
  <c r="B208" i="3"/>
  <c r="A208" i="3"/>
  <c r="D207" i="3"/>
  <c r="C207" i="3"/>
  <c r="B207" i="3"/>
  <c r="A207" i="3"/>
  <c r="D206" i="3"/>
  <c r="C206" i="3"/>
  <c r="B206" i="3"/>
  <c r="A206" i="3"/>
  <c r="D205" i="3"/>
  <c r="C205" i="3"/>
  <c r="B205" i="3"/>
  <c r="A205" i="3"/>
  <c r="D204" i="3"/>
  <c r="C204" i="3"/>
  <c r="B204" i="3"/>
  <c r="A204" i="3"/>
  <c r="D203" i="3"/>
  <c r="C203" i="3"/>
  <c r="B203" i="3"/>
  <c r="A203" i="3"/>
  <c r="D202" i="3"/>
  <c r="C202" i="3"/>
  <c r="B202" i="3"/>
  <c r="A202" i="3"/>
  <c r="D201" i="3"/>
  <c r="C201" i="3"/>
  <c r="B201" i="3"/>
  <c r="A201" i="3"/>
  <c r="D200" i="3"/>
  <c r="C200" i="3"/>
  <c r="B200" i="3"/>
  <c r="A200" i="3"/>
  <c r="D199" i="3"/>
  <c r="C199" i="3"/>
  <c r="B199" i="3"/>
  <c r="A199" i="3"/>
  <c r="D198" i="3"/>
  <c r="C198" i="3"/>
  <c r="B198" i="3"/>
  <c r="A198" i="3"/>
  <c r="D197" i="3"/>
  <c r="C197" i="3"/>
  <c r="B197" i="3"/>
  <c r="A197" i="3"/>
  <c r="D196" i="3"/>
  <c r="C196" i="3"/>
  <c r="B196" i="3"/>
  <c r="A196" i="3"/>
  <c r="D195" i="3"/>
  <c r="C195" i="3"/>
  <c r="B195" i="3"/>
  <c r="A195" i="3"/>
  <c r="D194" i="3"/>
  <c r="C194" i="3"/>
  <c r="B194" i="3"/>
  <c r="A194" i="3"/>
  <c r="D193" i="3"/>
  <c r="C193" i="3"/>
  <c r="B193" i="3"/>
  <c r="A193" i="3"/>
  <c r="D192" i="3"/>
  <c r="C192" i="3"/>
  <c r="B192" i="3"/>
  <c r="A192" i="3"/>
  <c r="D191" i="3"/>
  <c r="C191" i="3"/>
  <c r="B191" i="3"/>
  <c r="A191" i="3"/>
  <c r="D190" i="3"/>
  <c r="C190" i="3"/>
  <c r="B190" i="3"/>
  <c r="A190" i="3"/>
  <c r="D189" i="3"/>
  <c r="C189" i="3"/>
  <c r="B189" i="3"/>
  <c r="A189" i="3"/>
  <c r="D188" i="3"/>
  <c r="C188" i="3"/>
  <c r="B188" i="3"/>
  <c r="A188" i="3"/>
  <c r="D187" i="3"/>
  <c r="C187" i="3"/>
  <c r="B187" i="3"/>
  <c r="A187" i="3"/>
  <c r="D186" i="3"/>
  <c r="C186" i="3"/>
  <c r="B186" i="3"/>
  <c r="A186" i="3"/>
  <c r="D185" i="3"/>
  <c r="C185" i="3"/>
  <c r="B185" i="3"/>
  <c r="A185" i="3"/>
  <c r="D184" i="3"/>
  <c r="C184" i="3"/>
  <c r="B184" i="3"/>
  <c r="A184" i="3"/>
  <c r="D183" i="3"/>
  <c r="C183" i="3"/>
  <c r="B183" i="3"/>
  <c r="A183" i="3"/>
  <c r="D182" i="3"/>
  <c r="C182" i="3"/>
  <c r="B182" i="3"/>
  <c r="A182" i="3"/>
  <c r="D181" i="3"/>
  <c r="C181" i="3"/>
  <c r="B181" i="3"/>
  <c r="A181" i="3"/>
  <c r="D180" i="3"/>
  <c r="C180" i="3"/>
  <c r="B180" i="3"/>
  <c r="A180" i="3"/>
  <c r="D179" i="3"/>
  <c r="C179" i="3"/>
  <c r="B179" i="3"/>
  <c r="A179" i="3"/>
  <c r="D178" i="3"/>
  <c r="C178" i="3"/>
  <c r="B178" i="3"/>
  <c r="A178" i="3"/>
  <c r="D177" i="3"/>
  <c r="C177" i="3"/>
  <c r="B177" i="3"/>
  <c r="A177" i="3"/>
  <c r="D176" i="3"/>
  <c r="C176" i="3"/>
  <c r="B176" i="3"/>
  <c r="A176" i="3"/>
  <c r="D175" i="3"/>
  <c r="C175" i="3"/>
  <c r="B175" i="3"/>
  <c r="A175" i="3"/>
  <c r="D174" i="3"/>
  <c r="C174" i="3"/>
  <c r="B174" i="3"/>
  <c r="A174" i="3"/>
  <c r="D173" i="3"/>
  <c r="C173" i="3"/>
  <c r="B173" i="3"/>
  <c r="A173" i="3"/>
  <c r="D172" i="3"/>
  <c r="C172" i="3"/>
  <c r="B172" i="3"/>
  <c r="A172" i="3"/>
  <c r="D171" i="3"/>
  <c r="C171" i="3"/>
  <c r="B171" i="3"/>
  <c r="A171" i="3"/>
  <c r="D170" i="3"/>
  <c r="C170" i="3"/>
  <c r="B170" i="3"/>
  <c r="A170" i="3"/>
  <c r="D169" i="3"/>
  <c r="C169" i="3"/>
  <c r="B169" i="3"/>
  <c r="A169" i="3"/>
  <c r="D168" i="3"/>
  <c r="C168" i="3"/>
  <c r="B168" i="3"/>
  <c r="A168" i="3"/>
  <c r="D167" i="3"/>
  <c r="C167" i="3"/>
  <c r="B167" i="3"/>
  <c r="A167" i="3"/>
  <c r="D166" i="3"/>
  <c r="C166" i="3"/>
  <c r="B166" i="3"/>
  <c r="A166" i="3"/>
  <c r="D165" i="3"/>
  <c r="C165" i="3"/>
  <c r="B165" i="3"/>
  <c r="A165" i="3"/>
  <c r="D164" i="3"/>
  <c r="C164" i="3"/>
  <c r="B164" i="3"/>
  <c r="A164" i="3"/>
  <c r="D163" i="3"/>
  <c r="C163" i="3"/>
  <c r="B163" i="3"/>
  <c r="A163" i="3"/>
  <c r="D162" i="3"/>
  <c r="C162" i="3"/>
  <c r="B162" i="3"/>
  <c r="A162" i="3"/>
  <c r="D161" i="3"/>
  <c r="C161" i="3"/>
  <c r="B161" i="3"/>
  <c r="A161" i="3"/>
  <c r="D160" i="3"/>
  <c r="C160" i="3"/>
  <c r="B160" i="3"/>
  <c r="A160" i="3"/>
  <c r="D159" i="3"/>
  <c r="C159" i="3"/>
  <c r="B159" i="3"/>
  <c r="A159" i="3"/>
  <c r="D158" i="3"/>
  <c r="C158" i="3"/>
  <c r="B158" i="3"/>
  <c r="A158" i="3"/>
  <c r="D157" i="3"/>
  <c r="C157" i="3"/>
  <c r="B157" i="3"/>
  <c r="A157" i="3"/>
  <c r="D156" i="3"/>
  <c r="C156" i="3"/>
  <c r="B156" i="3"/>
  <c r="A156" i="3"/>
  <c r="D155" i="3"/>
  <c r="C155" i="3"/>
  <c r="B155" i="3"/>
  <c r="A155" i="3"/>
  <c r="D154" i="3"/>
  <c r="C154" i="3"/>
  <c r="B154" i="3"/>
  <c r="A154" i="3"/>
  <c r="D153" i="3"/>
  <c r="C153" i="3"/>
  <c r="B153" i="3"/>
  <c r="A153" i="3"/>
  <c r="D152" i="3"/>
  <c r="C152" i="3"/>
  <c r="B152" i="3"/>
  <c r="A152" i="3"/>
  <c r="D151" i="3"/>
  <c r="C151" i="3"/>
  <c r="B151" i="3"/>
  <c r="A151" i="3"/>
  <c r="D150" i="3"/>
  <c r="C150" i="3"/>
  <c r="B150" i="3"/>
  <c r="A150" i="3"/>
  <c r="D149" i="3"/>
  <c r="C149" i="3"/>
  <c r="B149" i="3"/>
  <c r="A149" i="3"/>
  <c r="D148" i="3"/>
  <c r="C148" i="3"/>
  <c r="B148" i="3"/>
  <c r="A148" i="3"/>
  <c r="D147" i="3"/>
  <c r="C147" i="3"/>
  <c r="B147" i="3"/>
  <c r="A147" i="3"/>
  <c r="D146" i="3"/>
  <c r="C146" i="3"/>
  <c r="B146" i="3"/>
  <c r="A146" i="3"/>
  <c r="D145" i="3"/>
  <c r="C145" i="3"/>
  <c r="B145" i="3"/>
  <c r="A145" i="3"/>
  <c r="D144" i="3"/>
  <c r="C144" i="3"/>
  <c r="B144" i="3"/>
  <c r="A144" i="3"/>
  <c r="D143" i="3"/>
  <c r="C143" i="3"/>
  <c r="B143" i="3"/>
  <c r="A143" i="3"/>
  <c r="D142" i="3"/>
  <c r="C142" i="3"/>
  <c r="B142" i="3"/>
  <c r="A142" i="3"/>
  <c r="D141" i="3"/>
  <c r="C141" i="3"/>
  <c r="B141" i="3"/>
  <c r="A141" i="3"/>
  <c r="D140" i="3"/>
  <c r="C140" i="3"/>
  <c r="B140" i="3"/>
  <c r="A140" i="3"/>
  <c r="D139" i="3"/>
  <c r="C139" i="3"/>
  <c r="B139" i="3"/>
  <c r="A139" i="3"/>
  <c r="D138" i="3"/>
  <c r="C138" i="3"/>
  <c r="B138" i="3"/>
  <c r="A138" i="3"/>
  <c r="D137" i="3"/>
  <c r="C137" i="3"/>
  <c r="B137" i="3"/>
  <c r="A137" i="3"/>
  <c r="D136" i="3"/>
  <c r="C136" i="3"/>
  <c r="B136" i="3"/>
  <c r="A136" i="3"/>
  <c r="D135" i="3"/>
  <c r="C135" i="3"/>
  <c r="B135" i="3"/>
  <c r="A135" i="3"/>
  <c r="D134" i="3"/>
  <c r="C134" i="3"/>
  <c r="B134" i="3"/>
  <c r="A134" i="3"/>
  <c r="D133" i="3"/>
  <c r="C133" i="3"/>
  <c r="B133" i="3"/>
  <c r="A133" i="3"/>
  <c r="D132" i="3"/>
  <c r="C132" i="3"/>
  <c r="B132" i="3"/>
  <c r="A132" i="3"/>
  <c r="D131" i="3"/>
  <c r="C131" i="3"/>
  <c r="B131" i="3"/>
  <c r="A131" i="3"/>
  <c r="D130" i="3"/>
  <c r="C130" i="3"/>
  <c r="B130" i="3"/>
  <c r="A130" i="3"/>
  <c r="D129" i="3"/>
  <c r="C129" i="3"/>
  <c r="B129" i="3"/>
  <c r="A129" i="3"/>
  <c r="D128" i="3"/>
  <c r="C128" i="3"/>
  <c r="B128" i="3"/>
  <c r="A128" i="3"/>
  <c r="D127" i="3"/>
  <c r="C127" i="3"/>
  <c r="B127" i="3"/>
  <c r="A127" i="3"/>
  <c r="D126" i="3"/>
  <c r="C126" i="3"/>
  <c r="B126" i="3"/>
  <c r="A126" i="3"/>
  <c r="D125" i="3"/>
  <c r="C125" i="3"/>
  <c r="B125" i="3"/>
  <c r="A125" i="3"/>
  <c r="D124" i="3"/>
  <c r="C124" i="3"/>
  <c r="B124" i="3"/>
  <c r="A124" i="3"/>
  <c r="D123" i="3"/>
  <c r="C123" i="3"/>
  <c r="B123" i="3"/>
  <c r="A123" i="3"/>
  <c r="D122" i="3"/>
  <c r="C122" i="3"/>
  <c r="B122" i="3"/>
  <c r="A122" i="3"/>
  <c r="D121" i="3"/>
  <c r="C121" i="3"/>
  <c r="B121" i="3"/>
  <c r="A121" i="3"/>
  <c r="D120" i="3"/>
  <c r="C120" i="3"/>
  <c r="B120" i="3"/>
  <c r="A120" i="3"/>
  <c r="D119" i="3"/>
  <c r="C119" i="3"/>
  <c r="B119" i="3"/>
  <c r="A119" i="3"/>
  <c r="D118" i="3"/>
  <c r="C118" i="3"/>
  <c r="B118" i="3"/>
  <c r="A118" i="3"/>
  <c r="D117" i="3"/>
  <c r="C117" i="3"/>
  <c r="B117" i="3"/>
  <c r="A117" i="3"/>
  <c r="D116" i="3"/>
  <c r="C116" i="3"/>
  <c r="B116" i="3"/>
  <c r="A116" i="3"/>
  <c r="D115" i="3"/>
  <c r="C115" i="3"/>
  <c r="B115" i="3"/>
  <c r="A115" i="3"/>
  <c r="D114" i="3"/>
  <c r="C114" i="3"/>
  <c r="B114" i="3"/>
  <c r="A114" i="3"/>
  <c r="D113" i="3"/>
  <c r="C113" i="3"/>
  <c r="B113" i="3"/>
  <c r="A113" i="3"/>
  <c r="D112" i="3"/>
  <c r="C112" i="3"/>
  <c r="B112" i="3"/>
  <c r="A112" i="3"/>
  <c r="D111" i="3"/>
  <c r="C111" i="3"/>
  <c r="B111" i="3"/>
  <c r="A111" i="3"/>
  <c r="D110" i="3"/>
  <c r="C110" i="3"/>
  <c r="B110" i="3"/>
  <c r="A110" i="3"/>
  <c r="D109" i="3"/>
  <c r="C109" i="3"/>
  <c r="B109" i="3"/>
  <c r="A109" i="3"/>
  <c r="D108" i="3"/>
  <c r="C108" i="3"/>
  <c r="B108" i="3"/>
  <c r="A108" i="3"/>
  <c r="D107" i="3"/>
  <c r="C107" i="3"/>
  <c r="B107" i="3"/>
  <c r="A107" i="3"/>
  <c r="D106" i="3"/>
  <c r="C106" i="3"/>
  <c r="B106" i="3"/>
  <c r="A106" i="3"/>
  <c r="D105" i="3"/>
  <c r="C105" i="3"/>
  <c r="B105" i="3"/>
  <c r="A105" i="3"/>
  <c r="D104" i="3"/>
  <c r="C104" i="3"/>
  <c r="B104" i="3"/>
  <c r="A104" i="3"/>
  <c r="D103" i="3"/>
  <c r="C103" i="3"/>
  <c r="B103" i="3"/>
  <c r="A103" i="3"/>
  <c r="D102" i="3"/>
  <c r="C102" i="3"/>
  <c r="B102" i="3"/>
  <c r="A102" i="3"/>
  <c r="D101" i="3"/>
  <c r="C101" i="3"/>
  <c r="B101" i="3"/>
  <c r="A101" i="3"/>
  <c r="D100" i="3"/>
  <c r="C100" i="3"/>
  <c r="B100" i="3"/>
  <c r="A100" i="3"/>
  <c r="D99" i="3"/>
  <c r="C99" i="3"/>
  <c r="B99" i="3"/>
  <c r="A99" i="3"/>
  <c r="D98" i="3"/>
  <c r="C98" i="3"/>
  <c r="B98" i="3"/>
  <c r="A98" i="3"/>
  <c r="D97" i="3"/>
  <c r="C97" i="3"/>
  <c r="B97" i="3"/>
  <c r="A97" i="3"/>
  <c r="D96" i="3"/>
  <c r="C96" i="3"/>
  <c r="B96" i="3"/>
  <c r="A96" i="3"/>
  <c r="D95" i="3"/>
  <c r="C95" i="3"/>
  <c r="B95" i="3"/>
  <c r="A95" i="3"/>
  <c r="D94" i="3"/>
  <c r="C94" i="3"/>
  <c r="B94" i="3"/>
  <c r="A94" i="3"/>
  <c r="D93" i="3"/>
  <c r="C93" i="3"/>
  <c r="B93" i="3"/>
  <c r="A93" i="3"/>
  <c r="D92" i="3"/>
  <c r="C92" i="3"/>
  <c r="B92" i="3"/>
  <c r="A92" i="3"/>
  <c r="D91" i="3"/>
  <c r="C91" i="3"/>
  <c r="B91" i="3"/>
  <c r="A91" i="3"/>
  <c r="D90" i="3"/>
  <c r="C90" i="3"/>
  <c r="B90" i="3"/>
  <c r="A90" i="3"/>
  <c r="D89" i="3"/>
  <c r="C89" i="3"/>
  <c r="B89" i="3"/>
  <c r="A89" i="3"/>
  <c r="D88" i="3"/>
  <c r="C88" i="3"/>
  <c r="B88" i="3"/>
  <c r="A88" i="3"/>
  <c r="D87" i="3"/>
  <c r="C87" i="3"/>
  <c r="B87" i="3"/>
  <c r="A87" i="3"/>
  <c r="D86" i="3"/>
  <c r="C86" i="3"/>
  <c r="B86" i="3"/>
  <c r="A86" i="3"/>
  <c r="D85" i="3"/>
  <c r="C85" i="3"/>
  <c r="B85" i="3"/>
  <c r="A85" i="3"/>
  <c r="D84" i="3"/>
  <c r="C84" i="3"/>
  <c r="B84" i="3"/>
  <c r="A84" i="3"/>
  <c r="D83" i="3"/>
  <c r="C83" i="3"/>
  <c r="B83" i="3"/>
  <c r="A83" i="3"/>
  <c r="D82" i="3"/>
  <c r="C82" i="3"/>
  <c r="B82" i="3"/>
  <c r="A82" i="3"/>
  <c r="D81" i="3"/>
  <c r="C81" i="3"/>
  <c r="B81" i="3"/>
  <c r="A81" i="3"/>
  <c r="D80" i="3"/>
  <c r="C80" i="3"/>
  <c r="B80" i="3"/>
  <c r="A80" i="3"/>
  <c r="D79" i="3"/>
  <c r="C79" i="3"/>
  <c r="B79" i="3"/>
  <c r="A79" i="3"/>
  <c r="D78" i="3"/>
  <c r="C78" i="3"/>
  <c r="B78" i="3"/>
  <c r="A78" i="3"/>
  <c r="D77" i="3"/>
  <c r="C77" i="3"/>
  <c r="B77" i="3"/>
  <c r="A77" i="3"/>
  <c r="D76" i="3"/>
  <c r="C76" i="3"/>
  <c r="B76" i="3"/>
  <c r="A76" i="3"/>
  <c r="D75" i="3"/>
  <c r="C75" i="3"/>
  <c r="B75" i="3"/>
  <c r="A75" i="3"/>
  <c r="D74" i="3"/>
  <c r="C74" i="3"/>
  <c r="B74" i="3"/>
  <c r="A74" i="3"/>
  <c r="D73" i="3"/>
  <c r="C73" i="3"/>
  <c r="B73" i="3"/>
  <c r="A73" i="3"/>
  <c r="D72" i="3"/>
  <c r="C72" i="3"/>
  <c r="B72" i="3"/>
  <c r="A72" i="3"/>
  <c r="D71" i="3"/>
  <c r="C71" i="3"/>
  <c r="B71" i="3"/>
  <c r="A71" i="3"/>
  <c r="D70" i="3"/>
  <c r="C70" i="3"/>
  <c r="B70" i="3"/>
  <c r="A70" i="3"/>
  <c r="D69" i="3"/>
  <c r="C69" i="3"/>
  <c r="B69" i="3"/>
  <c r="A69" i="3"/>
  <c r="D68" i="3"/>
  <c r="C68" i="3"/>
  <c r="B68" i="3"/>
  <c r="A68" i="3"/>
  <c r="D67" i="3"/>
  <c r="C67" i="3"/>
  <c r="B67" i="3"/>
  <c r="A67" i="3"/>
  <c r="D66" i="3"/>
  <c r="C66" i="3"/>
  <c r="B66" i="3"/>
  <c r="A66" i="3"/>
  <c r="D65" i="3"/>
  <c r="C65" i="3"/>
  <c r="B65" i="3"/>
  <c r="A65" i="3"/>
  <c r="D64" i="3"/>
  <c r="C64" i="3"/>
  <c r="B64" i="3"/>
  <c r="A64" i="3"/>
  <c r="D63" i="3"/>
  <c r="C63" i="3"/>
  <c r="B63" i="3"/>
  <c r="A63" i="3"/>
  <c r="D62" i="3"/>
  <c r="C62" i="3"/>
  <c r="B62" i="3"/>
  <c r="A62" i="3"/>
  <c r="D61" i="3"/>
  <c r="C61" i="3"/>
  <c r="B61" i="3"/>
  <c r="A61" i="3"/>
  <c r="D60" i="3"/>
  <c r="C60" i="3"/>
  <c r="B60" i="3"/>
  <c r="A60" i="3"/>
  <c r="D59" i="3"/>
  <c r="C59" i="3"/>
  <c r="B59" i="3"/>
  <c r="A59" i="3"/>
  <c r="D58" i="3"/>
  <c r="C58" i="3"/>
  <c r="B58" i="3"/>
  <c r="A58" i="3"/>
  <c r="D57" i="3"/>
  <c r="C57" i="3"/>
  <c r="B57" i="3"/>
  <c r="A57" i="3"/>
  <c r="D56" i="3"/>
  <c r="C56" i="3"/>
  <c r="B56" i="3"/>
  <c r="A56" i="3"/>
  <c r="D55" i="3"/>
  <c r="C55" i="3"/>
  <c r="B55" i="3"/>
  <c r="A55" i="3"/>
  <c r="D54" i="3"/>
  <c r="C54" i="3"/>
  <c r="B54" i="3"/>
  <c r="A54" i="3"/>
  <c r="D53" i="3"/>
  <c r="C53" i="3"/>
  <c r="B53" i="3"/>
  <c r="A53" i="3"/>
  <c r="D52" i="3"/>
  <c r="C52" i="3"/>
  <c r="B52" i="3"/>
  <c r="A52" i="3"/>
  <c r="D51" i="3"/>
  <c r="C51" i="3"/>
  <c r="B51" i="3"/>
  <c r="A51" i="3"/>
  <c r="D50" i="3"/>
  <c r="C50" i="3"/>
  <c r="B50" i="3"/>
  <c r="A50" i="3"/>
  <c r="D49" i="3"/>
  <c r="C49" i="3"/>
  <c r="B49" i="3"/>
  <c r="A49" i="3"/>
  <c r="D48" i="3"/>
  <c r="C48" i="3"/>
  <c r="B48" i="3"/>
  <c r="A48" i="3"/>
  <c r="D47" i="3"/>
  <c r="C47" i="3"/>
  <c r="B47" i="3"/>
  <c r="A47" i="3"/>
  <c r="D46" i="3"/>
  <c r="C46" i="3"/>
  <c r="B46" i="3"/>
  <c r="A46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D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D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A14" i="3"/>
  <c r="D13" i="3"/>
  <c r="C13" i="3"/>
  <c r="B13" i="3"/>
  <c r="A13" i="3"/>
  <c r="D12" i="3"/>
  <c r="C12" i="3"/>
  <c r="B12" i="3"/>
  <c r="A12" i="3"/>
  <c r="D11" i="3"/>
  <c r="C11" i="3"/>
  <c r="B11" i="3"/>
  <c r="A11" i="3"/>
  <c r="D10" i="3"/>
  <c r="C10" i="3"/>
  <c r="B10" i="3"/>
  <c r="A10" i="3"/>
  <c r="D9" i="3"/>
  <c r="C9" i="3"/>
  <c r="B9" i="3"/>
  <c r="A9" i="3"/>
  <c r="D8" i="3"/>
  <c r="C8" i="3"/>
  <c r="B8" i="3"/>
  <c r="A8" i="3"/>
  <c r="D7" i="3"/>
  <c r="C7" i="3"/>
  <c r="B7" i="3"/>
  <c r="A7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D2" i="3"/>
  <c r="C2" i="3"/>
  <c r="B2" i="3"/>
  <c r="A2" i="3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<sst xmlns="http://schemas.openxmlformats.org/spreadsheetml/2006/main" count="16" uniqueCount="8">
  <si>
    <t>Date</t>
  </si>
  <si>
    <t>Well10</t>
  </si>
  <si>
    <t>Well11</t>
  </si>
  <si>
    <t>Well12</t>
  </si>
  <si>
    <t>Well13</t>
  </si>
  <si>
    <t>Total (kg/s)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</si>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</sst>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2" borderId="0" xfId="0" applyNumberFormat="1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2"/>
  <sheetViews>
    <sheetView workbookViewId="0">
      <selection activeCell="B1444" sqref="B1444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0</v>
      </c>
    </row>
    <row r="2" spans="1:1" x14ac:dyDescent="0.3">
      <c r="A2" s="1">
        <v>42370.416666666664</v>
      </c>
    </row>
    <row r="3" spans="1:1" x14ac:dyDescent="0.3">
      <c r="A3" s="1">
        <v>42371.416666666664</v>
      </c>
    </row>
    <row r="4" spans="1:1" x14ac:dyDescent="0.3">
      <c r="A4" s="1">
        <v>42372.416666666664</v>
      </c>
    </row>
    <row r="5" spans="1:1" x14ac:dyDescent="0.3">
      <c r="A5" s="1">
        <v>42373.416666666664</v>
      </c>
    </row>
    <row r="6" spans="1:1" x14ac:dyDescent="0.3">
      <c r="A6" s="1">
        <v>42374.416666666664</v>
      </c>
    </row>
    <row r="7" spans="1:1" x14ac:dyDescent="0.3">
      <c r="A7" s="1">
        <v>42375.416666666664</v>
      </c>
    </row>
    <row r="8" spans="1:1" x14ac:dyDescent="0.3">
      <c r="A8" s="1">
        <v>42376.416666666664</v>
      </c>
    </row>
    <row r="9" spans="1:1" x14ac:dyDescent="0.3">
      <c r="A9" s="1">
        <v>42377.416666666664</v>
      </c>
    </row>
    <row r="10" spans="1:1" x14ac:dyDescent="0.3">
      <c r="A10" s="1">
        <v>42378.416666666664</v>
      </c>
    </row>
    <row r="11" spans="1:1" x14ac:dyDescent="0.3">
      <c r="A11" s="1">
        <v>42379.416666666664</v>
      </c>
    </row>
    <row r="12" spans="1:1" x14ac:dyDescent="0.3">
      <c r="A12" s="1">
        <v>42380.416666666664</v>
      </c>
    </row>
    <row r="13" spans="1:1" x14ac:dyDescent="0.3">
      <c r="A13" s="1">
        <v>42381.416666666664</v>
      </c>
    </row>
    <row r="14" spans="1:1" x14ac:dyDescent="0.3">
      <c r="A14" s="1">
        <v>42382.416666666664</v>
      </c>
    </row>
    <row r="15" spans="1:1" x14ac:dyDescent="0.3">
      <c r="A15" s="1">
        <v>42383.416666666664</v>
      </c>
    </row>
    <row r="16" spans="1:1" x14ac:dyDescent="0.3">
      <c r="A16" s="1">
        <v>42384.416666666664</v>
      </c>
    </row>
    <row r="17" spans="1:1" x14ac:dyDescent="0.3">
      <c r="A17" s="1">
        <v>42385.416666666664</v>
      </c>
    </row>
    <row r="18" spans="1:1" x14ac:dyDescent="0.3">
      <c r="A18" s="1">
        <v>42386.416666666664</v>
      </c>
    </row>
    <row r="19" spans="1:1" x14ac:dyDescent="0.3">
      <c r="A19" s="1">
        <v>42387.416666666664</v>
      </c>
    </row>
    <row r="20" spans="1:1" x14ac:dyDescent="0.3">
      <c r="A20" s="1">
        <v>42388.416666666664</v>
      </c>
    </row>
    <row r="21" spans="1:1" x14ac:dyDescent="0.3">
      <c r="A21" s="1">
        <v>42389.416666666664</v>
      </c>
    </row>
    <row r="22" spans="1:1" x14ac:dyDescent="0.3">
      <c r="A22" s="1">
        <v>42390.416666666664</v>
      </c>
    </row>
    <row r="23" spans="1:1" x14ac:dyDescent="0.3">
      <c r="A23" s="1">
        <v>42391.416666666664</v>
      </c>
    </row>
    <row r="24" spans="1:1" x14ac:dyDescent="0.3">
      <c r="A24" s="1">
        <v>42392.416666666664</v>
      </c>
    </row>
    <row r="25" spans="1:1" x14ac:dyDescent="0.3">
      <c r="A25" s="1">
        <v>42393.416666666664</v>
      </c>
    </row>
    <row r="26" spans="1:1" x14ac:dyDescent="0.3">
      <c r="A26" s="1">
        <v>42394.416666666664</v>
      </c>
    </row>
    <row r="27" spans="1:1" x14ac:dyDescent="0.3">
      <c r="A27" s="1">
        <v>42395.416666666664</v>
      </c>
    </row>
    <row r="28" spans="1:1" x14ac:dyDescent="0.3">
      <c r="A28" s="1">
        <v>42396.416666666664</v>
      </c>
    </row>
    <row r="29" spans="1:1" x14ac:dyDescent="0.3">
      <c r="A29" s="1">
        <v>42397.416666666664</v>
      </c>
    </row>
    <row r="30" spans="1:1" x14ac:dyDescent="0.3">
      <c r="A30" s="1">
        <v>42398.416666666664</v>
      </c>
    </row>
    <row r="31" spans="1:1" x14ac:dyDescent="0.3">
      <c r="A31" s="1">
        <v>42399.416666666664</v>
      </c>
    </row>
    <row r="32" spans="1:1" x14ac:dyDescent="0.3">
      <c r="A32" s="1">
        <v>42400.416666666664</v>
      </c>
    </row>
    <row r="33" spans="1:1" x14ac:dyDescent="0.3">
      <c r="A33" s="1">
        <v>42401.416666666664</v>
      </c>
    </row>
    <row r="34" spans="1:1" x14ac:dyDescent="0.3">
      <c r="A34" s="1">
        <v>42402.416666666664</v>
      </c>
    </row>
    <row r="35" spans="1:1" x14ac:dyDescent="0.3">
      <c r="A35" s="1">
        <v>42403.416666666664</v>
      </c>
    </row>
    <row r="36" spans="1:1" x14ac:dyDescent="0.3">
      <c r="A36" s="1">
        <v>42404.416666666664</v>
      </c>
    </row>
    <row r="37" spans="1:1" x14ac:dyDescent="0.3">
      <c r="A37" s="1">
        <v>42405.416666666664</v>
      </c>
    </row>
    <row r="38" spans="1:1" x14ac:dyDescent="0.3">
      <c r="A38" s="1">
        <v>42406.416666666664</v>
      </c>
    </row>
    <row r="39" spans="1:1" x14ac:dyDescent="0.3">
      <c r="A39" s="1">
        <v>42407.416666666664</v>
      </c>
    </row>
    <row r="40" spans="1:1" x14ac:dyDescent="0.3">
      <c r="A40" s="1">
        <v>42408.416666666664</v>
      </c>
    </row>
    <row r="41" spans="1:1" x14ac:dyDescent="0.3">
      <c r="A41" s="1">
        <v>42409.416666666664</v>
      </c>
    </row>
    <row r="42" spans="1:1" x14ac:dyDescent="0.3">
      <c r="A42" s="1">
        <v>42410.416666666664</v>
      </c>
    </row>
    <row r="43" spans="1:1" x14ac:dyDescent="0.3">
      <c r="A43" s="1">
        <v>42411.416666666664</v>
      </c>
    </row>
    <row r="44" spans="1:1" x14ac:dyDescent="0.3">
      <c r="A44" s="1">
        <v>42412.416666666664</v>
      </c>
    </row>
    <row r="45" spans="1:1" x14ac:dyDescent="0.3">
      <c r="A45" s="1">
        <v>42413.416666666664</v>
      </c>
    </row>
    <row r="46" spans="1:1" x14ac:dyDescent="0.3">
      <c r="A46" s="1">
        <v>42414.416666666664</v>
      </c>
    </row>
    <row r="47" spans="1:1" x14ac:dyDescent="0.3">
      <c r="A47" s="1">
        <v>42415.416666666664</v>
      </c>
    </row>
    <row r="48" spans="1:1" x14ac:dyDescent="0.3">
      <c r="A48" s="1">
        <v>42416.416666666664</v>
      </c>
    </row>
    <row r="49" spans="1:1" x14ac:dyDescent="0.3">
      <c r="A49" s="1">
        <v>42417.416666666664</v>
      </c>
    </row>
    <row r="50" spans="1:1" x14ac:dyDescent="0.3">
      <c r="A50" s="1">
        <v>42418.416666666664</v>
      </c>
    </row>
    <row r="51" spans="1:1" x14ac:dyDescent="0.3">
      <c r="A51" s="1">
        <v>42419.416666666664</v>
      </c>
    </row>
    <row r="52" spans="1:1" x14ac:dyDescent="0.3">
      <c r="A52" s="1">
        <v>42420.416666666664</v>
      </c>
    </row>
    <row r="53" spans="1:1" x14ac:dyDescent="0.3">
      <c r="A53" s="1">
        <v>42421.416666666664</v>
      </c>
    </row>
    <row r="54" spans="1:1" x14ac:dyDescent="0.3">
      <c r="A54" s="1">
        <v>42422.416666666664</v>
      </c>
    </row>
    <row r="55" spans="1:1" x14ac:dyDescent="0.3">
      <c r="A55" s="1">
        <v>42423.416666666664</v>
      </c>
    </row>
    <row r="56" spans="1:1" x14ac:dyDescent="0.3">
      <c r="A56" s="1">
        <v>42424.416666666664</v>
      </c>
    </row>
    <row r="57" spans="1:1" x14ac:dyDescent="0.3">
      <c r="A57" s="1">
        <v>42425.416666666664</v>
      </c>
    </row>
    <row r="58" spans="1:1" x14ac:dyDescent="0.3">
      <c r="A58" s="1">
        <v>42426.416666666664</v>
      </c>
    </row>
    <row r="59" spans="1:1" x14ac:dyDescent="0.3">
      <c r="A59" s="1">
        <v>42427.416666666664</v>
      </c>
    </row>
    <row r="60" spans="1:1" x14ac:dyDescent="0.3">
      <c r="A60" s="1">
        <v>42428.416666666664</v>
      </c>
    </row>
    <row r="61" spans="1:1" x14ac:dyDescent="0.3">
      <c r="A61" s="1">
        <v>42429.416666666664</v>
      </c>
    </row>
    <row r="62" spans="1:1" x14ac:dyDescent="0.3">
      <c r="A62" s="1">
        <v>42430.416666666664</v>
      </c>
    </row>
    <row r="63" spans="1:1" x14ac:dyDescent="0.3">
      <c r="A63" s="1">
        <v>42431.416666666664</v>
      </c>
    </row>
    <row r="64" spans="1:1" x14ac:dyDescent="0.3">
      <c r="A64" s="1">
        <v>42432.416666666664</v>
      </c>
    </row>
    <row r="65" spans="1:1" x14ac:dyDescent="0.3">
      <c r="A65" s="1">
        <v>42433.416666666664</v>
      </c>
    </row>
    <row r="66" spans="1:1" x14ac:dyDescent="0.3">
      <c r="A66" s="1">
        <v>42434.416666666664</v>
      </c>
    </row>
    <row r="67" spans="1:1" x14ac:dyDescent="0.3">
      <c r="A67" s="1">
        <v>42435.416666666664</v>
      </c>
    </row>
    <row r="68" spans="1:1" x14ac:dyDescent="0.3">
      <c r="A68" s="1">
        <v>42436.416666666664</v>
      </c>
    </row>
    <row r="69" spans="1:1" x14ac:dyDescent="0.3">
      <c r="A69" s="1">
        <v>42437.416666666664</v>
      </c>
    </row>
    <row r="70" spans="1:1" x14ac:dyDescent="0.3">
      <c r="A70" s="1">
        <v>42438.416666666664</v>
      </c>
    </row>
    <row r="71" spans="1:1" x14ac:dyDescent="0.3">
      <c r="A71" s="1">
        <v>42439.416666666664</v>
      </c>
    </row>
    <row r="72" spans="1:1" x14ac:dyDescent="0.3">
      <c r="A72" s="1">
        <v>42440.416666666664</v>
      </c>
    </row>
    <row r="73" spans="1:1" x14ac:dyDescent="0.3">
      <c r="A73" s="1">
        <v>42441.416666666664</v>
      </c>
    </row>
    <row r="74" spans="1:1" x14ac:dyDescent="0.3">
      <c r="A74" s="1">
        <v>42442.416666666664</v>
      </c>
    </row>
    <row r="75" spans="1:1" x14ac:dyDescent="0.3">
      <c r="A75" s="1">
        <v>42443.416666666664</v>
      </c>
    </row>
    <row r="76" spans="1:1" x14ac:dyDescent="0.3">
      <c r="A76" s="1">
        <v>42444.416666666664</v>
      </c>
    </row>
    <row r="77" spans="1:1" x14ac:dyDescent="0.3">
      <c r="A77" s="1">
        <v>42445.416666666664</v>
      </c>
    </row>
    <row r="78" spans="1:1" x14ac:dyDescent="0.3">
      <c r="A78" s="1">
        <v>42446.416666666664</v>
      </c>
    </row>
    <row r="79" spans="1:1" x14ac:dyDescent="0.3">
      <c r="A79" s="1">
        <v>42447.416666666664</v>
      </c>
    </row>
    <row r="80" spans="1:1" x14ac:dyDescent="0.3">
      <c r="A80" s="1">
        <v>42448.416666666664</v>
      </c>
    </row>
    <row r="81" spans="1:1" x14ac:dyDescent="0.3">
      <c r="A81" s="1">
        <v>42449.416666666664</v>
      </c>
    </row>
    <row r="82" spans="1:1" x14ac:dyDescent="0.3">
      <c r="A82" s="1">
        <v>42450.416666666664</v>
      </c>
    </row>
    <row r="83" spans="1:1" x14ac:dyDescent="0.3">
      <c r="A83" s="1">
        <v>42451.416666666664</v>
      </c>
    </row>
    <row r="84" spans="1:1" x14ac:dyDescent="0.3">
      <c r="A84" s="1">
        <v>42452.416666666664</v>
      </c>
    </row>
    <row r="85" spans="1:1" x14ac:dyDescent="0.3">
      <c r="A85" s="1">
        <v>42453.416666666664</v>
      </c>
    </row>
    <row r="86" spans="1:1" x14ac:dyDescent="0.3">
      <c r="A86" s="1">
        <v>42454.416666666664</v>
      </c>
    </row>
    <row r="87" spans="1:1" x14ac:dyDescent="0.3">
      <c r="A87" s="1">
        <v>42455.416666666664</v>
      </c>
    </row>
    <row r="88" spans="1:1" x14ac:dyDescent="0.3">
      <c r="A88" s="1">
        <v>42456.416666666664</v>
      </c>
    </row>
    <row r="89" spans="1:1" x14ac:dyDescent="0.3">
      <c r="A89" s="1">
        <v>42457.416666666664</v>
      </c>
    </row>
    <row r="90" spans="1:1" x14ac:dyDescent="0.3">
      <c r="A90" s="1">
        <v>42458.416666666664</v>
      </c>
    </row>
    <row r="91" spans="1:1" x14ac:dyDescent="0.3">
      <c r="A91" s="1">
        <v>42459.416666666664</v>
      </c>
    </row>
    <row r="92" spans="1:1" x14ac:dyDescent="0.3">
      <c r="A92" s="1">
        <v>42460.416666666664</v>
      </c>
    </row>
    <row r="93" spans="1:1" x14ac:dyDescent="0.3">
      <c r="A93" s="1">
        <v>42461.416666666664</v>
      </c>
    </row>
    <row r="94" spans="1:1" x14ac:dyDescent="0.3">
      <c r="A94" s="1">
        <v>42462.416666666664</v>
      </c>
    </row>
    <row r="95" spans="1:1" x14ac:dyDescent="0.3">
      <c r="A95" s="1">
        <v>42463.416666666664</v>
      </c>
    </row>
    <row r="96" spans="1:1" x14ac:dyDescent="0.3">
      <c r="A96" s="1">
        <v>42464.416666666664</v>
      </c>
    </row>
    <row r="97" spans="1:1" x14ac:dyDescent="0.3">
      <c r="A97" s="1">
        <v>42465.416666666664</v>
      </c>
    </row>
    <row r="98" spans="1:1" x14ac:dyDescent="0.3">
      <c r="A98" s="1">
        <v>42466.416666666664</v>
      </c>
    </row>
    <row r="99" spans="1:1" x14ac:dyDescent="0.3">
      <c r="A99" s="1">
        <v>42467.416666666664</v>
      </c>
    </row>
    <row r="100" spans="1:1" x14ac:dyDescent="0.3">
      <c r="A100" s="1">
        <v>42468.416666666664</v>
      </c>
    </row>
    <row r="101" spans="1:1" x14ac:dyDescent="0.3">
      <c r="A101" s="1">
        <v>42469.416666666664</v>
      </c>
    </row>
    <row r="102" spans="1:1" x14ac:dyDescent="0.3">
      <c r="A102" s="1">
        <v>42470.416666666664</v>
      </c>
    </row>
    <row r="103" spans="1:1" x14ac:dyDescent="0.3">
      <c r="A103" s="1">
        <v>42471.416666666664</v>
      </c>
    </row>
    <row r="104" spans="1:1" x14ac:dyDescent="0.3">
      <c r="A104" s="1">
        <v>42472.416666666664</v>
      </c>
    </row>
    <row r="105" spans="1:1" x14ac:dyDescent="0.3">
      <c r="A105" s="1">
        <v>42473.416666666664</v>
      </c>
    </row>
    <row r="106" spans="1:1" x14ac:dyDescent="0.3">
      <c r="A106" s="1">
        <v>42474.416666666664</v>
      </c>
    </row>
    <row r="107" spans="1:1" x14ac:dyDescent="0.3">
      <c r="A107" s="1">
        <v>42475.416666666664</v>
      </c>
    </row>
    <row r="108" spans="1:1" x14ac:dyDescent="0.3">
      <c r="A108" s="1">
        <v>42476.416666666664</v>
      </c>
    </row>
    <row r="109" spans="1:1" x14ac:dyDescent="0.3">
      <c r="A109" s="1">
        <v>42477.416666666664</v>
      </c>
    </row>
    <row r="110" spans="1:1" x14ac:dyDescent="0.3">
      <c r="A110" s="1">
        <v>42478.416666666664</v>
      </c>
    </row>
    <row r="111" spans="1:1" x14ac:dyDescent="0.3">
      <c r="A111" s="1">
        <v>42479.416666666664</v>
      </c>
    </row>
    <row r="112" spans="1:1" x14ac:dyDescent="0.3">
      <c r="A112" s="1">
        <v>42480.416666666664</v>
      </c>
    </row>
    <row r="113" spans="1:1" x14ac:dyDescent="0.3">
      <c r="A113" s="1">
        <v>42481.416666666664</v>
      </c>
    </row>
    <row r="114" spans="1:1" x14ac:dyDescent="0.3">
      <c r="A114" s="1">
        <v>42482.416666666664</v>
      </c>
    </row>
    <row r="115" spans="1:1" x14ac:dyDescent="0.3">
      <c r="A115" s="1">
        <v>42483.416666666664</v>
      </c>
    </row>
    <row r="116" spans="1:1" x14ac:dyDescent="0.3">
      <c r="A116" s="1">
        <v>42484.416666666664</v>
      </c>
    </row>
    <row r="117" spans="1:1" x14ac:dyDescent="0.3">
      <c r="A117" s="1">
        <v>42485.416666666664</v>
      </c>
    </row>
    <row r="118" spans="1:1" x14ac:dyDescent="0.3">
      <c r="A118" s="1">
        <v>42486.416666666664</v>
      </c>
    </row>
    <row r="119" spans="1:1" x14ac:dyDescent="0.3">
      <c r="A119" s="1">
        <v>42487.416666666664</v>
      </c>
    </row>
    <row r="120" spans="1:1" x14ac:dyDescent="0.3">
      <c r="A120" s="1">
        <v>42488.416666666664</v>
      </c>
    </row>
    <row r="121" spans="1:1" x14ac:dyDescent="0.3">
      <c r="A121" s="1">
        <v>42489.416666666664</v>
      </c>
    </row>
    <row r="122" spans="1:1" x14ac:dyDescent="0.3">
      <c r="A122" s="1">
        <v>42490.416666666664</v>
      </c>
    </row>
    <row r="123" spans="1:1" x14ac:dyDescent="0.3">
      <c r="A123" s="1">
        <v>42491.416666666664</v>
      </c>
    </row>
    <row r="124" spans="1:1" x14ac:dyDescent="0.3">
      <c r="A124" s="1">
        <v>42492.416666666664</v>
      </c>
    </row>
    <row r="125" spans="1:1" x14ac:dyDescent="0.3">
      <c r="A125" s="1">
        <v>42493.416666666664</v>
      </c>
    </row>
    <row r="126" spans="1:1" x14ac:dyDescent="0.3">
      <c r="A126" s="1">
        <v>42494.416666666664</v>
      </c>
    </row>
    <row r="127" spans="1:1" x14ac:dyDescent="0.3">
      <c r="A127" s="1">
        <v>42495.416666666664</v>
      </c>
    </row>
    <row r="128" spans="1:1" x14ac:dyDescent="0.3">
      <c r="A128" s="1">
        <v>42496.416666666664</v>
      </c>
    </row>
    <row r="129" spans="1:1" x14ac:dyDescent="0.3">
      <c r="A129" s="1">
        <v>42497.416666666664</v>
      </c>
    </row>
    <row r="130" spans="1:1" x14ac:dyDescent="0.3">
      <c r="A130" s="1">
        <v>42498.416666666664</v>
      </c>
    </row>
    <row r="131" spans="1:1" x14ac:dyDescent="0.3">
      <c r="A131" s="1">
        <v>42499.416666666664</v>
      </c>
    </row>
    <row r="132" spans="1:1" x14ac:dyDescent="0.3">
      <c r="A132" s="1">
        <v>42500.416666666664</v>
      </c>
    </row>
    <row r="133" spans="1:1" x14ac:dyDescent="0.3">
      <c r="A133" s="1">
        <v>42501.416666666664</v>
      </c>
    </row>
    <row r="134" spans="1:1" x14ac:dyDescent="0.3">
      <c r="A134" s="1">
        <v>42502.416666666664</v>
      </c>
    </row>
    <row r="135" spans="1:1" x14ac:dyDescent="0.3">
      <c r="A135" s="1">
        <v>42503.416666666664</v>
      </c>
    </row>
    <row r="136" spans="1:1" x14ac:dyDescent="0.3">
      <c r="A136" s="1">
        <v>42504.416666666664</v>
      </c>
    </row>
    <row r="137" spans="1:1" x14ac:dyDescent="0.3">
      <c r="A137" s="1">
        <v>42505.416666666664</v>
      </c>
    </row>
    <row r="138" spans="1:1" x14ac:dyDescent="0.3">
      <c r="A138" s="1">
        <v>42506.416666666664</v>
      </c>
    </row>
    <row r="139" spans="1:1" x14ac:dyDescent="0.3">
      <c r="A139" s="1">
        <v>42507.416666666664</v>
      </c>
    </row>
    <row r="140" spans="1:1" x14ac:dyDescent="0.3">
      <c r="A140" s="1">
        <v>42508.416666666664</v>
      </c>
    </row>
    <row r="141" spans="1:1" x14ac:dyDescent="0.3">
      <c r="A141" s="1">
        <v>42509.416666666664</v>
      </c>
    </row>
    <row r="142" spans="1:1" x14ac:dyDescent="0.3">
      <c r="A142" s="1">
        <v>42510.416666666664</v>
      </c>
    </row>
    <row r="143" spans="1:1" x14ac:dyDescent="0.3">
      <c r="A143" s="1">
        <v>42511.416666666664</v>
      </c>
    </row>
    <row r="144" spans="1:1" x14ac:dyDescent="0.3">
      <c r="A144" s="1">
        <v>42512.416666666664</v>
      </c>
    </row>
    <row r="145" spans="1:1" x14ac:dyDescent="0.3">
      <c r="A145" s="1">
        <v>42513.416666666664</v>
      </c>
    </row>
    <row r="146" spans="1:1" x14ac:dyDescent="0.3">
      <c r="A146" s="1">
        <v>42514.416666666664</v>
      </c>
    </row>
    <row r="147" spans="1:1" x14ac:dyDescent="0.3">
      <c r="A147" s="1">
        <v>42515.416666666664</v>
      </c>
    </row>
    <row r="148" spans="1:1" x14ac:dyDescent="0.3">
      <c r="A148" s="1">
        <v>42516.416666666664</v>
      </c>
    </row>
    <row r="149" spans="1:1" x14ac:dyDescent="0.3">
      <c r="A149" s="1">
        <v>42517.416666666664</v>
      </c>
    </row>
    <row r="150" spans="1:1" x14ac:dyDescent="0.3">
      <c r="A150" s="1">
        <v>42518.416666666664</v>
      </c>
    </row>
    <row r="151" spans="1:1" x14ac:dyDescent="0.3">
      <c r="A151" s="1">
        <v>42519.416666666664</v>
      </c>
    </row>
    <row r="152" spans="1:1" x14ac:dyDescent="0.3">
      <c r="A152" s="1">
        <v>42520.416666666664</v>
      </c>
    </row>
    <row r="153" spans="1:1" x14ac:dyDescent="0.3">
      <c r="A153" s="1">
        <v>42521.416666666664</v>
      </c>
    </row>
    <row r="154" spans="1:1" x14ac:dyDescent="0.3">
      <c r="A154" s="1">
        <v>42522.416666666664</v>
      </c>
    </row>
    <row r="155" spans="1:1" x14ac:dyDescent="0.3">
      <c r="A155" s="1">
        <v>42523.416666666664</v>
      </c>
    </row>
    <row r="156" spans="1:1" x14ac:dyDescent="0.3">
      <c r="A156" s="1">
        <v>42524.416666666664</v>
      </c>
    </row>
    <row r="157" spans="1:1" x14ac:dyDescent="0.3">
      <c r="A157" s="1">
        <v>42525.416666666664</v>
      </c>
    </row>
    <row r="158" spans="1:1" x14ac:dyDescent="0.3">
      <c r="A158" s="1">
        <v>42526.416666666664</v>
      </c>
    </row>
    <row r="159" spans="1:1" x14ac:dyDescent="0.3">
      <c r="A159" s="1">
        <v>42527.416666666664</v>
      </c>
    </row>
    <row r="160" spans="1:1" x14ac:dyDescent="0.3">
      <c r="A160" s="1">
        <v>42528.416666666664</v>
      </c>
    </row>
    <row r="161" spans="1:1" x14ac:dyDescent="0.3">
      <c r="A161" s="1">
        <v>42529.416666666664</v>
      </c>
    </row>
    <row r="162" spans="1:1" x14ac:dyDescent="0.3">
      <c r="A162" s="1">
        <v>42530.416666666664</v>
      </c>
    </row>
    <row r="163" spans="1:1" x14ac:dyDescent="0.3">
      <c r="A163" s="1">
        <v>42531.416666666664</v>
      </c>
    </row>
    <row r="164" spans="1:1" x14ac:dyDescent="0.3">
      <c r="A164" s="1">
        <v>42532.416666666664</v>
      </c>
    </row>
    <row r="165" spans="1:1" x14ac:dyDescent="0.3">
      <c r="A165" s="1">
        <v>42533.416666666664</v>
      </c>
    </row>
    <row r="166" spans="1:1" x14ac:dyDescent="0.3">
      <c r="A166" s="1">
        <v>42534.416666666664</v>
      </c>
    </row>
    <row r="167" spans="1:1" x14ac:dyDescent="0.3">
      <c r="A167" s="1">
        <v>42535.416666666664</v>
      </c>
    </row>
    <row r="168" spans="1:1" x14ac:dyDescent="0.3">
      <c r="A168" s="1">
        <v>42536.416666666664</v>
      </c>
    </row>
    <row r="169" spans="1:1" x14ac:dyDescent="0.3">
      <c r="A169" s="1">
        <v>42537.416666666664</v>
      </c>
    </row>
    <row r="170" spans="1:1" x14ac:dyDescent="0.3">
      <c r="A170" s="1">
        <v>42538.416666666664</v>
      </c>
    </row>
    <row r="171" spans="1:1" x14ac:dyDescent="0.3">
      <c r="A171" s="1">
        <v>42539.416666666664</v>
      </c>
    </row>
    <row r="172" spans="1:1" x14ac:dyDescent="0.3">
      <c r="A172" s="1">
        <v>42540.416666666664</v>
      </c>
    </row>
    <row r="173" spans="1:1" x14ac:dyDescent="0.3">
      <c r="A173" s="1">
        <v>42541.416666666664</v>
      </c>
    </row>
    <row r="174" spans="1:1" x14ac:dyDescent="0.3">
      <c r="A174" s="1">
        <v>42542.416666666664</v>
      </c>
    </row>
    <row r="175" spans="1:1" x14ac:dyDescent="0.3">
      <c r="A175" s="1">
        <v>42543.416666666664</v>
      </c>
    </row>
    <row r="176" spans="1:1" x14ac:dyDescent="0.3">
      <c r="A176" s="1">
        <v>42544.416666666664</v>
      </c>
    </row>
    <row r="177" spans="1:1" x14ac:dyDescent="0.3">
      <c r="A177" s="1">
        <v>42545.416666666664</v>
      </c>
    </row>
    <row r="178" spans="1:1" x14ac:dyDescent="0.3">
      <c r="A178" s="1">
        <v>42546.416666666664</v>
      </c>
    </row>
    <row r="179" spans="1:1" x14ac:dyDescent="0.3">
      <c r="A179" s="1">
        <v>42547.416666666664</v>
      </c>
    </row>
    <row r="180" spans="1:1" x14ac:dyDescent="0.3">
      <c r="A180" s="1">
        <v>42548.416666666664</v>
      </c>
    </row>
    <row r="181" spans="1:1" x14ac:dyDescent="0.3">
      <c r="A181" s="1">
        <v>42549.416666666664</v>
      </c>
    </row>
    <row r="182" spans="1:1" x14ac:dyDescent="0.3">
      <c r="A182" s="1">
        <v>42550.416666666664</v>
      </c>
    </row>
    <row r="183" spans="1:1" x14ac:dyDescent="0.3">
      <c r="A183" s="1">
        <v>42551.416666666664</v>
      </c>
    </row>
    <row r="184" spans="1:1" x14ac:dyDescent="0.3">
      <c r="A184" s="1">
        <v>42552.416666666664</v>
      </c>
    </row>
    <row r="185" spans="1:1" x14ac:dyDescent="0.3">
      <c r="A185" s="1">
        <v>42553.416666666664</v>
      </c>
    </row>
    <row r="186" spans="1:1" x14ac:dyDescent="0.3">
      <c r="A186" s="1">
        <v>42554.416666666664</v>
      </c>
    </row>
    <row r="187" spans="1:1" x14ac:dyDescent="0.3">
      <c r="A187" s="1">
        <v>42555.416666666664</v>
      </c>
    </row>
    <row r="188" spans="1:1" x14ac:dyDescent="0.3">
      <c r="A188" s="1">
        <v>42556.416666666664</v>
      </c>
    </row>
    <row r="189" spans="1:1" x14ac:dyDescent="0.3">
      <c r="A189" s="1">
        <v>42557.416666666664</v>
      </c>
    </row>
    <row r="190" spans="1:1" x14ac:dyDescent="0.3">
      <c r="A190" s="1">
        <v>42558.416666666664</v>
      </c>
    </row>
    <row r="191" spans="1:1" x14ac:dyDescent="0.3">
      <c r="A191" s="1">
        <v>42559.416666666664</v>
      </c>
    </row>
    <row r="192" spans="1:1" x14ac:dyDescent="0.3">
      <c r="A192" s="1">
        <v>42560.416666666664</v>
      </c>
    </row>
    <row r="193" spans="1:1" x14ac:dyDescent="0.3">
      <c r="A193" s="1">
        <v>42561.416666666664</v>
      </c>
    </row>
    <row r="194" spans="1:1" x14ac:dyDescent="0.3">
      <c r="A194" s="1">
        <v>42562.416666666664</v>
      </c>
    </row>
    <row r="195" spans="1:1" x14ac:dyDescent="0.3">
      <c r="A195" s="1">
        <v>42563.416666666664</v>
      </c>
    </row>
    <row r="196" spans="1:1" x14ac:dyDescent="0.3">
      <c r="A196" s="1">
        <v>42564.416666666664</v>
      </c>
    </row>
    <row r="197" spans="1:1" x14ac:dyDescent="0.3">
      <c r="A197" s="1">
        <v>42565.416666666664</v>
      </c>
    </row>
    <row r="198" spans="1:1" x14ac:dyDescent="0.3">
      <c r="A198" s="1">
        <v>42566.416666666664</v>
      </c>
    </row>
    <row r="199" spans="1:1" x14ac:dyDescent="0.3">
      <c r="A199" s="1">
        <v>42567.416666666664</v>
      </c>
    </row>
    <row r="200" spans="1:1" x14ac:dyDescent="0.3">
      <c r="A200" s="1">
        <v>42568.416666666664</v>
      </c>
    </row>
    <row r="201" spans="1:1" x14ac:dyDescent="0.3">
      <c r="A201" s="1">
        <v>42569.416666666664</v>
      </c>
    </row>
    <row r="202" spans="1:1" x14ac:dyDescent="0.3">
      <c r="A202" s="1">
        <v>42570.416666666664</v>
      </c>
    </row>
    <row r="203" spans="1:1" x14ac:dyDescent="0.3">
      <c r="A203" s="1">
        <v>42571.416666666664</v>
      </c>
    </row>
    <row r="204" spans="1:1" x14ac:dyDescent="0.3">
      <c r="A204" s="1">
        <v>42572.416666666664</v>
      </c>
    </row>
    <row r="205" spans="1:1" x14ac:dyDescent="0.3">
      <c r="A205" s="1">
        <v>42573.416666666664</v>
      </c>
    </row>
    <row r="206" spans="1:1" x14ac:dyDescent="0.3">
      <c r="A206" s="1">
        <v>42574.416666666664</v>
      </c>
    </row>
    <row r="207" spans="1:1" x14ac:dyDescent="0.3">
      <c r="A207" s="1">
        <v>42575.416666666664</v>
      </c>
    </row>
    <row r="208" spans="1:1" x14ac:dyDescent="0.3">
      <c r="A208" s="1">
        <v>42576.416666666664</v>
      </c>
    </row>
    <row r="209" spans="1:1" x14ac:dyDescent="0.3">
      <c r="A209" s="1">
        <v>42577.416666666664</v>
      </c>
    </row>
    <row r="210" spans="1:1" x14ac:dyDescent="0.3">
      <c r="A210" s="1">
        <v>42578.416666666664</v>
      </c>
    </row>
    <row r="211" spans="1:1" x14ac:dyDescent="0.3">
      <c r="A211" s="1">
        <v>42579.416666666664</v>
      </c>
    </row>
    <row r="212" spans="1:1" x14ac:dyDescent="0.3">
      <c r="A212" s="1">
        <v>42580.416666666664</v>
      </c>
    </row>
    <row r="213" spans="1:1" x14ac:dyDescent="0.3">
      <c r="A213" s="1">
        <v>42581.416666666664</v>
      </c>
    </row>
    <row r="214" spans="1:1" x14ac:dyDescent="0.3">
      <c r="A214" s="1">
        <v>42582.416666666664</v>
      </c>
    </row>
    <row r="215" spans="1:1" x14ac:dyDescent="0.3">
      <c r="A215" s="1">
        <v>42583.416666666664</v>
      </c>
    </row>
    <row r="216" spans="1:1" x14ac:dyDescent="0.3">
      <c r="A216" s="1">
        <v>42584.416666666664</v>
      </c>
    </row>
    <row r="217" spans="1:1" x14ac:dyDescent="0.3">
      <c r="A217" s="1">
        <v>42585.416666666664</v>
      </c>
    </row>
    <row r="218" spans="1:1" x14ac:dyDescent="0.3">
      <c r="A218" s="1">
        <v>42586.416666666664</v>
      </c>
    </row>
    <row r="219" spans="1:1" x14ac:dyDescent="0.3">
      <c r="A219" s="1">
        <v>42587.416666666664</v>
      </c>
    </row>
    <row r="220" spans="1:1" x14ac:dyDescent="0.3">
      <c r="A220" s="1">
        <v>42588.416666666664</v>
      </c>
    </row>
    <row r="221" spans="1:1" x14ac:dyDescent="0.3">
      <c r="A221" s="1">
        <v>42589.416666666664</v>
      </c>
    </row>
    <row r="222" spans="1:1" x14ac:dyDescent="0.3">
      <c r="A222" s="1">
        <v>42590.416666666664</v>
      </c>
    </row>
    <row r="223" spans="1:1" x14ac:dyDescent="0.3">
      <c r="A223" s="1">
        <v>42591.416666666664</v>
      </c>
    </row>
    <row r="224" spans="1:1" x14ac:dyDescent="0.3">
      <c r="A224" s="1">
        <v>42592.416666666664</v>
      </c>
    </row>
    <row r="225" spans="1:1" x14ac:dyDescent="0.3">
      <c r="A225" s="1">
        <v>42593.416666666664</v>
      </c>
    </row>
    <row r="226" spans="1:1" x14ac:dyDescent="0.3">
      <c r="A226" s="1">
        <v>42594.416666666664</v>
      </c>
    </row>
    <row r="227" spans="1:1" x14ac:dyDescent="0.3">
      <c r="A227" s="1">
        <v>42595.416666666664</v>
      </c>
    </row>
    <row r="228" spans="1:1" x14ac:dyDescent="0.3">
      <c r="A228" s="1">
        <v>42596.416666666664</v>
      </c>
    </row>
    <row r="229" spans="1:1" x14ac:dyDescent="0.3">
      <c r="A229" s="1">
        <v>42597.416666666664</v>
      </c>
    </row>
    <row r="230" spans="1:1" x14ac:dyDescent="0.3">
      <c r="A230" s="1">
        <v>42598.416666666664</v>
      </c>
    </row>
    <row r="231" spans="1:1" x14ac:dyDescent="0.3">
      <c r="A231" s="1">
        <v>42599.416666666664</v>
      </c>
    </row>
    <row r="232" spans="1:1" x14ac:dyDescent="0.3">
      <c r="A232" s="1">
        <v>42600.416666666664</v>
      </c>
    </row>
    <row r="233" spans="1:1" x14ac:dyDescent="0.3">
      <c r="A233" s="1">
        <v>42601.416666666664</v>
      </c>
    </row>
    <row r="234" spans="1:1" x14ac:dyDescent="0.3">
      <c r="A234" s="1">
        <v>42602.416666666664</v>
      </c>
    </row>
    <row r="235" spans="1:1" x14ac:dyDescent="0.3">
      <c r="A235" s="1">
        <v>42603.416666666664</v>
      </c>
    </row>
    <row r="236" spans="1:1" x14ac:dyDescent="0.3">
      <c r="A236" s="1">
        <v>42604.416666666664</v>
      </c>
    </row>
    <row r="237" spans="1:1" x14ac:dyDescent="0.3">
      <c r="A237" s="1">
        <v>42605.416666666664</v>
      </c>
    </row>
    <row r="238" spans="1:1" x14ac:dyDescent="0.3">
      <c r="A238" s="1">
        <v>42606.416666666664</v>
      </c>
    </row>
    <row r="239" spans="1:1" x14ac:dyDescent="0.3">
      <c r="A239" s="1">
        <v>42607.416666666664</v>
      </c>
    </row>
    <row r="240" spans="1:1" x14ac:dyDescent="0.3">
      <c r="A240" s="1">
        <v>42608.416666666664</v>
      </c>
    </row>
    <row r="241" spans="1:1" x14ac:dyDescent="0.3">
      <c r="A241" s="1">
        <v>42609.416666666664</v>
      </c>
    </row>
    <row r="242" spans="1:1" x14ac:dyDescent="0.3">
      <c r="A242" s="1">
        <v>42610.416666666664</v>
      </c>
    </row>
    <row r="243" spans="1:1" x14ac:dyDescent="0.3">
      <c r="A243" s="1">
        <v>42611.416666666664</v>
      </c>
    </row>
    <row r="244" spans="1:1" x14ac:dyDescent="0.3">
      <c r="A244" s="1">
        <v>42612.416666666664</v>
      </c>
    </row>
    <row r="245" spans="1:1" x14ac:dyDescent="0.3">
      <c r="A245" s="1">
        <v>42613.416666666664</v>
      </c>
    </row>
    <row r="246" spans="1:1" x14ac:dyDescent="0.3">
      <c r="A246" s="1">
        <v>42614.416666666664</v>
      </c>
    </row>
    <row r="247" spans="1:1" x14ac:dyDescent="0.3">
      <c r="A247" s="1">
        <v>42615.416666666664</v>
      </c>
    </row>
    <row r="248" spans="1:1" x14ac:dyDescent="0.3">
      <c r="A248" s="1">
        <v>42616.416666666664</v>
      </c>
    </row>
    <row r="249" spans="1:1" x14ac:dyDescent="0.3">
      <c r="A249" s="1">
        <v>42617.416666666664</v>
      </c>
    </row>
    <row r="250" spans="1:1" x14ac:dyDescent="0.3">
      <c r="A250" s="1">
        <v>42618.416666666664</v>
      </c>
    </row>
    <row r="251" spans="1:1" x14ac:dyDescent="0.3">
      <c r="A251" s="1">
        <v>42619.416666666664</v>
      </c>
    </row>
    <row r="252" spans="1:1" x14ac:dyDescent="0.3">
      <c r="A252" s="1">
        <v>42620.416666666664</v>
      </c>
    </row>
    <row r="253" spans="1:1" x14ac:dyDescent="0.3">
      <c r="A253" s="1">
        <v>42621.416666666664</v>
      </c>
    </row>
    <row r="254" spans="1:1" x14ac:dyDescent="0.3">
      <c r="A254" s="1">
        <v>42622.416666666664</v>
      </c>
    </row>
    <row r="255" spans="1:1" x14ac:dyDescent="0.3">
      <c r="A255" s="1">
        <v>42623.416666666664</v>
      </c>
    </row>
    <row r="256" spans="1:1" x14ac:dyDescent="0.3">
      <c r="A256" s="1">
        <v>42624.416666666664</v>
      </c>
    </row>
    <row r="257" spans="1:1" x14ac:dyDescent="0.3">
      <c r="A257" s="1">
        <v>42625.416666666664</v>
      </c>
    </row>
    <row r="258" spans="1:1" x14ac:dyDescent="0.3">
      <c r="A258" s="1">
        <v>42626.416666666664</v>
      </c>
    </row>
    <row r="259" spans="1:1" x14ac:dyDescent="0.3">
      <c r="A259" s="1">
        <v>42627.416666666664</v>
      </c>
    </row>
    <row r="260" spans="1:1" x14ac:dyDescent="0.3">
      <c r="A260" s="1">
        <v>42628.416666666664</v>
      </c>
    </row>
    <row r="261" spans="1:1" x14ac:dyDescent="0.3">
      <c r="A261" s="1">
        <v>42629.416666666664</v>
      </c>
    </row>
    <row r="262" spans="1:1" x14ac:dyDescent="0.3">
      <c r="A262" s="1">
        <v>42630.416666666664</v>
      </c>
    </row>
    <row r="263" spans="1:1" x14ac:dyDescent="0.3">
      <c r="A263" s="1">
        <v>42631.416666666664</v>
      </c>
    </row>
    <row r="264" spans="1:1" x14ac:dyDescent="0.3">
      <c r="A264" s="1">
        <v>42632.416666666664</v>
      </c>
    </row>
    <row r="265" spans="1:1" x14ac:dyDescent="0.3">
      <c r="A265" s="1">
        <v>42633.416666666664</v>
      </c>
    </row>
    <row r="266" spans="1:1" x14ac:dyDescent="0.3">
      <c r="A266" s="1">
        <v>42634.416666666664</v>
      </c>
    </row>
    <row r="267" spans="1:1" x14ac:dyDescent="0.3">
      <c r="A267" s="1">
        <v>42635.416666666664</v>
      </c>
    </row>
    <row r="268" spans="1:1" x14ac:dyDescent="0.3">
      <c r="A268" s="1">
        <v>42636.416666666664</v>
      </c>
    </row>
    <row r="269" spans="1:1" x14ac:dyDescent="0.3">
      <c r="A269" s="1">
        <v>42637.416666666664</v>
      </c>
    </row>
    <row r="270" spans="1:1" x14ac:dyDescent="0.3">
      <c r="A270" s="1">
        <v>42638.416666666664</v>
      </c>
    </row>
    <row r="271" spans="1:1" x14ac:dyDescent="0.3">
      <c r="A271" s="1">
        <v>42639.416666666664</v>
      </c>
    </row>
    <row r="272" spans="1:1" x14ac:dyDescent="0.3">
      <c r="A272" s="1">
        <v>42640.416666666664</v>
      </c>
    </row>
    <row r="273" spans="1:1" x14ac:dyDescent="0.3">
      <c r="A273" s="1">
        <v>42641.416666666664</v>
      </c>
    </row>
    <row r="274" spans="1:1" x14ac:dyDescent="0.3">
      <c r="A274" s="1">
        <v>42642.416666666664</v>
      </c>
    </row>
    <row r="275" spans="1:1" x14ac:dyDescent="0.3">
      <c r="A275" s="1">
        <v>42643.416666666664</v>
      </c>
    </row>
    <row r="276" spans="1:1" x14ac:dyDescent="0.3">
      <c r="A276" s="1">
        <v>42644.416666666664</v>
      </c>
    </row>
    <row r="277" spans="1:1" x14ac:dyDescent="0.3">
      <c r="A277" s="1">
        <v>42645.416666666664</v>
      </c>
    </row>
    <row r="278" spans="1:1" x14ac:dyDescent="0.3">
      <c r="A278" s="1">
        <v>42646.416666666664</v>
      </c>
    </row>
    <row r="279" spans="1:1" x14ac:dyDescent="0.3">
      <c r="A279" s="1">
        <v>42647.416666666664</v>
      </c>
    </row>
    <row r="280" spans="1:1" x14ac:dyDescent="0.3">
      <c r="A280" s="1">
        <v>42648.416666666664</v>
      </c>
    </row>
    <row r="281" spans="1:1" x14ac:dyDescent="0.3">
      <c r="A281" s="1">
        <v>42649.416666666664</v>
      </c>
    </row>
    <row r="282" spans="1:1" x14ac:dyDescent="0.3">
      <c r="A282" s="1">
        <v>42650.416666666664</v>
      </c>
    </row>
    <row r="283" spans="1:1" x14ac:dyDescent="0.3">
      <c r="A283" s="1">
        <v>42651.416666666664</v>
      </c>
    </row>
    <row r="284" spans="1:1" x14ac:dyDescent="0.3">
      <c r="A284" s="1">
        <v>42652.416666666664</v>
      </c>
    </row>
    <row r="285" spans="1:1" x14ac:dyDescent="0.3">
      <c r="A285" s="1">
        <v>42653.416666666664</v>
      </c>
    </row>
    <row r="286" spans="1:1" x14ac:dyDescent="0.3">
      <c r="A286" s="1">
        <v>42654.416666666664</v>
      </c>
    </row>
    <row r="287" spans="1:1" x14ac:dyDescent="0.3">
      <c r="A287" s="1">
        <v>42655.416666666664</v>
      </c>
    </row>
    <row r="288" spans="1:1" x14ac:dyDescent="0.3">
      <c r="A288" s="1">
        <v>42656.416666666664</v>
      </c>
    </row>
    <row r="289" spans="1:1" x14ac:dyDescent="0.3">
      <c r="A289" s="1">
        <v>42657.416666666664</v>
      </c>
    </row>
    <row r="290" spans="1:1" x14ac:dyDescent="0.3">
      <c r="A290" s="1">
        <v>42658.416666666664</v>
      </c>
    </row>
    <row r="291" spans="1:1" x14ac:dyDescent="0.3">
      <c r="A291" s="1">
        <v>42659.416666666664</v>
      </c>
    </row>
    <row r="292" spans="1:1" x14ac:dyDescent="0.3">
      <c r="A292" s="1">
        <v>42660.416666666664</v>
      </c>
    </row>
    <row r="293" spans="1:1" x14ac:dyDescent="0.3">
      <c r="A293" s="1">
        <v>42661.416666666664</v>
      </c>
    </row>
    <row r="294" spans="1:1" x14ac:dyDescent="0.3">
      <c r="A294" s="1">
        <v>42662.416666666664</v>
      </c>
    </row>
    <row r="295" spans="1:1" x14ac:dyDescent="0.3">
      <c r="A295" s="1">
        <v>42663.416666666664</v>
      </c>
    </row>
    <row r="296" spans="1:1" x14ac:dyDescent="0.3">
      <c r="A296" s="1">
        <v>42664.416666666664</v>
      </c>
    </row>
    <row r="297" spans="1:1" x14ac:dyDescent="0.3">
      <c r="A297" s="1">
        <v>42665.416666666664</v>
      </c>
    </row>
    <row r="298" spans="1:1" x14ac:dyDescent="0.3">
      <c r="A298" s="1">
        <v>42666.416666666664</v>
      </c>
    </row>
    <row r="299" spans="1:1" x14ac:dyDescent="0.3">
      <c r="A299" s="1">
        <v>42667.416666666664</v>
      </c>
    </row>
    <row r="300" spans="1:1" x14ac:dyDescent="0.3">
      <c r="A300" s="1">
        <v>42668.416666666664</v>
      </c>
    </row>
    <row r="301" spans="1:1" x14ac:dyDescent="0.3">
      <c r="A301" s="1">
        <v>42669.416666666664</v>
      </c>
    </row>
    <row r="302" spans="1:1" x14ac:dyDescent="0.3">
      <c r="A302" s="1">
        <v>42670.416666666664</v>
      </c>
    </row>
    <row r="303" spans="1:1" x14ac:dyDescent="0.3">
      <c r="A303" s="1">
        <v>42671.416666666664</v>
      </c>
    </row>
    <row r="304" spans="1:1" x14ac:dyDescent="0.3">
      <c r="A304" s="1">
        <v>42672.416666666664</v>
      </c>
    </row>
    <row r="305" spans="1:1" x14ac:dyDescent="0.3">
      <c r="A305" s="1">
        <v>42673.416666666664</v>
      </c>
    </row>
    <row r="306" spans="1:1" x14ac:dyDescent="0.3">
      <c r="A306" s="1">
        <v>42674.416666666664</v>
      </c>
    </row>
    <row r="307" spans="1:1" x14ac:dyDescent="0.3">
      <c r="A307" s="1">
        <v>42675.416666666664</v>
      </c>
    </row>
    <row r="308" spans="1:1" x14ac:dyDescent="0.3">
      <c r="A308" s="1">
        <v>42676.416666666664</v>
      </c>
    </row>
    <row r="309" spans="1:1" x14ac:dyDescent="0.3">
      <c r="A309" s="1">
        <v>42677.416666666664</v>
      </c>
    </row>
    <row r="310" spans="1:1" x14ac:dyDescent="0.3">
      <c r="A310" s="1">
        <v>42678.416666666664</v>
      </c>
    </row>
    <row r="311" spans="1:1" x14ac:dyDescent="0.3">
      <c r="A311" s="1">
        <v>42679.416666666664</v>
      </c>
    </row>
    <row r="312" spans="1:1" x14ac:dyDescent="0.3">
      <c r="A312" s="1">
        <v>42680.416666666664</v>
      </c>
    </row>
    <row r="313" spans="1:1" x14ac:dyDescent="0.3">
      <c r="A313" s="1">
        <v>42681.416666666664</v>
      </c>
    </row>
    <row r="314" spans="1:1" x14ac:dyDescent="0.3">
      <c r="A314" s="1">
        <v>42682.416666666664</v>
      </c>
    </row>
    <row r="315" spans="1:1" x14ac:dyDescent="0.3">
      <c r="A315" s="1">
        <v>42683.416666666664</v>
      </c>
    </row>
    <row r="316" spans="1:1" x14ac:dyDescent="0.3">
      <c r="A316" s="1">
        <v>42684.416666666664</v>
      </c>
    </row>
    <row r="317" spans="1:1" x14ac:dyDescent="0.3">
      <c r="A317" s="1">
        <v>42685.416666666664</v>
      </c>
    </row>
    <row r="318" spans="1:1" x14ac:dyDescent="0.3">
      <c r="A318" s="1">
        <v>42686.416666666664</v>
      </c>
    </row>
    <row r="319" spans="1:1" x14ac:dyDescent="0.3">
      <c r="A319" s="1">
        <v>42687.416666666664</v>
      </c>
    </row>
    <row r="320" spans="1:1" x14ac:dyDescent="0.3">
      <c r="A320" s="1">
        <v>42688.416666666664</v>
      </c>
    </row>
    <row r="321" spans="1:1" x14ac:dyDescent="0.3">
      <c r="A321" s="1">
        <v>42689.416666666664</v>
      </c>
    </row>
    <row r="322" spans="1:1" x14ac:dyDescent="0.3">
      <c r="A322" s="1">
        <v>42690.416666666664</v>
      </c>
    </row>
    <row r="323" spans="1:1" x14ac:dyDescent="0.3">
      <c r="A323" s="1">
        <v>42691.416666666664</v>
      </c>
    </row>
    <row r="324" spans="1:1" x14ac:dyDescent="0.3">
      <c r="A324" s="1">
        <v>42692.416666666664</v>
      </c>
    </row>
    <row r="325" spans="1:1" x14ac:dyDescent="0.3">
      <c r="A325" s="1">
        <v>42693.416666666664</v>
      </c>
    </row>
    <row r="326" spans="1:1" x14ac:dyDescent="0.3">
      <c r="A326" s="1">
        <v>42694.416666666664</v>
      </c>
    </row>
    <row r="327" spans="1:1" x14ac:dyDescent="0.3">
      <c r="A327" s="1">
        <v>42695.416666666664</v>
      </c>
    </row>
    <row r="328" spans="1:1" x14ac:dyDescent="0.3">
      <c r="A328" s="1">
        <v>42696.416666666664</v>
      </c>
    </row>
    <row r="329" spans="1:1" x14ac:dyDescent="0.3">
      <c r="A329" s="1">
        <v>42697.416666666664</v>
      </c>
    </row>
    <row r="330" spans="1:1" x14ac:dyDescent="0.3">
      <c r="A330" s="1">
        <v>42698.416666666664</v>
      </c>
    </row>
    <row r="331" spans="1:1" x14ac:dyDescent="0.3">
      <c r="A331" s="1">
        <v>42699.416666666664</v>
      </c>
    </row>
    <row r="332" spans="1:1" x14ac:dyDescent="0.3">
      <c r="A332" s="1">
        <v>42700.416666666664</v>
      </c>
    </row>
    <row r="333" spans="1:1" x14ac:dyDescent="0.3">
      <c r="A333" s="1">
        <v>42701.416666666664</v>
      </c>
    </row>
    <row r="334" spans="1:1" x14ac:dyDescent="0.3">
      <c r="A334" s="1">
        <v>42702.416666666664</v>
      </c>
    </row>
    <row r="335" spans="1:1" x14ac:dyDescent="0.3">
      <c r="A335" s="1">
        <v>42703.416666666664</v>
      </c>
    </row>
    <row r="336" spans="1:1" x14ac:dyDescent="0.3">
      <c r="A336" s="1">
        <v>42704.416666666664</v>
      </c>
    </row>
    <row r="337" spans="1:1" x14ac:dyDescent="0.3">
      <c r="A337" s="1">
        <v>42705.416666666664</v>
      </c>
    </row>
    <row r="338" spans="1:1" x14ac:dyDescent="0.3">
      <c r="A338" s="1">
        <v>42706.416666666664</v>
      </c>
    </row>
    <row r="339" spans="1:1" x14ac:dyDescent="0.3">
      <c r="A339" s="1">
        <v>42707.416666666664</v>
      </c>
    </row>
    <row r="340" spans="1:1" x14ac:dyDescent="0.3">
      <c r="A340" s="1">
        <v>42708.416666666664</v>
      </c>
    </row>
    <row r="341" spans="1:1" x14ac:dyDescent="0.3">
      <c r="A341" s="1">
        <v>42709.416666666664</v>
      </c>
    </row>
    <row r="342" spans="1:1" x14ac:dyDescent="0.3">
      <c r="A342" s="1">
        <v>42710.416666666664</v>
      </c>
    </row>
    <row r="343" spans="1:1" x14ac:dyDescent="0.3">
      <c r="A343" s="1">
        <v>42711.416666666664</v>
      </c>
    </row>
    <row r="344" spans="1:1" x14ac:dyDescent="0.3">
      <c r="A344" s="1">
        <v>42712.416666666664</v>
      </c>
    </row>
    <row r="345" spans="1:1" x14ac:dyDescent="0.3">
      <c r="A345" s="1">
        <v>42713.416666666664</v>
      </c>
    </row>
    <row r="346" spans="1:1" x14ac:dyDescent="0.3">
      <c r="A346" s="1">
        <v>42714.416666666664</v>
      </c>
    </row>
    <row r="347" spans="1:1" x14ac:dyDescent="0.3">
      <c r="A347" s="1">
        <v>42715.416666666664</v>
      </c>
    </row>
    <row r="348" spans="1:1" x14ac:dyDescent="0.3">
      <c r="A348" s="1">
        <v>42716.416666666664</v>
      </c>
    </row>
    <row r="349" spans="1:1" x14ac:dyDescent="0.3">
      <c r="A349" s="1">
        <v>42717.416666666664</v>
      </c>
    </row>
    <row r="350" spans="1:1" x14ac:dyDescent="0.3">
      <c r="A350" s="1">
        <v>42718.416666666664</v>
      </c>
    </row>
    <row r="351" spans="1:1" x14ac:dyDescent="0.3">
      <c r="A351" s="1">
        <v>42719.416666666664</v>
      </c>
    </row>
    <row r="352" spans="1:1" x14ac:dyDescent="0.3">
      <c r="A352" s="1">
        <v>42720.416666666664</v>
      </c>
    </row>
    <row r="353" spans="1:1" x14ac:dyDescent="0.3">
      <c r="A353" s="1">
        <v>42721.416666666664</v>
      </c>
    </row>
    <row r="354" spans="1:1" x14ac:dyDescent="0.3">
      <c r="A354" s="1">
        <v>42722.416666666664</v>
      </c>
    </row>
    <row r="355" spans="1:1" x14ac:dyDescent="0.3">
      <c r="A355" s="1">
        <v>42723.416666666664</v>
      </c>
    </row>
    <row r="356" spans="1:1" x14ac:dyDescent="0.3">
      <c r="A356" s="1">
        <v>42724.416666666664</v>
      </c>
    </row>
    <row r="357" spans="1:1" x14ac:dyDescent="0.3">
      <c r="A357" s="1">
        <v>42725.416666666664</v>
      </c>
    </row>
    <row r="358" spans="1:1" x14ac:dyDescent="0.3">
      <c r="A358" s="1">
        <v>42726.416666666664</v>
      </c>
    </row>
    <row r="359" spans="1:1" x14ac:dyDescent="0.3">
      <c r="A359" s="1">
        <v>42727.416666666664</v>
      </c>
    </row>
    <row r="360" spans="1:1" x14ac:dyDescent="0.3">
      <c r="A360" s="1">
        <v>42728.416666666664</v>
      </c>
    </row>
    <row r="361" spans="1:1" x14ac:dyDescent="0.3">
      <c r="A361" s="1">
        <v>42729.416666666664</v>
      </c>
    </row>
    <row r="362" spans="1:1" x14ac:dyDescent="0.3">
      <c r="A362" s="1">
        <v>42730.416666666664</v>
      </c>
    </row>
    <row r="363" spans="1:1" x14ac:dyDescent="0.3">
      <c r="A363" s="1">
        <v>42731.416666666664</v>
      </c>
    </row>
    <row r="364" spans="1:1" x14ac:dyDescent="0.3">
      <c r="A364" s="1">
        <v>42732.416666666664</v>
      </c>
    </row>
    <row r="365" spans="1:1" x14ac:dyDescent="0.3">
      <c r="A365" s="1">
        <v>42733.416666666664</v>
      </c>
    </row>
    <row r="366" spans="1:1" x14ac:dyDescent="0.3">
      <c r="A366" s="1">
        <v>42734.416666666664</v>
      </c>
    </row>
    <row r="367" spans="1:1" x14ac:dyDescent="0.3">
      <c r="A367" s="1">
        <v>42735.416666666664</v>
      </c>
    </row>
    <row r="368" spans="1:1" x14ac:dyDescent="0.3">
      <c r="A368" s="1">
        <v>42736.416666666664</v>
      </c>
    </row>
    <row r="369" spans="1:1" x14ac:dyDescent="0.3">
      <c r="A369" s="1">
        <v>42737.416666666664</v>
      </c>
    </row>
    <row r="370" spans="1:1" x14ac:dyDescent="0.3">
      <c r="A370" s="1">
        <v>42738.416666666664</v>
      </c>
    </row>
    <row r="371" spans="1:1" x14ac:dyDescent="0.3">
      <c r="A371" s="1">
        <v>42739.416666666664</v>
      </c>
    </row>
    <row r="372" spans="1:1" x14ac:dyDescent="0.3">
      <c r="A372" s="1">
        <v>42740.416666666664</v>
      </c>
    </row>
    <row r="373" spans="1:1" x14ac:dyDescent="0.3">
      <c r="A373" s="1">
        <v>42741.416666666664</v>
      </c>
    </row>
    <row r="374" spans="1:1" x14ac:dyDescent="0.3">
      <c r="A374" s="1">
        <v>42742.416666666664</v>
      </c>
    </row>
    <row r="375" spans="1:1" x14ac:dyDescent="0.3">
      <c r="A375" s="1">
        <v>42743.416666666664</v>
      </c>
    </row>
    <row r="376" spans="1:1" x14ac:dyDescent="0.3">
      <c r="A376" s="1">
        <v>42744.416666666664</v>
      </c>
    </row>
    <row r="377" spans="1:1" x14ac:dyDescent="0.3">
      <c r="A377" s="1">
        <v>42745.416666666664</v>
      </c>
    </row>
    <row r="378" spans="1:1" x14ac:dyDescent="0.3">
      <c r="A378" s="1">
        <v>42746.416666666664</v>
      </c>
    </row>
    <row r="379" spans="1:1" x14ac:dyDescent="0.3">
      <c r="A379" s="1">
        <v>42747.416666666664</v>
      </c>
    </row>
    <row r="380" spans="1:1" x14ac:dyDescent="0.3">
      <c r="A380" s="1">
        <v>42748.416666666664</v>
      </c>
    </row>
    <row r="381" spans="1:1" x14ac:dyDescent="0.3">
      <c r="A381" s="1">
        <v>42749.416666666664</v>
      </c>
    </row>
    <row r="382" spans="1:1" x14ac:dyDescent="0.3">
      <c r="A382" s="1">
        <v>42750.416666666664</v>
      </c>
    </row>
    <row r="383" spans="1:1" x14ac:dyDescent="0.3">
      <c r="A383" s="1">
        <v>42751.416666666664</v>
      </c>
    </row>
    <row r="384" spans="1:1" x14ac:dyDescent="0.3">
      <c r="A384" s="1">
        <v>42752.416666666664</v>
      </c>
    </row>
    <row r="385" spans="1:1" x14ac:dyDescent="0.3">
      <c r="A385" s="1">
        <v>42753.416666666664</v>
      </c>
    </row>
    <row r="386" spans="1:1" x14ac:dyDescent="0.3">
      <c r="A386" s="1">
        <v>42754.416666666664</v>
      </c>
    </row>
    <row r="387" spans="1:1" x14ac:dyDescent="0.3">
      <c r="A387" s="1">
        <v>42755.416666666664</v>
      </c>
    </row>
    <row r="388" spans="1:1" x14ac:dyDescent="0.3">
      <c r="A388" s="1">
        <v>42756.416666666664</v>
      </c>
    </row>
    <row r="389" spans="1:1" x14ac:dyDescent="0.3">
      <c r="A389" s="1">
        <v>42757.416666666664</v>
      </c>
    </row>
    <row r="390" spans="1:1" x14ac:dyDescent="0.3">
      <c r="A390" s="1">
        <v>42758.416666666664</v>
      </c>
    </row>
    <row r="391" spans="1:1" x14ac:dyDescent="0.3">
      <c r="A391" s="1">
        <v>42759.416666666664</v>
      </c>
    </row>
    <row r="392" spans="1:1" x14ac:dyDescent="0.3">
      <c r="A392" s="1">
        <v>42760.416666666664</v>
      </c>
    </row>
    <row r="393" spans="1:1" x14ac:dyDescent="0.3">
      <c r="A393" s="1">
        <v>42761.416666666664</v>
      </c>
    </row>
    <row r="394" spans="1:1" x14ac:dyDescent="0.3">
      <c r="A394" s="1">
        <v>42762.416666666664</v>
      </c>
    </row>
    <row r="395" spans="1:1" x14ac:dyDescent="0.3">
      <c r="A395" s="1">
        <v>42763.416666666664</v>
      </c>
    </row>
    <row r="396" spans="1:1" x14ac:dyDescent="0.3">
      <c r="A396" s="1">
        <v>42764.416666666664</v>
      </c>
    </row>
    <row r="397" spans="1:1" x14ac:dyDescent="0.3">
      <c r="A397" s="1">
        <v>42765.416666666664</v>
      </c>
    </row>
    <row r="398" spans="1:1" x14ac:dyDescent="0.3">
      <c r="A398" s="1">
        <v>42766.416666666664</v>
      </c>
    </row>
    <row r="399" spans="1:1" x14ac:dyDescent="0.3">
      <c r="A399" s="1">
        <v>42767.416666666664</v>
      </c>
    </row>
    <row r="400" spans="1:1" x14ac:dyDescent="0.3">
      <c r="A400" s="1">
        <v>42768.416666666664</v>
      </c>
    </row>
    <row r="401" spans="1:1" x14ac:dyDescent="0.3">
      <c r="A401" s="1">
        <v>42769.416666666664</v>
      </c>
    </row>
    <row r="402" spans="1:1" x14ac:dyDescent="0.3">
      <c r="A402" s="1">
        <v>42770.416666666664</v>
      </c>
    </row>
    <row r="403" spans="1:1" x14ac:dyDescent="0.3">
      <c r="A403" s="1">
        <v>42771.416666666664</v>
      </c>
    </row>
    <row r="404" spans="1:1" x14ac:dyDescent="0.3">
      <c r="A404" s="1">
        <v>42772.416666666664</v>
      </c>
    </row>
    <row r="405" spans="1:1" x14ac:dyDescent="0.3">
      <c r="A405" s="1">
        <v>42773.416666666664</v>
      </c>
    </row>
    <row r="406" spans="1:1" x14ac:dyDescent="0.3">
      <c r="A406" s="1">
        <v>42774.416666666664</v>
      </c>
    </row>
    <row r="407" spans="1:1" x14ac:dyDescent="0.3">
      <c r="A407" s="1">
        <v>42775.416666666664</v>
      </c>
    </row>
    <row r="408" spans="1:1" x14ac:dyDescent="0.3">
      <c r="A408" s="1">
        <v>42776.416666666664</v>
      </c>
    </row>
    <row r="409" spans="1:1" x14ac:dyDescent="0.3">
      <c r="A409" s="1">
        <v>42777.416666666664</v>
      </c>
    </row>
    <row r="410" spans="1:1" x14ac:dyDescent="0.3">
      <c r="A410" s="1">
        <v>42778.416666666664</v>
      </c>
    </row>
    <row r="411" spans="1:1" x14ac:dyDescent="0.3">
      <c r="A411" s="1">
        <v>42779.416666666664</v>
      </c>
    </row>
    <row r="412" spans="1:1" x14ac:dyDescent="0.3">
      <c r="A412" s="1">
        <v>42780.416666666664</v>
      </c>
    </row>
    <row r="413" spans="1:1" x14ac:dyDescent="0.3">
      <c r="A413" s="1">
        <v>42781.416666666664</v>
      </c>
    </row>
    <row r="414" spans="1:1" x14ac:dyDescent="0.3">
      <c r="A414" s="1">
        <v>42782.416666666664</v>
      </c>
    </row>
    <row r="415" spans="1:1" x14ac:dyDescent="0.3">
      <c r="A415" s="1">
        <v>42783.416666666664</v>
      </c>
    </row>
    <row r="416" spans="1:1" x14ac:dyDescent="0.3">
      <c r="A416" s="1">
        <v>42784.416666666664</v>
      </c>
    </row>
    <row r="417" spans="1:1" x14ac:dyDescent="0.3">
      <c r="A417" s="1">
        <v>42785.416666666664</v>
      </c>
    </row>
    <row r="418" spans="1:1" x14ac:dyDescent="0.3">
      <c r="A418" s="1">
        <v>42786.416666666664</v>
      </c>
    </row>
    <row r="419" spans="1:1" x14ac:dyDescent="0.3">
      <c r="A419" s="1">
        <v>42787.416666666664</v>
      </c>
    </row>
    <row r="420" spans="1:1" x14ac:dyDescent="0.3">
      <c r="A420" s="1">
        <v>42788.416666666664</v>
      </c>
    </row>
    <row r="421" spans="1:1" x14ac:dyDescent="0.3">
      <c r="A421" s="1">
        <v>42789.416666666664</v>
      </c>
    </row>
    <row r="422" spans="1:1" x14ac:dyDescent="0.3">
      <c r="A422" s="1">
        <v>42790.416666666664</v>
      </c>
    </row>
    <row r="423" spans="1:1" x14ac:dyDescent="0.3">
      <c r="A423" s="1">
        <v>42791.416666666664</v>
      </c>
    </row>
    <row r="424" spans="1:1" x14ac:dyDescent="0.3">
      <c r="A424" s="1">
        <v>42792.416666666664</v>
      </c>
    </row>
    <row r="425" spans="1:1" x14ac:dyDescent="0.3">
      <c r="A425" s="1">
        <v>42793.416666666664</v>
      </c>
    </row>
    <row r="426" spans="1:1" x14ac:dyDescent="0.3">
      <c r="A426" s="1">
        <v>42794.416666666664</v>
      </c>
    </row>
    <row r="427" spans="1:1" x14ac:dyDescent="0.3">
      <c r="A427" s="1">
        <v>42795.416666666664</v>
      </c>
    </row>
    <row r="428" spans="1:1" x14ac:dyDescent="0.3">
      <c r="A428" s="1">
        <v>42796.416666666664</v>
      </c>
    </row>
    <row r="429" spans="1:1" x14ac:dyDescent="0.3">
      <c r="A429" s="1">
        <v>42797.416666666664</v>
      </c>
    </row>
    <row r="430" spans="1:1" x14ac:dyDescent="0.3">
      <c r="A430" s="1">
        <v>42798.416666666664</v>
      </c>
    </row>
    <row r="431" spans="1:1" x14ac:dyDescent="0.3">
      <c r="A431" s="1">
        <v>42799.416666666664</v>
      </c>
    </row>
    <row r="432" spans="1:1" x14ac:dyDescent="0.3">
      <c r="A432" s="1">
        <v>42800.416666666664</v>
      </c>
    </row>
    <row r="433" spans="1:1" x14ac:dyDescent="0.3">
      <c r="A433" s="1">
        <v>42801.416666666664</v>
      </c>
    </row>
    <row r="434" spans="1:1" x14ac:dyDescent="0.3">
      <c r="A434" s="1">
        <v>42802.416666666664</v>
      </c>
    </row>
    <row r="435" spans="1:1" x14ac:dyDescent="0.3">
      <c r="A435" s="1">
        <v>42803.416666666664</v>
      </c>
    </row>
    <row r="436" spans="1:1" x14ac:dyDescent="0.3">
      <c r="A436" s="1">
        <v>42804.416666666664</v>
      </c>
    </row>
    <row r="437" spans="1:1" x14ac:dyDescent="0.3">
      <c r="A437" s="1">
        <v>42805.416666666664</v>
      </c>
    </row>
    <row r="438" spans="1:1" x14ac:dyDescent="0.3">
      <c r="A438" s="1">
        <v>42806.416666666664</v>
      </c>
    </row>
    <row r="439" spans="1:1" x14ac:dyDescent="0.3">
      <c r="A439" s="1">
        <v>42807.416666666664</v>
      </c>
    </row>
    <row r="440" spans="1:1" x14ac:dyDescent="0.3">
      <c r="A440" s="1">
        <v>42808.416666666664</v>
      </c>
    </row>
    <row r="441" spans="1:1" x14ac:dyDescent="0.3">
      <c r="A441" s="1">
        <v>42809.416666666664</v>
      </c>
    </row>
    <row r="442" spans="1:1" x14ac:dyDescent="0.3">
      <c r="A442" s="1">
        <v>42810.416666666664</v>
      </c>
    </row>
    <row r="443" spans="1:1" x14ac:dyDescent="0.3">
      <c r="A443" s="1">
        <v>42811.416666666664</v>
      </c>
    </row>
    <row r="444" spans="1:1" x14ac:dyDescent="0.3">
      <c r="A444" s="1">
        <v>42812.416666666664</v>
      </c>
    </row>
    <row r="445" spans="1:1" x14ac:dyDescent="0.3">
      <c r="A445" s="1">
        <v>42813.416666666664</v>
      </c>
    </row>
    <row r="446" spans="1:1" x14ac:dyDescent="0.3">
      <c r="A446" s="1">
        <v>42814.416666666664</v>
      </c>
    </row>
    <row r="447" spans="1:1" x14ac:dyDescent="0.3">
      <c r="A447" s="1">
        <v>42815.416666666664</v>
      </c>
    </row>
    <row r="448" spans="1:1" x14ac:dyDescent="0.3">
      <c r="A448" s="1">
        <v>42816.416666666664</v>
      </c>
    </row>
    <row r="449" spans="1:1" x14ac:dyDescent="0.3">
      <c r="A449" s="1">
        <v>42817.416666666664</v>
      </c>
    </row>
    <row r="450" spans="1:1" x14ac:dyDescent="0.3">
      <c r="A450" s="1">
        <v>42818.416666666664</v>
      </c>
    </row>
    <row r="451" spans="1:1" x14ac:dyDescent="0.3">
      <c r="A451" s="1">
        <v>42819.416666666664</v>
      </c>
    </row>
    <row r="452" spans="1:1" x14ac:dyDescent="0.3">
      <c r="A452" s="1">
        <v>42820.416666666664</v>
      </c>
    </row>
    <row r="453" spans="1:1" x14ac:dyDescent="0.3">
      <c r="A453" s="1">
        <v>42821.416666666664</v>
      </c>
    </row>
    <row r="454" spans="1:1" x14ac:dyDescent="0.3">
      <c r="A454" s="1">
        <v>42822.416666666664</v>
      </c>
    </row>
    <row r="455" spans="1:1" x14ac:dyDescent="0.3">
      <c r="A455" s="1">
        <v>42823.416666666664</v>
      </c>
    </row>
    <row r="456" spans="1:1" x14ac:dyDescent="0.3">
      <c r="A456" s="1">
        <v>42824.416666666664</v>
      </c>
    </row>
    <row r="457" spans="1:1" x14ac:dyDescent="0.3">
      <c r="A457" s="1">
        <v>42825.416666666664</v>
      </c>
    </row>
    <row r="458" spans="1:1" x14ac:dyDescent="0.3">
      <c r="A458" s="1">
        <v>42826.416666666664</v>
      </c>
    </row>
    <row r="459" spans="1:1" x14ac:dyDescent="0.3">
      <c r="A459" s="1">
        <v>42827.416666666664</v>
      </c>
    </row>
    <row r="460" spans="1:1" x14ac:dyDescent="0.3">
      <c r="A460" s="1">
        <v>42828.416666666664</v>
      </c>
    </row>
    <row r="461" spans="1:1" x14ac:dyDescent="0.3">
      <c r="A461" s="1">
        <v>42829.416666666664</v>
      </c>
    </row>
    <row r="462" spans="1:1" x14ac:dyDescent="0.3">
      <c r="A462" s="1">
        <v>42830.416666666664</v>
      </c>
    </row>
    <row r="463" spans="1:1" x14ac:dyDescent="0.3">
      <c r="A463" s="1">
        <v>42831.416666666664</v>
      </c>
    </row>
    <row r="464" spans="1:1" x14ac:dyDescent="0.3">
      <c r="A464" s="1">
        <v>42832.416666666664</v>
      </c>
    </row>
    <row r="465" spans="1:1" x14ac:dyDescent="0.3">
      <c r="A465" s="1">
        <v>42833.416666666664</v>
      </c>
    </row>
    <row r="466" spans="1:1" x14ac:dyDescent="0.3">
      <c r="A466" s="1">
        <v>42834.416666666664</v>
      </c>
    </row>
    <row r="467" spans="1:1" x14ac:dyDescent="0.3">
      <c r="A467" s="1">
        <v>42835.416666666664</v>
      </c>
    </row>
    <row r="468" spans="1:1" x14ac:dyDescent="0.3">
      <c r="A468" s="1">
        <v>42836.416666666664</v>
      </c>
    </row>
    <row r="469" spans="1:1" x14ac:dyDescent="0.3">
      <c r="A469" s="1">
        <v>42837.416666666664</v>
      </c>
    </row>
    <row r="470" spans="1:1" x14ac:dyDescent="0.3">
      <c r="A470" s="1">
        <v>42838.416666666664</v>
      </c>
    </row>
    <row r="471" spans="1:1" x14ac:dyDescent="0.3">
      <c r="A471" s="1">
        <v>42839.416666666664</v>
      </c>
    </row>
    <row r="472" spans="1:1" x14ac:dyDescent="0.3">
      <c r="A472" s="1">
        <v>42840.416666666664</v>
      </c>
    </row>
    <row r="473" spans="1:1" x14ac:dyDescent="0.3">
      <c r="A473" s="1">
        <v>42841.416666666664</v>
      </c>
    </row>
    <row r="474" spans="1:1" x14ac:dyDescent="0.3">
      <c r="A474" s="1">
        <v>42842.416666666664</v>
      </c>
    </row>
    <row r="475" spans="1:1" x14ac:dyDescent="0.3">
      <c r="A475" s="1">
        <v>42843.416666666664</v>
      </c>
    </row>
    <row r="476" spans="1:1" x14ac:dyDescent="0.3">
      <c r="A476" s="1">
        <v>42844.416666666664</v>
      </c>
    </row>
    <row r="477" spans="1:1" x14ac:dyDescent="0.3">
      <c r="A477" s="1">
        <v>42845.416666666664</v>
      </c>
    </row>
    <row r="478" spans="1:1" x14ac:dyDescent="0.3">
      <c r="A478" s="1">
        <v>42846.416666666664</v>
      </c>
    </row>
    <row r="479" spans="1:1" x14ac:dyDescent="0.3">
      <c r="A479" s="1">
        <v>42847.416666666664</v>
      </c>
    </row>
    <row r="480" spans="1:1" x14ac:dyDescent="0.3">
      <c r="A480" s="1">
        <v>42848.416666666664</v>
      </c>
    </row>
    <row r="481" spans="1:1" x14ac:dyDescent="0.3">
      <c r="A481" s="1">
        <v>42849.416666666664</v>
      </c>
    </row>
    <row r="482" spans="1:1" x14ac:dyDescent="0.3">
      <c r="A482" s="1">
        <v>42850.416666666664</v>
      </c>
    </row>
    <row r="483" spans="1:1" x14ac:dyDescent="0.3">
      <c r="A483" s="1">
        <v>42851.416666666664</v>
      </c>
    </row>
    <row r="484" spans="1:1" x14ac:dyDescent="0.3">
      <c r="A484" s="1">
        <v>42852.416666666664</v>
      </c>
    </row>
    <row r="485" spans="1:1" x14ac:dyDescent="0.3">
      <c r="A485" s="1">
        <v>42853.416666666664</v>
      </c>
    </row>
    <row r="486" spans="1:1" x14ac:dyDescent="0.3">
      <c r="A486" s="1">
        <v>42854.416666666664</v>
      </c>
    </row>
    <row r="487" spans="1:1" x14ac:dyDescent="0.3">
      <c r="A487" s="1">
        <v>42855.416666666664</v>
      </c>
    </row>
    <row r="488" spans="1:1" x14ac:dyDescent="0.3">
      <c r="A488" s="1">
        <v>42856.416666666664</v>
      </c>
    </row>
    <row r="489" spans="1:1" x14ac:dyDescent="0.3">
      <c r="A489" s="1">
        <v>42857.416666666664</v>
      </c>
    </row>
    <row r="490" spans="1:1" x14ac:dyDescent="0.3">
      <c r="A490" s="1">
        <v>42858.416666666664</v>
      </c>
    </row>
    <row r="491" spans="1:1" x14ac:dyDescent="0.3">
      <c r="A491" s="1">
        <v>42859.416666666664</v>
      </c>
    </row>
    <row r="492" spans="1:1" x14ac:dyDescent="0.3">
      <c r="A492" s="1">
        <v>42860.416666666664</v>
      </c>
    </row>
    <row r="493" spans="1:1" x14ac:dyDescent="0.3">
      <c r="A493" s="1">
        <v>42861.416666666664</v>
      </c>
    </row>
    <row r="494" spans="1:1" x14ac:dyDescent="0.3">
      <c r="A494" s="1">
        <v>42862.416666666664</v>
      </c>
    </row>
    <row r="495" spans="1:1" x14ac:dyDescent="0.3">
      <c r="A495" s="1">
        <v>42863.416666666664</v>
      </c>
    </row>
    <row r="496" spans="1:1" x14ac:dyDescent="0.3">
      <c r="A496" s="1">
        <v>42864.416666666664</v>
      </c>
    </row>
    <row r="497" spans="1:1" x14ac:dyDescent="0.3">
      <c r="A497" s="1">
        <v>42865.416666666664</v>
      </c>
    </row>
    <row r="498" spans="1:1" x14ac:dyDescent="0.3">
      <c r="A498" s="1">
        <v>42866.416666666664</v>
      </c>
    </row>
    <row r="499" spans="1:1" x14ac:dyDescent="0.3">
      <c r="A499" s="1">
        <v>42867.416666666664</v>
      </c>
    </row>
    <row r="500" spans="1:1" x14ac:dyDescent="0.3">
      <c r="A500" s="1">
        <v>42868.416666666664</v>
      </c>
    </row>
    <row r="501" spans="1:1" x14ac:dyDescent="0.3">
      <c r="A501" s="1">
        <v>42869.416666666664</v>
      </c>
    </row>
    <row r="502" spans="1:1" x14ac:dyDescent="0.3">
      <c r="A502" s="1">
        <v>42870.416666666664</v>
      </c>
    </row>
    <row r="503" spans="1:1" x14ac:dyDescent="0.3">
      <c r="A503" s="1">
        <v>42871.416666666664</v>
      </c>
    </row>
    <row r="504" spans="1:1" x14ac:dyDescent="0.3">
      <c r="A504" s="1">
        <v>42872.416666666664</v>
      </c>
    </row>
    <row r="505" spans="1:1" x14ac:dyDescent="0.3">
      <c r="A505" s="1">
        <v>42873.416666666664</v>
      </c>
    </row>
    <row r="506" spans="1:1" x14ac:dyDescent="0.3">
      <c r="A506" s="1">
        <v>42874.416666666664</v>
      </c>
    </row>
    <row r="507" spans="1:1" x14ac:dyDescent="0.3">
      <c r="A507" s="1">
        <v>42875.416666666664</v>
      </c>
    </row>
    <row r="508" spans="1:1" x14ac:dyDescent="0.3">
      <c r="A508" s="1">
        <v>42876.416666666664</v>
      </c>
    </row>
    <row r="509" spans="1:1" x14ac:dyDescent="0.3">
      <c r="A509" s="1">
        <v>42877.416666666664</v>
      </c>
    </row>
    <row r="510" spans="1:1" x14ac:dyDescent="0.3">
      <c r="A510" s="1">
        <v>42878.416666666664</v>
      </c>
    </row>
    <row r="511" spans="1:1" x14ac:dyDescent="0.3">
      <c r="A511" s="1">
        <v>42879.416666666664</v>
      </c>
    </row>
    <row r="512" spans="1:1" x14ac:dyDescent="0.3">
      <c r="A512" s="1">
        <v>42880.416666666664</v>
      </c>
    </row>
    <row r="513" spans="1:1" x14ac:dyDescent="0.3">
      <c r="A513" s="1">
        <v>42881.416666666664</v>
      </c>
    </row>
    <row r="514" spans="1:1" x14ac:dyDescent="0.3">
      <c r="A514" s="1">
        <v>42882.416666666664</v>
      </c>
    </row>
    <row r="515" spans="1:1" x14ac:dyDescent="0.3">
      <c r="A515" s="1">
        <v>42883.416666666664</v>
      </c>
    </row>
    <row r="516" spans="1:1" x14ac:dyDescent="0.3">
      <c r="A516" s="1">
        <v>42884.416666666664</v>
      </c>
    </row>
    <row r="517" spans="1:1" x14ac:dyDescent="0.3">
      <c r="A517" s="1">
        <v>42885.416666666664</v>
      </c>
    </row>
    <row r="518" spans="1:1" x14ac:dyDescent="0.3">
      <c r="A518" s="1">
        <v>42886.416666666664</v>
      </c>
    </row>
    <row r="519" spans="1:1" x14ac:dyDescent="0.3">
      <c r="A519" s="1">
        <v>42887.416666666664</v>
      </c>
    </row>
    <row r="520" spans="1:1" x14ac:dyDescent="0.3">
      <c r="A520" s="1">
        <v>42888.416666666664</v>
      </c>
    </row>
    <row r="521" spans="1:1" x14ac:dyDescent="0.3">
      <c r="A521" s="1">
        <v>42889.416666666664</v>
      </c>
    </row>
    <row r="522" spans="1:1" x14ac:dyDescent="0.3">
      <c r="A522" s="1">
        <v>42890.416666666664</v>
      </c>
    </row>
    <row r="523" spans="1:1" x14ac:dyDescent="0.3">
      <c r="A523" s="1">
        <v>42891.416666666664</v>
      </c>
    </row>
    <row r="524" spans="1:1" x14ac:dyDescent="0.3">
      <c r="A524" s="1">
        <v>42892.416666666664</v>
      </c>
    </row>
    <row r="525" spans="1:1" x14ac:dyDescent="0.3">
      <c r="A525" s="1">
        <v>42893.416666666664</v>
      </c>
    </row>
    <row r="526" spans="1:1" x14ac:dyDescent="0.3">
      <c r="A526" s="1">
        <v>42894.416666666664</v>
      </c>
    </row>
    <row r="527" spans="1:1" x14ac:dyDescent="0.3">
      <c r="A527" s="1">
        <v>42895.416666666664</v>
      </c>
    </row>
    <row r="528" spans="1:1" x14ac:dyDescent="0.3">
      <c r="A528" s="1">
        <v>42896.416666666664</v>
      </c>
    </row>
    <row r="529" spans="1:1" x14ac:dyDescent="0.3">
      <c r="A529" s="1">
        <v>42897.416666666664</v>
      </c>
    </row>
    <row r="530" spans="1:1" x14ac:dyDescent="0.3">
      <c r="A530" s="1">
        <v>42898.416666666664</v>
      </c>
    </row>
    <row r="531" spans="1:1" x14ac:dyDescent="0.3">
      <c r="A531" s="1">
        <v>42899.416666666664</v>
      </c>
    </row>
    <row r="532" spans="1:1" x14ac:dyDescent="0.3">
      <c r="A532" s="1">
        <v>42900.416666666664</v>
      </c>
    </row>
    <row r="533" spans="1:1" x14ac:dyDescent="0.3">
      <c r="A533" s="1">
        <v>42901.416666666664</v>
      </c>
    </row>
    <row r="534" spans="1:1" x14ac:dyDescent="0.3">
      <c r="A534" s="1">
        <v>42902.416666666664</v>
      </c>
    </row>
    <row r="535" spans="1:1" x14ac:dyDescent="0.3">
      <c r="A535" s="1">
        <v>42903.416666666664</v>
      </c>
    </row>
    <row r="536" spans="1:1" x14ac:dyDescent="0.3">
      <c r="A536" s="1">
        <v>42904.416666666664</v>
      </c>
    </row>
    <row r="537" spans="1:1" x14ac:dyDescent="0.3">
      <c r="A537" s="1">
        <v>42905.416666666664</v>
      </c>
    </row>
    <row r="538" spans="1:1" x14ac:dyDescent="0.3">
      <c r="A538" s="1">
        <v>42906.416666666664</v>
      </c>
    </row>
    <row r="539" spans="1:1" x14ac:dyDescent="0.3">
      <c r="A539" s="1">
        <v>42907.416666666664</v>
      </c>
    </row>
    <row r="540" spans="1:1" x14ac:dyDescent="0.3">
      <c r="A540" s="1">
        <v>42908.416666666664</v>
      </c>
    </row>
    <row r="541" spans="1:1" x14ac:dyDescent="0.3">
      <c r="A541" s="1">
        <v>42909.416666666664</v>
      </c>
    </row>
    <row r="542" spans="1:1" x14ac:dyDescent="0.3">
      <c r="A542" s="1">
        <v>42910.416666666664</v>
      </c>
    </row>
    <row r="543" spans="1:1" x14ac:dyDescent="0.3">
      <c r="A543" s="1">
        <v>42911.416666666664</v>
      </c>
    </row>
    <row r="544" spans="1:1" x14ac:dyDescent="0.3">
      <c r="A544" s="1">
        <v>42912.416666666664</v>
      </c>
    </row>
    <row r="545" spans="1:1" x14ac:dyDescent="0.3">
      <c r="A545" s="1">
        <v>42913.416666666664</v>
      </c>
    </row>
    <row r="546" spans="1:1" x14ac:dyDescent="0.3">
      <c r="A546" s="1">
        <v>42914.416666666664</v>
      </c>
    </row>
    <row r="547" spans="1:1" x14ac:dyDescent="0.3">
      <c r="A547" s="1">
        <v>42915.416666666664</v>
      </c>
    </row>
    <row r="548" spans="1:1" x14ac:dyDescent="0.3">
      <c r="A548" s="1">
        <v>42916.416666666664</v>
      </c>
    </row>
    <row r="549" spans="1:1" x14ac:dyDescent="0.3">
      <c r="A549" s="1">
        <v>42917.416666666664</v>
      </c>
    </row>
    <row r="550" spans="1:1" x14ac:dyDescent="0.3">
      <c r="A550" s="1">
        <v>42918.416666666664</v>
      </c>
    </row>
    <row r="551" spans="1:1" x14ac:dyDescent="0.3">
      <c r="A551" s="1">
        <v>42919.416666666664</v>
      </c>
    </row>
    <row r="552" spans="1:1" x14ac:dyDescent="0.3">
      <c r="A552" s="1">
        <v>42920.416666666664</v>
      </c>
    </row>
    <row r="553" spans="1:1" x14ac:dyDescent="0.3">
      <c r="A553" s="1">
        <v>42921.416666666664</v>
      </c>
    </row>
    <row r="554" spans="1:1" x14ac:dyDescent="0.3">
      <c r="A554" s="1">
        <v>42922.416666666664</v>
      </c>
    </row>
    <row r="555" spans="1:1" x14ac:dyDescent="0.3">
      <c r="A555" s="1">
        <v>42923.416666666664</v>
      </c>
    </row>
    <row r="556" spans="1:1" x14ac:dyDescent="0.3">
      <c r="A556" s="1">
        <v>42924.416666666664</v>
      </c>
    </row>
    <row r="557" spans="1:1" x14ac:dyDescent="0.3">
      <c r="A557" s="1">
        <v>42925.416666666664</v>
      </c>
    </row>
    <row r="558" spans="1:1" x14ac:dyDescent="0.3">
      <c r="A558" s="1">
        <v>42926.416666666664</v>
      </c>
    </row>
    <row r="559" spans="1:1" x14ac:dyDescent="0.3">
      <c r="A559" s="1">
        <v>42927.416666666664</v>
      </c>
    </row>
    <row r="560" spans="1:1" x14ac:dyDescent="0.3">
      <c r="A560" s="1">
        <v>42928.416666666664</v>
      </c>
    </row>
    <row r="561" spans="1:1" x14ac:dyDescent="0.3">
      <c r="A561" s="1">
        <v>42929.416666666664</v>
      </c>
    </row>
    <row r="562" spans="1:1" x14ac:dyDescent="0.3">
      <c r="A562" s="1">
        <v>42930.416666666664</v>
      </c>
    </row>
    <row r="563" spans="1:1" x14ac:dyDescent="0.3">
      <c r="A563" s="1">
        <v>42931.416666666664</v>
      </c>
    </row>
    <row r="564" spans="1:1" x14ac:dyDescent="0.3">
      <c r="A564" s="1">
        <v>42932.416666666664</v>
      </c>
    </row>
    <row r="565" spans="1:1" x14ac:dyDescent="0.3">
      <c r="A565" s="1">
        <v>42933.416666666664</v>
      </c>
    </row>
    <row r="566" spans="1:1" x14ac:dyDescent="0.3">
      <c r="A566" s="1">
        <v>42934.416666666664</v>
      </c>
    </row>
    <row r="567" spans="1:1" x14ac:dyDescent="0.3">
      <c r="A567" s="1">
        <v>42935.416666666664</v>
      </c>
    </row>
    <row r="568" spans="1:1" x14ac:dyDescent="0.3">
      <c r="A568" s="1">
        <v>42936.416666666664</v>
      </c>
    </row>
    <row r="569" spans="1:1" x14ac:dyDescent="0.3">
      <c r="A569" s="1">
        <v>42937.416666666664</v>
      </c>
    </row>
    <row r="570" spans="1:1" x14ac:dyDescent="0.3">
      <c r="A570" s="1">
        <v>42938.416666666664</v>
      </c>
    </row>
    <row r="571" spans="1:1" x14ac:dyDescent="0.3">
      <c r="A571" s="1">
        <v>42939.416666666664</v>
      </c>
    </row>
    <row r="572" spans="1:1" x14ac:dyDescent="0.3">
      <c r="A572" s="1">
        <v>42940.416666666664</v>
      </c>
    </row>
    <row r="573" spans="1:1" x14ac:dyDescent="0.3">
      <c r="A573" s="1">
        <v>42941.416666666664</v>
      </c>
    </row>
    <row r="574" spans="1:1" x14ac:dyDescent="0.3">
      <c r="A574" s="1">
        <v>42942.416666666664</v>
      </c>
    </row>
    <row r="575" spans="1:1" x14ac:dyDescent="0.3">
      <c r="A575" s="1">
        <v>42943.416666666664</v>
      </c>
    </row>
    <row r="576" spans="1:1" x14ac:dyDescent="0.3">
      <c r="A576" s="1">
        <v>42944.416666666664</v>
      </c>
    </row>
    <row r="577" spans="1:1" x14ac:dyDescent="0.3">
      <c r="A577" s="1">
        <v>42945.416666666664</v>
      </c>
    </row>
    <row r="578" spans="1:1" x14ac:dyDescent="0.3">
      <c r="A578" s="1">
        <v>42946.416666666664</v>
      </c>
    </row>
    <row r="579" spans="1:1" x14ac:dyDescent="0.3">
      <c r="A579" s="1">
        <v>42947.416666666664</v>
      </c>
    </row>
    <row r="580" spans="1:1" x14ac:dyDescent="0.3">
      <c r="A580" s="1">
        <v>42948.416666666664</v>
      </c>
    </row>
    <row r="581" spans="1:1" x14ac:dyDescent="0.3">
      <c r="A581" s="1">
        <v>42949.416666666664</v>
      </c>
    </row>
    <row r="582" spans="1:1" x14ac:dyDescent="0.3">
      <c r="A582" s="1">
        <v>42950.416666666664</v>
      </c>
    </row>
    <row r="583" spans="1:1" x14ac:dyDescent="0.3">
      <c r="A583" s="1">
        <v>42951.416666666664</v>
      </c>
    </row>
    <row r="584" spans="1:1" x14ac:dyDescent="0.3">
      <c r="A584" s="1">
        <v>42952.416666666664</v>
      </c>
    </row>
    <row r="585" spans="1:1" x14ac:dyDescent="0.3">
      <c r="A585" s="1">
        <v>42953.416666666664</v>
      </c>
    </row>
    <row r="586" spans="1:1" x14ac:dyDescent="0.3">
      <c r="A586" s="1">
        <v>42954.416666666664</v>
      </c>
    </row>
    <row r="587" spans="1:1" x14ac:dyDescent="0.3">
      <c r="A587" s="1">
        <v>42955.416666666664</v>
      </c>
    </row>
    <row r="588" spans="1:1" x14ac:dyDescent="0.3">
      <c r="A588" s="1">
        <v>42956.416666666664</v>
      </c>
    </row>
    <row r="589" spans="1:1" x14ac:dyDescent="0.3">
      <c r="A589" s="1">
        <v>42957.416666666664</v>
      </c>
    </row>
    <row r="590" spans="1:1" x14ac:dyDescent="0.3">
      <c r="A590" s="1">
        <v>42958.416666666664</v>
      </c>
    </row>
    <row r="591" spans="1:1" x14ac:dyDescent="0.3">
      <c r="A591" s="1">
        <v>42959.416666666664</v>
      </c>
    </row>
    <row r="592" spans="1:1" x14ac:dyDescent="0.3">
      <c r="A592" s="1">
        <v>42960.416666666664</v>
      </c>
    </row>
    <row r="593" spans="1:1" x14ac:dyDescent="0.3">
      <c r="A593" s="1">
        <v>42961.416666666664</v>
      </c>
    </row>
    <row r="594" spans="1:1" x14ac:dyDescent="0.3">
      <c r="A594" s="1">
        <v>42962.416666666664</v>
      </c>
    </row>
    <row r="595" spans="1:1" x14ac:dyDescent="0.3">
      <c r="A595" s="1">
        <v>42963.416666666664</v>
      </c>
    </row>
    <row r="596" spans="1:1" x14ac:dyDescent="0.3">
      <c r="A596" s="1">
        <v>42964.416666666664</v>
      </c>
    </row>
    <row r="597" spans="1:1" x14ac:dyDescent="0.3">
      <c r="A597" s="1">
        <v>42965.416666666664</v>
      </c>
    </row>
    <row r="598" spans="1:1" x14ac:dyDescent="0.3">
      <c r="A598" s="1">
        <v>42966.416666666664</v>
      </c>
    </row>
    <row r="599" spans="1:1" x14ac:dyDescent="0.3">
      <c r="A599" s="1">
        <v>42967.416666666664</v>
      </c>
    </row>
    <row r="600" spans="1:1" x14ac:dyDescent="0.3">
      <c r="A600" s="1">
        <v>42968.416666666664</v>
      </c>
    </row>
    <row r="601" spans="1:1" x14ac:dyDescent="0.3">
      <c r="A601" s="1">
        <v>42969.416666666664</v>
      </c>
    </row>
    <row r="602" spans="1:1" x14ac:dyDescent="0.3">
      <c r="A602" s="1">
        <v>42970.416666666664</v>
      </c>
    </row>
    <row r="603" spans="1:1" x14ac:dyDescent="0.3">
      <c r="A603" s="1">
        <v>42971.416666666664</v>
      </c>
    </row>
    <row r="604" spans="1:1" x14ac:dyDescent="0.3">
      <c r="A604" s="1">
        <v>42972.416666666664</v>
      </c>
    </row>
    <row r="605" spans="1:1" x14ac:dyDescent="0.3">
      <c r="A605" s="1">
        <v>42973.416666666664</v>
      </c>
    </row>
    <row r="606" spans="1:1" x14ac:dyDescent="0.3">
      <c r="A606" s="1">
        <v>42974.416666666664</v>
      </c>
    </row>
    <row r="607" spans="1:1" x14ac:dyDescent="0.3">
      <c r="A607" s="1">
        <v>42975.416666666664</v>
      </c>
    </row>
    <row r="608" spans="1:1" x14ac:dyDescent="0.3">
      <c r="A608" s="1">
        <v>42976.416666666664</v>
      </c>
    </row>
    <row r="609" spans="1:1" x14ac:dyDescent="0.3">
      <c r="A609" s="1">
        <v>42977.416666666664</v>
      </c>
    </row>
    <row r="610" spans="1:1" x14ac:dyDescent="0.3">
      <c r="A610" s="1">
        <v>42978.416666666664</v>
      </c>
    </row>
    <row r="611" spans="1:1" x14ac:dyDescent="0.3">
      <c r="A611" s="1">
        <v>42979.416666666664</v>
      </c>
    </row>
    <row r="612" spans="1:1" x14ac:dyDescent="0.3">
      <c r="A612" s="1">
        <v>42980.416666666664</v>
      </c>
    </row>
    <row r="613" spans="1:1" x14ac:dyDescent="0.3">
      <c r="A613" s="1">
        <v>42981.416666666664</v>
      </c>
    </row>
    <row r="614" spans="1:1" x14ac:dyDescent="0.3">
      <c r="A614" s="1">
        <v>42982.416666666664</v>
      </c>
    </row>
    <row r="615" spans="1:1" x14ac:dyDescent="0.3">
      <c r="A615" s="1">
        <v>42983.416666666664</v>
      </c>
    </row>
    <row r="616" spans="1:1" x14ac:dyDescent="0.3">
      <c r="A616" s="1">
        <v>42984.416666666664</v>
      </c>
    </row>
    <row r="617" spans="1:1" x14ac:dyDescent="0.3">
      <c r="A617" s="1">
        <v>42985.416666666664</v>
      </c>
    </row>
    <row r="618" spans="1:1" x14ac:dyDescent="0.3">
      <c r="A618" s="1">
        <v>42986.416666666664</v>
      </c>
    </row>
    <row r="619" spans="1:1" x14ac:dyDescent="0.3">
      <c r="A619" s="1">
        <v>42987.416666666664</v>
      </c>
    </row>
    <row r="620" spans="1:1" x14ac:dyDescent="0.3">
      <c r="A620" s="1">
        <v>42988.416666666664</v>
      </c>
    </row>
    <row r="621" spans="1:1" x14ac:dyDescent="0.3">
      <c r="A621" s="1">
        <v>42989.416666666664</v>
      </c>
    </row>
    <row r="622" spans="1:1" x14ac:dyDescent="0.3">
      <c r="A622" s="1">
        <v>42990.416666666664</v>
      </c>
    </row>
    <row r="623" spans="1:1" x14ac:dyDescent="0.3">
      <c r="A623" s="1">
        <v>42991.416666666664</v>
      </c>
    </row>
    <row r="624" spans="1:1" x14ac:dyDescent="0.3">
      <c r="A624" s="1">
        <v>42992.416666666664</v>
      </c>
    </row>
    <row r="625" spans="1:1" x14ac:dyDescent="0.3">
      <c r="A625" s="1">
        <v>42993.416666666664</v>
      </c>
    </row>
    <row r="626" spans="1:1" x14ac:dyDescent="0.3">
      <c r="A626" s="1">
        <v>42994.416666666664</v>
      </c>
    </row>
    <row r="627" spans="1:1" x14ac:dyDescent="0.3">
      <c r="A627" s="1">
        <v>42995.416666666664</v>
      </c>
    </row>
    <row r="628" spans="1:1" x14ac:dyDescent="0.3">
      <c r="A628" s="1">
        <v>42996.416666666664</v>
      </c>
    </row>
    <row r="629" spans="1:1" x14ac:dyDescent="0.3">
      <c r="A629" s="1">
        <v>42997.416666666664</v>
      </c>
    </row>
    <row r="630" spans="1:1" x14ac:dyDescent="0.3">
      <c r="A630" s="1">
        <v>42998.416666666664</v>
      </c>
    </row>
    <row r="631" spans="1:1" x14ac:dyDescent="0.3">
      <c r="A631" s="1">
        <v>42999.416666666664</v>
      </c>
    </row>
    <row r="632" spans="1:1" x14ac:dyDescent="0.3">
      <c r="A632" s="1">
        <v>43000.416666666664</v>
      </c>
    </row>
    <row r="633" spans="1:1" x14ac:dyDescent="0.3">
      <c r="A633" s="1">
        <v>43001.416666666664</v>
      </c>
    </row>
    <row r="634" spans="1:1" x14ac:dyDescent="0.3">
      <c r="A634" s="1">
        <v>43002.416666666664</v>
      </c>
    </row>
    <row r="635" spans="1:1" x14ac:dyDescent="0.3">
      <c r="A635" s="1">
        <v>43003.416666666664</v>
      </c>
    </row>
    <row r="636" spans="1:1" x14ac:dyDescent="0.3">
      <c r="A636" s="1">
        <v>43004.416666666664</v>
      </c>
    </row>
    <row r="637" spans="1:1" x14ac:dyDescent="0.3">
      <c r="A637" s="1">
        <v>43005.416666666664</v>
      </c>
    </row>
    <row r="638" spans="1:1" x14ac:dyDescent="0.3">
      <c r="A638" s="1">
        <v>43006.416666666664</v>
      </c>
    </row>
    <row r="639" spans="1:1" x14ac:dyDescent="0.3">
      <c r="A639" s="1">
        <v>43007.416666666664</v>
      </c>
    </row>
    <row r="640" spans="1:1" x14ac:dyDescent="0.3">
      <c r="A640" s="1">
        <v>43008.416666666664</v>
      </c>
    </row>
    <row r="641" spans="1:1" x14ac:dyDescent="0.3">
      <c r="A641" s="1">
        <v>43009.416666666664</v>
      </c>
    </row>
    <row r="642" spans="1:1" x14ac:dyDescent="0.3">
      <c r="A642" s="1">
        <v>43010.416666666664</v>
      </c>
    </row>
    <row r="643" spans="1:1" x14ac:dyDescent="0.3">
      <c r="A643" s="1">
        <v>43011.416666666664</v>
      </c>
    </row>
    <row r="644" spans="1:1" x14ac:dyDescent="0.3">
      <c r="A644" s="1">
        <v>43012.416666666664</v>
      </c>
    </row>
    <row r="645" spans="1:1" x14ac:dyDescent="0.3">
      <c r="A645" s="1">
        <v>43013.416666666664</v>
      </c>
    </row>
    <row r="646" spans="1:1" x14ac:dyDescent="0.3">
      <c r="A646" s="1">
        <v>43014.416666666664</v>
      </c>
    </row>
    <row r="647" spans="1:1" x14ac:dyDescent="0.3">
      <c r="A647" s="1">
        <v>43015.416666666664</v>
      </c>
    </row>
    <row r="648" spans="1:1" x14ac:dyDescent="0.3">
      <c r="A648" s="1">
        <v>43016.416666666664</v>
      </c>
    </row>
    <row r="649" spans="1:1" x14ac:dyDescent="0.3">
      <c r="A649" s="1">
        <v>43017.416666666664</v>
      </c>
    </row>
    <row r="650" spans="1:1" x14ac:dyDescent="0.3">
      <c r="A650" s="1">
        <v>43018.416666666664</v>
      </c>
    </row>
    <row r="651" spans="1:1" x14ac:dyDescent="0.3">
      <c r="A651" s="1">
        <v>43019.416666666664</v>
      </c>
    </row>
    <row r="652" spans="1:1" x14ac:dyDescent="0.3">
      <c r="A652" s="1">
        <v>43020.416666666664</v>
      </c>
    </row>
    <row r="653" spans="1:1" x14ac:dyDescent="0.3">
      <c r="A653" s="1">
        <v>43021.416666666664</v>
      </c>
    </row>
    <row r="654" spans="1:1" x14ac:dyDescent="0.3">
      <c r="A654" s="1">
        <v>43022.416666666664</v>
      </c>
    </row>
    <row r="655" spans="1:1" x14ac:dyDescent="0.3">
      <c r="A655" s="1">
        <v>43023.416666666664</v>
      </c>
    </row>
    <row r="656" spans="1:1" x14ac:dyDescent="0.3">
      <c r="A656" s="1">
        <v>43024.416666666664</v>
      </c>
    </row>
    <row r="657" spans="1:1" x14ac:dyDescent="0.3">
      <c r="A657" s="1">
        <v>43025.416666666664</v>
      </c>
    </row>
    <row r="658" spans="1:1" x14ac:dyDescent="0.3">
      <c r="A658" s="1">
        <v>43026.416666666664</v>
      </c>
    </row>
    <row r="659" spans="1:1" x14ac:dyDescent="0.3">
      <c r="A659" s="1">
        <v>43027.416666666664</v>
      </c>
    </row>
    <row r="660" spans="1:1" x14ac:dyDescent="0.3">
      <c r="A660" s="1">
        <v>43028.416666666664</v>
      </c>
    </row>
    <row r="661" spans="1:1" x14ac:dyDescent="0.3">
      <c r="A661" s="1">
        <v>43029.416666666664</v>
      </c>
    </row>
    <row r="662" spans="1:1" x14ac:dyDescent="0.3">
      <c r="A662" s="1">
        <v>43030.416666666664</v>
      </c>
    </row>
    <row r="663" spans="1:1" x14ac:dyDescent="0.3">
      <c r="A663" s="1">
        <v>43031.416666666664</v>
      </c>
    </row>
    <row r="664" spans="1:1" x14ac:dyDescent="0.3">
      <c r="A664" s="1">
        <v>43032.416666666664</v>
      </c>
    </row>
    <row r="665" spans="1:1" x14ac:dyDescent="0.3">
      <c r="A665" s="1">
        <v>43033.416666666664</v>
      </c>
    </row>
    <row r="666" spans="1:1" x14ac:dyDescent="0.3">
      <c r="A666" s="1">
        <v>43034.416666666664</v>
      </c>
    </row>
    <row r="667" spans="1:1" x14ac:dyDescent="0.3">
      <c r="A667" s="1">
        <v>43035.416666666664</v>
      </c>
    </row>
    <row r="668" spans="1:1" x14ac:dyDescent="0.3">
      <c r="A668" s="1">
        <v>43036.416666666664</v>
      </c>
    </row>
    <row r="669" spans="1:1" x14ac:dyDescent="0.3">
      <c r="A669" s="1">
        <v>43037.416666666664</v>
      </c>
    </row>
    <row r="670" spans="1:1" x14ac:dyDescent="0.3">
      <c r="A670" s="1">
        <v>43038.416666666664</v>
      </c>
    </row>
    <row r="671" spans="1:1" x14ac:dyDescent="0.3">
      <c r="A671" s="1">
        <v>43039.416666666664</v>
      </c>
    </row>
    <row r="672" spans="1:1" x14ac:dyDescent="0.3">
      <c r="A672" s="1">
        <v>43040.416666666664</v>
      </c>
    </row>
    <row r="673" spans="1:1" x14ac:dyDescent="0.3">
      <c r="A673" s="1">
        <v>43041.416666666664</v>
      </c>
    </row>
    <row r="674" spans="1:1" x14ac:dyDescent="0.3">
      <c r="A674" s="1">
        <v>43042.416666666664</v>
      </c>
    </row>
    <row r="675" spans="1:1" x14ac:dyDescent="0.3">
      <c r="A675" s="1">
        <v>43043.416666666664</v>
      </c>
    </row>
    <row r="676" spans="1:1" x14ac:dyDescent="0.3">
      <c r="A676" s="1">
        <v>43044.416666666664</v>
      </c>
    </row>
    <row r="677" spans="1:1" x14ac:dyDescent="0.3">
      <c r="A677" s="1">
        <v>43045.416666666664</v>
      </c>
    </row>
    <row r="678" spans="1:1" x14ac:dyDescent="0.3">
      <c r="A678" s="1">
        <v>43046.416666666664</v>
      </c>
    </row>
    <row r="679" spans="1:1" x14ac:dyDescent="0.3">
      <c r="A679" s="1">
        <v>43047.416666666664</v>
      </c>
    </row>
    <row r="680" spans="1:1" x14ac:dyDescent="0.3">
      <c r="A680" s="1">
        <v>43048.416666666664</v>
      </c>
    </row>
    <row r="681" spans="1:1" x14ac:dyDescent="0.3">
      <c r="A681" s="1">
        <v>43049.416666666664</v>
      </c>
    </row>
    <row r="682" spans="1:1" x14ac:dyDescent="0.3">
      <c r="A682" s="1">
        <v>43050.416666666664</v>
      </c>
    </row>
    <row r="683" spans="1:1" x14ac:dyDescent="0.3">
      <c r="A683" s="1">
        <v>43051.416666666664</v>
      </c>
    </row>
    <row r="684" spans="1:1" x14ac:dyDescent="0.3">
      <c r="A684" s="1">
        <v>43052.416666666664</v>
      </c>
    </row>
    <row r="685" spans="1:1" x14ac:dyDescent="0.3">
      <c r="A685" s="1">
        <v>43053.416666666664</v>
      </c>
    </row>
    <row r="686" spans="1:1" x14ac:dyDescent="0.3">
      <c r="A686" s="1">
        <v>43054.416666666664</v>
      </c>
    </row>
    <row r="687" spans="1:1" x14ac:dyDescent="0.3">
      <c r="A687" s="1">
        <v>43055.416666666664</v>
      </c>
    </row>
    <row r="688" spans="1:1" x14ac:dyDescent="0.3">
      <c r="A688" s="1">
        <v>43056.416666666664</v>
      </c>
    </row>
    <row r="689" spans="1:1" x14ac:dyDescent="0.3">
      <c r="A689" s="1">
        <v>43057.416666666664</v>
      </c>
    </row>
    <row r="690" spans="1:1" x14ac:dyDescent="0.3">
      <c r="A690" s="1">
        <v>43058.416666666664</v>
      </c>
    </row>
    <row r="691" spans="1:1" x14ac:dyDescent="0.3">
      <c r="A691" s="1">
        <v>43059.416666666664</v>
      </c>
    </row>
    <row r="692" spans="1:1" x14ac:dyDescent="0.3">
      <c r="A692" s="1">
        <v>43060.416666666664</v>
      </c>
    </row>
    <row r="693" spans="1:1" x14ac:dyDescent="0.3">
      <c r="A693" s="1">
        <v>43061.416666666664</v>
      </c>
    </row>
    <row r="694" spans="1:1" x14ac:dyDescent="0.3">
      <c r="A694" s="1">
        <v>43062.416666666664</v>
      </c>
    </row>
    <row r="695" spans="1:1" x14ac:dyDescent="0.3">
      <c r="A695" s="1">
        <v>43063.416666666664</v>
      </c>
    </row>
    <row r="696" spans="1:1" x14ac:dyDescent="0.3">
      <c r="A696" s="1">
        <v>43064.416666666664</v>
      </c>
    </row>
    <row r="697" spans="1:1" x14ac:dyDescent="0.3">
      <c r="A697" s="1">
        <v>43065.416666666664</v>
      </c>
    </row>
    <row r="698" spans="1:1" x14ac:dyDescent="0.3">
      <c r="A698" s="1">
        <v>43066.416666666664</v>
      </c>
    </row>
    <row r="699" spans="1:1" x14ac:dyDescent="0.3">
      <c r="A699" s="1">
        <v>43067.416666666664</v>
      </c>
    </row>
    <row r="700" spans="1:1" x14ac:dyDescent="0.3">
      <c r="A700" s="1">
        <v>43068.416666666664</v>
      </c>
    </row>
    <row r="701" spans="1:1" x14ac:dyDescent="0.3">
      <c r="A701" s="1">
        <v>43069.416666666664</v>
      </c>
    </row>
    <row r="702" spans="1:1" x14ac:dyDescent="0.3">
      <c r="A702" s="1">
        <v>43070.416666666664</v>
      </c>
    </row>
    <row r="703" spans="1:1" x14ac:dyDescent="0.3">
      <c r="A703" s="1">
        <v>43071.416666666664</v>
      </c>
    </row>
    <row r="704" spans="1:1" x14ac:dyDescent="0.3">
      <c r="A704" s="1">
        <v>43072.416666666664</v>
      </c>
    </row>
    <row r="705" spans="1:1" x14ac:dyDescent="0.3">
      <c r="A705" s="1">
        <v>43073.416666666664</v>
      </c>
    </row>
    <row r="706" spans="1:1" x14ac:dyDescent="0.3">
      <c r="A706" s="1">
        <v>43074.416666666664</v>
      </c>
    </row>
    <row r="707" spans="1:1" x14ac:dyDescent="0.3">
      <c r="A707" s="1">
        <v>43075.416666666664</v>
      </c>
    </row>
    <row r="708" spans="1:1" x14ac:dyDescent="0.3">
      <c r="A708" s="1">
        <v>43076.416666666664</v>
      </c>
    </row>
    <row r="709" spans="1:1" x14ac:dyDescent="0.3">
      <c r="A709" s="1">
        <v>43077.416666666664</v>
      </c>
    </row>
    <row r="710" spans="1:1" x14ac:dyDescent="0.3">
      <c r="A710" s="1">
        <v>43078.416666666664</v>
      </c>
    </row>
    <row r="711" spans="1:1" x14ac:dyDescent="0.3">
      <c r="A711" s="1">
        <v>43079.416666666664</v>
      </c>
    </row>
    <row r="712" spans="1:1" x14ac:dyDescent="0.3">
      <c r="A712" s="1">
        <v>43080.416666666664</v>
      </c>
    </row>
    <row r="713" spans="1:1" x14ac:dyDescent="0.3">
      <c r="A713" s="1">
        <v>43081.416666666664</v>
      </c>
    </row>
    <row r="714" spans="1:1" x14ac:dyDescent="0.3">
      <c r="A714" s="1">
        <v>43082.416666666664</v>
      </c>
    </row>
    <row r="715" spans="1:1" x14ac:dyDescent="0.3">
      <c r="A715" s="1">
        <v>43083.416666666664</v>
      </c>
    </row>
    <row r="716" spans="1:1" x14ac:dyDescent="0.3">
      <c r="A716" s="1">
        <v>43084.416666666664</v>
      </c>
    </row>
    <row r="717" spans="1:1" x14ac:dyDescent="0.3">
      <c r="A717" s="1">
        <v>43085.416666666664</v>
      </c>
    </row>
    <row r="718" spans="1:1" x14ac:dyDescent="0.3">
      <c r="A718" s="1">
        <v>43086.416666666664</v>
      </c>
    </row>
    <row r="719" spans="1:1" x14ac:dyDescent="0.3">
      <c r="A719" s="1">
        <v>43087.416666666664</v>
      </c>
    </row>
    <row r="720" spans="1:1" x14ac:dyDescent="0.3">
      <c r="A720" s="1">
        <v>43088.416666666664</v>
      </c>
    </row>
    <row r="721" spans="1:1" x14ac:dyDescent="0.3">
      <c r="A721" s="1">
        <v>43089.416666666664</v>
      </c>
    </row>
    <row r="722" spans="1:1" x14ac:dyDescent="0.3">
      <c r="A722" s="1">
        <v>43090.416666666664</v>
      </c>
    </row>
    <row r="723" spans="1:1" x14ac:dyDescent="0.3">
      <c r="A723" s="1">
        <v>43091.416666666664</v>
      </c>
    </row>
    <row r="724" spans="1:1" x14ac:dyDescent="0.3">
      <c r="A724" s="1">
        <v>43092.416666666664</v>
      </c>
    </row>
    <row r="725" spans="1:1" x14ac:dyDescent="0.3">
      <c r="A725" s="1">
        <v>43093.416666666664</v>
      </c>
    </row>
    <row r="726" spans="1:1" x14ac:dyDescent="0.3">
      <c r="A726" s="1">
        <v>43094.416666666664</v>
      </c>
    </row>
    <row r="727" spans="1:1" x14ac:dyDescent="0.3">
      <c r="A727" s="1">
        <v>43095.416666666664</v>
      </c>
    </row>
    <row r="728" spans="1:1" x14ac:dyDescent="0.3">
      <c r="A728" s="1">
        <v>43096.416666666664</v>
      </c>
    </row>
    <row r="729" spans="1:1" x14ac:dyDescent="0.3">
      <c r="A729" s="1">
        <v>43097.416666666664</v>
      </c>
    </row>
    <row r="730" spans="1:1" x14ac:dyDescent="0.3">
      <c r="A730" s="1">
        <v>43098.416666666664</v>
      </c>
    </row>
    <row r="731" spans="1:1" x14ac:dyDescent="0.3">
      <c r="A731" s="1">
        <v>43099.416666666664</v>
      </c>
    </row>
    <row r="732" spans="1:1" x14ac:dyDescent="0.3">
      <c r="A732" s="1">
        <v>43100.416666666664</v>
      </c>
    </row>
    <row r="733" spans="1:1" x14ac:dyDescent="0.3">
      <c r="A733" s="1">
        <v>43101.416666666664</v>
      </c>
    </row>
    <row r="734" spans="1:1" x14ac:dyDescent="0.3">
      <c r="A734" s="1">
        <v>43102.416666666664</v>
      </c>
    </row>
    <row r="735" spans="1:1" x14ac:dyDescent="0.3">
      <c r="A735" s="1">
        <v>43103.416666666664</v>
      </c>
    </row>
    <row r="736" spans="1:1" x14ac:dyDescent="0.3">
      <c r="A736" s="1">
        <v>43104.416666666664</v>
      </c>
    </row>
    <row r="737" spans="1:1" x14ac:dyDescent="0.3">
      <c r="A737" s="1">
        <v>43105.416666666664</v>
      </c>
    </row>
    <row r="738" spans="1:1" x14ac:dyDescent="0.3">
      <c r="A738" s="1">
        <v>43106.416666666664</v>
      </c>
    </row>
    <row r="739" spans="1:1" x14ac:dyDescent="0.3">
      <c r="A739" s="1">
        <v>43107.416666666664</v>
      </c>
    </row>
    <row r="740" spans="1:1" x14ac:dyDescent="0.3">
      <c r="A740" s="1">
        <v>43108.416666666664</v>
      </c>
    </row>
    <row r="741" spans="1:1" x14ac:dyDescent="0.3">
      <c r="A741" s="1">
        <v>43109.416666666664</v>
      </c>
    </row>
    <row r="742" spans="1:1" x14ac:dyDescent="0.3">
      <c r="A742" s="1">
        <v>43110.416666666664</v>
      </c>
    </row>
    <row r="743" spans="1:1" x14ac:dyDescent="0.3">
      <c r="A743" s="1">
        <v>43111.416666666664</v>
      </c>
    </row>
    <row r="744" spans="1:1" x14ac:dyDescent="0.3">
      <c r="A744" s="1">
        <v>43112.416666666664</v>
      </c>
    </row>
    <row r="745" spans="1:1" x14ac:dyDescent="0.3">
      <c r="A745" s="1">
        <v>43113.416666666664</v>
      </c>
    </row>
    <row r="746" spans="1:1" x14ac:dyDescent="0.3">
      <c r="A746" s="1">
        <v>43114.416666666664</v>
      </c>
    </row>
    <row r="747" spans="1:1" x14ac:dyDescent="0.3">
      <c r="A747" s="1">
        <v>43115.416666666664</v>
      </c>
    </row>
    <row r="748" spans="1:1" x14ac:dyDescent="0.3">
      <c r="A748" s="1">
        <v>43116.416666666664</v>
      </c>
    </row>
    <row r="749" spans="1:1" x14ac:dyDescent="0.3">
      <c r="A749" s="1">
        <v>43117.416666666664</v>
      </c>
    </row>
    <row r="750" spans="1:1" x14ac:dyDescent="0.3">
      <c r="A750" s="1">
        <v>43118.416666666664</v>
      </c>
    </row>
    <row r="751" spans="1:1" x14ac:dyDescent="0.3">
      <c r="A751" s="1">
        <v>43119.416666666664</v>
      </c>
    </row>
    <row r="752" spans="1:1" x14ac:dyDescent="0.3">
      <c r="A752" s="1">
        <v>43120.416666666664</v>
      </c>
    </row>
    <row r="753" spans="1:1" x14ac:dyDescent="0.3">
      <c r="A753" s="1">
        <v>43121.416666666664</v>
      </c>
    </row>
    <row r="754" spans="1:1" x14ac:dyDescent="0.3">
      <c r="A754" s="1">
        <v>43122.416666666664</v>
      </c>
    </row>
    <row r="755" spans="1:1" x14ac:dyDescent="0.3">
      <c r="A755" s="1">
        <v>43123.416666666664</v>
      </c>
    </row>
    <row r="756" spans="1:1" x14ac:dyDescent="0.3">
      <c r="A756" s="1">
        <v>43124.416666666664</v>
      </c>
    </row>
    <row r="757" spans="1:1" x14ac:dyDescent="0.3">
      <c r="A757" s="1">
        <v>43125.416666666664</v>
      </c>
    </row>
    <row r="758" spans="1:1" x14ac:dyDescent="0.3">
      <c r="A758" s="1">
        <v>43126.416666666664</v>
      </c>
    </row>
    <row r="759" spans="1:1" x14ac:dyDescent="0.3">
      <c r="A759" s="1">
        <v>43127.416666666664</v>
      </c>
    </row>
    <row r="760" spans="1:1" x14ac:dyDescent="0.3">
      <c r="A760" s="1">
        <v>43128.416666666664</v>
      </c>
    </row>
    <row r="761" spans="1:1" x14ac:dyDescent="0.3">
      <c r="A761" s="1">
        <v>43129.416666666664</v>
      </c>
    </row>
    <row r="762" spans="1:1" x14ac:dyDescent="0.3">
      <c r="A762" s="1">
        <v>43130.416666666664</v>
      </c>
    </row>
    <row r="763" spans="1:1" x14ac:dyDescent="0.3">
      <c r="A763" s="1">
        <v>43131.416666666664</v>
      </c>
    </row>
    <row r="764" spans="1:1" x14ac:dyDescent="0.3">
      <c r="A764" s="1">
        <v>43132.416666666664</v>
      </c>
    </row>
    <row r="765" spans="1:1" x14ac:dyDescent="0.3">
      <c r="A765" s="1">
        <v>43133.416666666664</v>
      </c>
    </row>
    <row r="766" spans="1:1" x14ac:dyDescent="0.3">
      <c r="A766" s="1">
        <v>43134.416666666664</v>
      </c>
    </row>
    <row r="767" spans="1:1" x14ac:dyDescent="0.3">
      <c r="A767" s="1">
        <v>43135.416666666664</v>
      </c>
    </row>
    <row r="768" spans="1:1" x14ac:dyDescent="0.3">
      <c r="A768" s="1">
        <v>43136.416666666664</v>
      </c>
    </row>
    <row r="769" spans="1:1" x14ac:dyDescent="0.3">
      <c r="A769" s="1">
        <v>43137.416666666664</v>
      </c>
    </row>
    <row r="770" spans="1:1" x14ac:dyDescent="0.3">
      <c r="A770" s="1">
        <v>43138.416666666664</v>
      </c>
    </row>
    <row r="771" spans="1:1" x14ac:dyDescent="0.3">
      <c r="A771" s="1">
        <v>43139.416666666664</v>
      </c>
    </row>
    <row r="772" spans="1:1" x14ac:dyDescent="0.3">
      <c r="A772" s="1">
        <v>43140.416666666664</v>
      </c>
    </row>
    <row r="773" spans="1:1" x14ac:dyDescent="0.3">
      <c r="A773" s="1">
        <v>43141.416666666664</v>
      </c>
    </row>
    <row r="774" spans="1:1" x14ac:dyDescent="0.3">
      <c r="A774" s="1">
        <v>43142.416666666664</v>
      </c>
    </row>
    <row r="775" spans="1:1" x14ac:dyDescent="0.3">
      <c r="A775" s="1">
        <v>43143.416666666664</v>
      </c>
    </row>
    <row r="776" spans="1:1" x14ac:dyDescent="0.3">
      <c r="A776" s="1">
        <v>43144.416666666664</v>
      </c>
    </row>
    <row r="777" spans="1:1" x14ac:dyDescent="0.3">
      <c r="A777" s="1">
        <v>43145.416666666664</v>
      </c>
    </row>
    <row r="778" spans="1:1" x14ac:dyDescent="0.3">
      <c r="A778" s="1">
        <v>43146.416666666664</v>
      </c>
    </row>
    <row r="779" spans="1:1" x14ac:dyDescent="0.3">
      <c r="A779" s="1">
        <v>43147.416666666664</v>
      </c>
    </row>
    <row r="780" spans="1:1" x14ac:dyDescent="0.3">
      <c r="A780" s="1">
        <v>43148.416666666664</v>
      </c>
    </row>
    <row r="781" spans="1:1" x14ac:dyDescent="0.3">
      <c r="A781" s="1">
        <v>43149.416666666664</v>
      </c>
    </row>
    <row r="782" spans="1:1" x14ac:dyDescent="0.3">
      <c r="A782" s="1">
        <v>43150.416666666664</v>
      </c>
    </row>
    <row r="783" spans="1:1" x14ac:dyDescent="0.3">
      <c r="A783" s="1">
        <v>43151.416666666664</v>
      </c>
    </row>
    <row r="784" spans="1:1" x14ac:dyDescent="0.3">
      <c r="A784" s="1">
        <v>43152.416666666664</v>
      </c>
    </row>
    <row r="785" spans="1:1" x14ac:dyDescent="0.3">
      <c r="A785" s="1">
        <v>43153.416666666664</v>
      </c>
    </row>
    <row r="786" spans="1:1" x14ac:dyDescent="0.3">
      <c r="A786" s="1">
        <v>43154.416666666664</v>
      </c>
    </row>
    <row r="787" spans="1:1" x14ac:dyDescent="0.3">
      <c r="A787" s="1">
        <v>43155.416666666664</v>
      </c>
    </row>
    <row r="788" spans="1:1" x14ac:dyDescent="0.3">
      <c r="A788" s="1">
        <v>43156.416666666664</v>
      </c>
    </row>
    <row r="789" spans="1:1" x14ac:dyDescent="0.3">
      <c r="A789" s="1">
        <v>43157.416666666664</v>
      </c>
    </row>
    <row r="790" spans="1:1" x14ac:dyDescent="0.3">
      <c r="A790" s="1">
        <v>43158.416666666664</v>
      </c>
    </row>
    <row r="791" spans="1:1" x14ac:dyDescent="0.3">
      <c r="A791" s="1">
        <v>43159.416666666664</v>
      </c>
    </row>
    <row r="792" spans="1:1" x14ac:dyDescent="0.3">
      <c r="A792" s="1">
        <v>43160.416666666664</v>
      </c>
    </row>
    <row r="793" spans="1:1" x14ac:dyDescent="0.3">
      <c r="A793" s="1">
        <v>43161.416666666664</v>
      </c>
    </row>
    <row r="794" spans="1:1" x14ac:dyDescent="0.3">
      <c r="A794" s="1">
        <v>43162.416666666664</v>
      </c>
    </row>
    <row r="795" spans="1:1" x14ac:dyDescent="0.3">
      <c r="A795" s="1">
        <v>43163.416666666664</v>
      </c>
    </row>
    <row r="796" spans="1:1" x14ac:dyDescent="0.3">
      <c r="A796" s="1">
        <v>43164.416666666664</v>
      </c>
    </row>
    <row r="797" spans="1:1" x14ac:dyDescent="0.3">
      <c r="A797" s="1">
        <v>43165.416666666664</v>
      </c>
    </row>
    <row r="798" spans="1:1" x14ac:dyDescent="0.3">
      <c r="A798" s="1">
        <v>43166.416666666664</v>
      </c>
    </row>
    <row r="799" spans="1:1" x14ac:dyDescent="0.3">
      <c r="A799" s="1">
        <v>43167.416666666664</v>
      </c>
    </row>
    <row r="800" spans="1:1" x14ac:dyDescent="0.3">
      <c r="A800" s="1">
        <v>43168.416666666664</v>
      </c>
    </row>
    <row r="801" spans="1:1" x14ac:dyDescent="0.3">
      <c r="A801" s="1">
        <v>43169.416666666664</v>
      </c>
    </row>
    <row r="802" spans="1:1" x14ac:dyDescent="0.3">
      <c r="A802" s="1">
        <v>43170.416666666664</v>
      </c>
    </row>
    <row r="803" spans="1:1" x14ac:dyDescent="0.3">
      <c r="A803" s="1">
        <v>43171.416666666664</v>
      </c>
    </row>
    <row r="804" spans="1:1" x14ac:dyDescent="0.3">
      <c r="A804" s="1">
        <v>43172.416666666664</v>
      </c>
    </row>
    <row r="805" spans="1:1" x14ac:dyDescent="0.3">
      <c r="A805" s="1">
        <v>43173.416666666664</v>
      </c>
    </row>
    <row r="806" spans="1:1" x14ac:dyDescent="0.3">
      <c r="A806" s="1">
        <v>43174.416666666664</v>
      </c>
    </row>
    <row r="807" spans="1:1" x14ac:dyDescent="0.3">
      <c r="A807" s="1">
        <v>43175.416666666664</v>
      </c>
    </row>
    <row r="808" spans="1:1" x14ac:dyDescent="0.3">
      <c r="A808" s="1">
        <v>43176.416666666664</v>
      </c>
    </row>
    <row r="809" spans="1:1" x14ac:dyDescent="0.3">
      <c r="A809" s="1">
        <v>43177.416666666664</v>
      </c>
    </row>
    <row r="810" spans="1:1" x14ac:dyDescent="0.3">
      <c r="A810" s="1">
        <v>43178.416666666664</v>
      </c>
    </row>
    <row r="811" spans="1:1" x14ac:dyDescent="0.3">
      <c r="A811" s="1">
        <v>43179.416666666664</v>
      </c>
    </row>
    <row r="812" spans="1:1" x14ac:dyDescent="0.3">
      <c r="A812" s="1">
        <v>43180.416666666664</v>
      </c>
    </row>
    <row r="813" spans="1:1" x14ac:dyDescent="0.3">
      <c r="A813" s="1">
        <v>43181.416666666664</v>
      </c>
    </row>
    <row r="814" spans="1:1" x14ac:dyDescent="0.3">
      <c r="A814" s="1">
        <v>43182.416666666664</v>
      </c>
    </row>
    <row r="815" spans="1:1" x14ac:dyDescent="0.3">
      <c r="A815" s="1">
        <v>43183.416666666664</v>
      </c>
    </row>
    <row r="816" spans="1:1" x14ac:dyDescent="0.3">
      <c r="A816" s="1">
        <v>43184.416666666664</v>
      </c>
    </row>
    <row r="817" spans="1:1" x14ac:dyDescent="0.3">
      <c r="A817" s="1">
        <v>43185.416666666664</v>
      </c>
    </row>
    <row r="818" spans="1:1" x14ac:dyDescent="0.3">
      <c r="A818" s="1">
        <v>43186.416666666664</v>
      </c>
    </row>
    <row r="819" spans="1:1" x14ac:dyDescent="0.3">
      <c r="A819" s="1">
        <v>43187.416666666664</v>
      </c>
    </row>
    <row r="820" spans="1:1" x14ac:dyDescent="0.3">
      <c r="A820" s="1">
        <v>43188.416666666664</v>
      </c>
    </row>
    <row r="821" spans="1:1" x14ac:dyDescent="0.3">
      <c r="A821" s="1">
        <v>43189.416666666664</v>
      </c>
    </row>
    <row r="822" spans="1:1" x14ac:dyDescent="0.3">
      <c r="A822" s="1">
        <v>43190.416666666664</v>
      </c>
    </row>
    <row r="823" spans="1:1" x14ac:dyDescent="0.3">
      <c r="A823" s="1">
        <v>43191.416666666664</v>
      </c>
    </row>
    <row r="824" spans="1:1" x14ac:dyDescent="0.3">
      <c r="A824" s="1">
        <v>43192.416666666664</v>
      </c>
    </row>
    <row r="825" spans="1:1" x14ac:dyDescent="0.3">
      <c r="A825" s="1">
        <v>43193.416666666664</v>
      </c>
    </row>
    <row r="826" spans="1:1" x14ac:dyDescent="0.3">
      <c r="A826" s="1">
        <v>43194.416666666664</v>
      </c>
    </row>
    <row r="827" spans="1:1" x14ac:dyDescent="0.3">
      <c r="A827" s="1">
        <v>43195.416666666664</v>
      </c>
    </row>
    <row r="828" spans="1:1" x14ac:dyDescent="0.3">
      <c r="A828" s="1">
        <v>43196.416666666664</v>
      </c>
    </row>
    <row r="829" spans="1:1" x14ac:dyDescent="0.3">
      <c r="A829" s="1">
        <v>43197.416666666664</v>
      </c>
    </row>
    <row r="830" spans="1:1" x14ac:dyDescent="0.3">
      <c r="A830" s="1">
        <v>43198.416666666664</v>
      </c>
    </row>
    <row r="831" spans="1:1" x14ac:dyDescent="0.3">
      <c r="A831" s="1">
        <v>43199.416666666664</v>
      </c>
    </row>
    <row r="832" spans="1:1" x14ac:dyDescent="0.3">
      <c r="A832" s="1">
        <v>43200.416666666664</v>
      </c>
    </row>
    <row r="833" spans="1:1" x14ac:dyDescent="0.3">
      <c r="A833" s="1">
        <v>43201.416666666664</v>
      </c>
    </row>
    <row r="834" spans="1:1" x14ac:dyDescent="0.3">
      <c r="A834" s="1">
        <v>43202.416666666664</v>
      </c>
    </row>
    <row r="835" spans="1:1" x14ac:dyDescent="0.3">
      <c r="A835" s="1">
        <v>43203.416666666664</v>
      </c>
    </row>
    <row r="836" spans="1:1" x14ac:dyDescent="0.3">
      <c r="A836" s="1">
        <v>43204.416666666664</v>
      </c>
    </row>
    <row r="837" spans="1:1" x14ac:dyDescent="0.3">
      <c r="A837" s="1">
        <v>43205.416666666664</v>
      </c>
    </row>
    <row r="838" spans="1:1" x14ac:dyDescent="0.3">
      <c r="A838" s="1">
        <v>43206.416666666664</v>
      </c>
    </row>
    <row r="839" spans="1:1" x14ac:dyDescent="0.3">
      <c r="A839" s="1">
        <v>43207.416666666664</v>
      </c>
    </row>
    <row r="840" spans="1:1" x14ac:dyDescent="0.3">
      <c r="A840" s="1">
        <v>43208.416666666664</v>
      </c>
    </row>
    <row r="841" spans="1:1" x14ac:dyDescent="0.3">
      <c r="A841" s="1">
        <v>43209.416666666664</v>
      </c>
    </row>
    <row r="842" spans="1:1" x14ac:dyDescent="0.3">
      <c r="A842" s="1">
        <v>43210.416666666664</v>
      </c>
    </row>
    <row r="843" spans="1:1" x14ac:dyDescent="0.3">
      <c r="A843" s="1">
        <v>43211.416666666664</v>
      </c>
    </row>
    <row r="844" spans="1:1" x14ac:dyDescent="0.3">
      <c r="A844" s="1">
        <v>43212.416666666664</v>
      </c>
    </row>
    <row r="845" spans="1:1" x14ac:dyDescent="0.3">
      <c r="A845" s="1">
        <v>43213.416666666664</v>
      </c>
    </row>
    <row r="846" spans="1:1" x14ac:dyDescent="0.3">
      <c r="A846" s="1">
        <v>43214.416666666664</v>
      </c>
    </row>
    <row r="847" spans="1:1" x14ac:dyDescent="0.3">
      <c r="A847" s="1">
        <v>43215.416666666664</v>
      </c>
    </row>
    <row r="848" spans="1:1" x14ac:dyDescent="0.3">
      <c r="A848" s="1">
        <v>43216.416666666664</v>
      </c>
    </row>
    <row r="849" spans="1:1" x14ac:dyDescent="0.3">
      <c r="A849" s="1">
        <v>43217.416666666664</v>
      </c>
    </row>
    <row r="850" spans="1:1" x14ac:dyDescent="0.3">
      <c r="A850" s="1">
        <v>43218.416666666664</v>
      </c>
    </row>
    <row r="851" spans="1:1" x14ac:dyDescent="0.3">
      <c r="A851" s="1">
        <v>43219.416666666664</v>
      </c>
    </row>
    <row r="852" spans="1:1" x14ac:dyDescent="0.3">
      <c r="A852" s="1">
        <v>43220.416666666664</v>
      </c>
    </row>
    <row r="853" spans="1:1" x14ac:dyDescent="0.3">
      <c r="A853" s="1">
        <v>43221.416666666664</v>
      </c>
    </row>
    <row r="854" spans="1:1" x14ac:dyDescent="0.3">
      <c r="A854" s="1">
        <v>43222.416666666664</v>
      </c>
    </row>
    <row r="855" spans="1:1" x14ac:dyDescent="0.3">
      <c r="A855" s="1">
        <v>43223.416666666664</v>
      </c>
    </row>
    <row r="856" spans="1:1" x14ac:dyDescent="0.3">
      <c r="A856" s="1">
        <v>43224.416666666664</v>
      </c>
    </row>
    <row r="857" spans="1:1" x14ac:dyDescent="0.3">
      <c r="A857" s="1">
        <v>43225.416666666664</v>
      </c>
    </row>
    <row r="858" spans="1:1" x14ac:dyDescent="0.3">
      <c r="A858" s="1">
        <v>43226.416666666664</v>
      </c>
    </row>
    <row r="859" spans="1:1" x14ac:dyDescent="0.3">
      <c r="A859" s="1">
        <v>43227.416666666664</v>
      </c>
    </row>
    <row r="860" spans="1:1" x14ac:dyDescent="0.3">
      <c r="A860" s="1">
        <v>43228.416666666664</v>
      </c>
    </row>
    <row r="861" spans="1:1" x14ac:dyDescent="0.3">
      <c r="A861" s="1">
        <v>43229.416666666664</v>
      </c>
    </row>
    <row r="862" spans="1:1" x14ac:dyDescent="0.3">
      <c r="A862" s="1">
        <v>43230.416666666664</v>
      </c>
    </row>
    <row r="863" spans="1:1" x14ac:dyDescent="0.3">
      <c r="A863" s="1">
        <v>43231.416666666664</v>
      </c>
    </row>
    <row r="864" spans="1:1" x14ac:dyDescent="0.3">
      <c r="A864" s="1">
        <v>43232.416666666664</v>
      </c>
    </row>
    <row r="865" spans="1:1" x14ac:dyDescent="0.3">
      <c r="A865" s="1">
        <v>43233.416666666664</v>
      </c>
    </row>
    <row r="866" spans="1:1" x14ac:dyDescent="0.3">
      <c r="A866" s="1">
        <v>43234.416666666664</v>
      </c>
    </row>
    <row r="867" spans="1:1" x14ac:dyDescent="0.3">
      <c r="A867" s="1">
        <v>43235.416666666664</v>
      </c>
    </row>
    <row r="868" spans="1:1" x14ac:dyDescent="0.3">
      <c r="A868" s="1">
        <v>43236.416666666664</v>
      </c>
    </row>
    <row r="869" spans="1:1" x14ac:dyDescent="0.3">
      <c r="A869" s="1">
        <v>43237.416666666664</v>
      </c>
    </row>
    <row r="870" spans="1:1" x14ac:dyDescent="0.3">
      <c r="A870" s="1">
        <v>43238.416666666664</v>
      </c>
    </row>
    <row r="871" spans="1:1" x14ac:dyDescent="0.3">
      <c r="A871" s="1">
        <v>43239.416666666664</v>
      </c>
    </row>
    <row r="872" spans="1:1" x14ac:dyDescent="0.3">
      <c r="A872" s="1">
        <v>43240.416666666664</v>
      </c>
    </row>
    <row r="873" spans="1:1" x14ac:dyDescent="0.3">
      <c r="A873" s="1">
        <v>43241.416666666664</v>
      </c>
    </row>
    <row r="874" spans="1:1" x14ac:dyDescent="0.3">
      <c r="A874" s="1">
        <v>43242.416666666664</v>
      </c>
    </row>
    <row r="875" spans="1:1" x14ac:dyDescent="0.3">
      <c r="A875" s="1">
        <v>43243.416666666664</v>
      </c>
    </row>
    <row r="876" spans="1:1" x14ac:dyDescent="0.3">
      <c r="A876" s="1">
        <v>43244.416666666664</v>
      </c>
    </row>
    <row r="877" spans="1:1" x14ac:dyDescent="0.3">
      <c r="A877" s="1">
        <v>43245.416666666664</v>
      </c>
    </row>
    <row r="878" spans="1:1" x14ac:dyDescent="0.3">
      <c r="A878" s="1">
        <v>43246.416666666664</v>
      </c>
    </row>
    <row r="879" spans="1:1" x14ac:dyDescent="0.3">
      <c r="A879" s="1">
        <v>43247.416666666664</v>
      </c>
    </row>
    <row r="880" spans="1:1" x14ac:dyDescent="0.3">
      <c r="A880" s="1">
        <v>43248.416666666664</v>
      </c>
    </row>
    <row r="881" spans="1:1" x14ac:dyDescent="0.3">
      <c r="A881" s="1">
        <v>43249.416666666664</v>
      </c>
    </row>
    <row r="882" spans="1:1" x14ac:dyDescent="0.3">
      <c r="A882" s="1">
        <v>43250.416666666664</v>
      </c>
    </row>
    <row r="883" spans="1:1" x14ac:dyDescent="0.3">
      <c r="A883" s="1">
        <v>43251.416666666664</v>
      </c>
    </row>
    <row r="884" spans="1:1" x14ac:dyDescent="0.3">
      <c r="A884" s="1">
        <v>43252.416666666664</v>
      </c>
    </row>
    <row r="885" spans="1:1" x14ac:dyDescent="0.3">
      <c r="A885" s="1">
        <v>43253.416666666664</v>
      </c>
    </row>
    <row r="886" spans="1:1" x14ac:dyDescent="0.3">
      <c r="A886" s="1">
        <v>43254.416666666664</v>
      </c>
    </row>
    <row r="887" spans="1:1" x14ac:dyDescent="0.3">
      <c r="A887" s="1">
        <v>43255.416666666664</v>
      </c>
    </row>
    <row r="888" spans="1:1" x14ac:dyDescent="0.3">
      <c r="A888" s="1">
        <v>43256.416666666664</v>
      </c>
    </row>
    <row r="889" spans="1:1" x14ac:dyDescent="0.3">
      <c r="A889" s="1">
        <v>43257.416666666664</v>
      </c>
    </row>
    <row r="890" spans="1:1" x14ac:dyDescent="0.3">
      <c r="A890" s="1">
        <v>43258.416666666664</v>
      </c>
    </row>
    <row r="891" spans="1:1" x14ac:dyDescent="0.3">
      <c r="A891" s="1">
        <v>43259.416666666664</v>
      </c>
    </row>
    <row r="892" spans="1:1" x14ac:dyDescent="0.3">
      <c r="A892" s="1">
        <v>43260.416666666664</v>
      </c>
    </row>
    <row r="893" spans="1:1" x14ac:dyDescent="0.3">
      <c r="A893" s="1">
        <v>43261.416666666664</v>
      </c>
    </row>
    <row r="894" spans="1:1" x14ac:dyDescent="0.3">
      <c r="A894" s="1">
        <v>43262.416666666664</v>
      </c>
    </row>
    <row r="895" spans="1:1" x14ac:dyDescent="0.3">
      <c r="A895" s="1">
        <v>43263.416666666664</v>
      </c>
    </row>
    <row r="896" spans="1:1" x14ac:dyDescent="0.3">
      <c r="A896" s="1">
        <v>43264.416666666664</v>
      </c>
    </row>
    <row r="897" spans="1:1" x14ac:dyDescent="0.3">
      <c r="A897" s="1">
        <v>43265.416666666664</v>
      </c>
    </row>
    <row r="898" spans="1:1" x14ac:dyDescent="0.3">
      <c r="A898" s="1">
        <v>43266.416666666664</v>
      </c>
    </row>
    <row r="899" spans="1:1" x14ac:dyDescent="0.3">
      <c r="A899" s="1">
        <v>43267.416666666664</v>
      </c>
    </row>
    <row r="900" spans="1:1" x14ac:dyDescent="0.3">
      <c r="A900" s="1">
        <v>43268.416666666664</v>
      </c>
    </row>
    <row r="901" spans="1:1" x14ac:dyDescent="0.3">
      <c r="A901" s="1">
        <v>43269.416666666664</v>
      </c>
    </row>
    <row r="902" spans="1:1" x14ac:dyDescent="0.3">
      <c r="A902" s="1">
        <v>43270.416666666664</v>
      </c>
    </row>
    <row r="903" spans="1:1" x14ac:dyDescent="0.3">
      <c r="A903" s="1">
        <v>43271.416666666664</v>
      </c>
    </row>
    <row r="904" spans="1:1" x14ac:dyDescent="0.3">
      <c r="A904" s="1">
        <v>43272.416666666664</v>
      </c>
    </row>
    <row r="905" spans="1:1" x14ac:dyDescent="0.3">
      <c r="A905" s="1">
        <v>43273.416666666664</v>
      </c>
    </row>
    <row r="906" spans="1:1" x14ac:dyDescent="0.3">
      <c r="A906" s="1">
        <v>43274.416666666664</v>
      </c>
    </row>
    <row r="907" spans="1:1" x14ac:dyDescent="0.3">
      <c r="A907" s="1">
        <v>43275.416666666664</v>
      </c>
    </row>
    <row r="908" spans="1:1" x14ac:dyDescent="0.3">
      <c r="A908" s="1">
        <v>43276.416666666664</v>
      </c>
    </row>
    <row r="909" spans="1:1" x14ac:dyDescent="0.3">
      <c r="A909" s="1">
        <v>43277.416666666664</v>
      </c>
    </row>
    <row r="910" spans="1:1" x14ac:dyDescent="0.3">
      <c r="A910" s="1">
        <v>43278.416666666664</v>
      </c>
    </row>
    <row r="911" spans="1:1" x14ac:dyDescent="0.3">
      <c r="A911" s="1">
        <v>43279.416666666664</v>
      </c>
    </row>
    <row r="912" spans="1:1" x14ac:dyDescent="0.3">
      <c r="A912" s="1">
        <v>43280.416666666664</v>
      </c>
    </row>
    <row r="913" spans="1:1" x14ac:dyDescent="0.3">
      <c r="A913" s="1">
        <v>43281.416666666664</v>
      </c>
    </row>
    <row r="914" spans="1:1" x14ac:dyDescent="0.3">
      <c r="A914" s="1">
        <v>43282.416666666664</v>
      </c>
    </row>
    <row r="915" spans="1:1" x14ac:dyDescent="0.3">
      <c r="A915" s="1">
        <v>43283.416666666664</v>
      </c>
    </row>
    <row r="916" spans="1:1" x14ac:dyDescent="0.3">
      <c r="A916" s="1">
        <v>43284.416666666664</v>
      </c>
    </row>
    <row r="917" spans="1:1" x14ac:dyDescent="0.3">
      <c r="A917" s="1">
        <v>43285.416666666664</v>
      </c>
    </row>
    <row r="918" spans="1:1" x14ac:dyDescent="0.3">
      <c r="A918" s="1">
        <v>43286.416666666664</v>
      </c>
    </row>
    <row r="919" spans="1:1" x14ac:dyDescent="0.3">
      <c r="A919" s="1">
        <v>43287.416666666664</v>
      </c>
    </row>
    <row r="920" spans="1:1" x14ac:dyDescent="0.3">
      <c r="A920" s="1">
        <v>43288.416666666664</v>
      </c>
    </row>
    <row r="921" spans="1:1" x14ac:dyDescent="0.3">
      <c r="A921" s="1">
        <v>43289.416666666664</v>
      </c>
    </row>
    <row r="922" spans="1:1" x14ac:dyDescent="0.3">
      <c r="A922" s="1">
        <v>43290.416666666664</v>
      </c>
    </row>
    <row r="923" spans="1:1" x14ac:dyDescent="0.3">
      <c r="A923" s="1">
        <v>43291.416666666664</v>
      </c>
    </row>
    <row r="924" spans="1:1" x14ac:dyDescent="0.3">
      <c r="A924" s="1">
        <v>43292.416666666664</v>
      </c>
    </row>
    <row r="925" spans="1:1" x14ac:dyDescent="0.3">
      <c r="A925" s="1">
        <v>43293.416666666664</v>
      </c>
    </row>
    <row r="926" spans="1:1" x14ac:dyDescent="0.3">
      <c r="A926" s="1">
        <v>43294.416666666664</v>
      </c>
    </row>
    <row r="927" spans="1:1" x14ac:dyDescent="0.3">
      <c r="A927" s="1">
        <v>43295.416666666664</v>
      </c>
    </row>
    <row r="928" spans="1:1" x14ac:dyDescent="0.3">
      <c r="A928" s="1">
        <v>43296.416666666664</v>
      </c>
    </row>
    <row r="929" spans="1:1" x14ac:dyDescent="0.3">
      <c r="A929" s="1">
        <v>43297.416666666664</v>
      </c>
    </row>
    <row r="930" spans="1:1" x14ac:dyDescent="0.3">
      <c r="A930" s="1">
        <v>43298.416666666664</v>
      </c>
    </row>
    <row r="931" spans="1:1" x14ac:dyDescent="0.3">
      <c r="A931" s="1">
        <v>43299.416666666664</v>
      </c>
    </row>
    <row r="932" spans="1:1" x14ac:dyDescent="0.3">
      <c r="A932" s="1">
        <v>43300.416666666664</v>
      </c>
    </row>
    <row r="933" spans="1:1" x14ac:dyDescent="0.3">
      <c r="A933" s="1">
        <v>43301.416666666664</v>
      </c>
    </row>
    <row r="934" spans="1:1" x14ac:dyDescent="0.3">
      <c r="A934" s="1">
        <v>43302.416666666664</v>
      </c>
    </row>
    <row r="935" spans="1:1" x14ac:dyDescent="0.3">
      <c r="A935" s="1">
        <v>43303.416666666664</v>
      </c>
    </row>
    <row r="936" spans="1:1" x14ac:dyDescent="0.3">
      <c r="A936" s="1">
        <v>43304.416666666664</v>
      </c>
    </row>
    <row r="937" spans="1:1" x14ac:dyDescent="0.3">
      <c r="A937" s="1">
        <v>43305.416666666664</v>
      </c>
    </row>
    <row r="938" spans="1:1" x14ac:dyDescent="0.3">
      <c r="A938" s="1">
        <v>43306.416666666664</v>
      </c>
    </row>
    <row r="939" spans="1:1" x14ac:dyDescent="0.3">
      <c r="A939" s="1">
        <v>43307.416666666664</v>
      </c>
    </row>
    <row r="940" spans="1:1" x14ac:dyDescent="0.3">
      <c r="A940" s="1">
        <v>43308.416666666664</v>
      </c>
    </row>
    <row r="941" spans="1:1" x14ac:dyDescent="0.3">
      <c r="A941" s="1">
        <v>43309.416666666664</v>
      </c>
    </row>
    <row r="942" spans="1:1" x14ac:dyDescent="0.3">
      <c r="A942" s="1">
        <v>43310.416666666664</v>
      </c>
    </row>
    <row r="943" spans="1:1" x14ac:dyDescent="0.3">
      <c r="A943" s="1">
        <v>43311.416666666664</v>
      </c>
    </row>
    <row r="944" spans="1:1" x14ac:dyDescent="0.3">
      <c r="A944" s="1">
        <v>43312.416666666664</v>
      </c>
    </row>
    <row r="945" spans="1:1" x14ac:dyDescent="0.3">
      <c r="A945" s="1">
        <v>43313.416666666664</v>
      </c>
    </row>
    <row r="946" spans="1:1" x14ac:dyDescent="0.3">
      <c r="A946" s="1">
        <v>43314.416666666664</v>
      </c>
    </row>
    <row r="947" spans="1:1" x14ac:dyDescent="0.3">
      <c r="A947" s="1">
        <v>43315.416666666664</v>
      </c>
    </row>
    <row r="948" spans="1:1" x14ac:dyDescent="0.3">
      <c r="A948" s="1">
        <v>43316.416666666664</v>
      </c>
    </row>
    <row r="949" spans="1:1" x14ac:dyDescent="0.3">
      <c r="A949" s="1">
        <v>43317.416666666664</v>
      </c>
    </row>
    <row r="950" spans="1:1" x14ac:dyDescent="0.3">
      <c r="A950" s="1">
        <v>43318.416666666664</v>
      </c>
    </row>
    <row r="951" spans="1:1" x14ac:dyDescent="0.3">
      <c r="A951" s="1">
        <v>43319.416666666664</v>
      </c>
    </row>
    <row r="952" spans="1:1" x14ac:dyDescent="0.3">
      <c r="A952" s="1">
        <v>43320.416666666664</v>
      </c>
    </row>
    <row r="953" spans="1:1" x14ac:dyDescent="0.3">
      <c r="A953" s="1">
        <v>43321.416666666664</v>
      </c>
    </row>
    <row r="954" spans="1:1" x14ac:dyDescent="0.3">
      <c r="A954" s="1">
        <v>43322.416666666664</v>
      </c>
    </row>
    <row r="955" spans="1:1" x14ac:dyDescent="0.3">
      <c r="A955" s="1">
        <v>43323.416666666664</v>
      </c>
    </row>
    <row r="956" spans="1:1" x14ac:dyDescent="0.3">
      <c r="A956" s="1">
        <v>43324.416666666664</v>
      </c>
    </row>
    <row r="957" spans="1:1" x14ac:dyDescent="0.3">
      <c r="A957" s="1">
        <v>43325.416666666664</v>
      </c>
    </row>
    <row r="958" spans="1:1" x14ac:dyDescent="0.3">
      <c r="A958" s="1">
        <v>43326.416666666664</v>
      </c>
    </row>
    <row r="959" spans="1:1" x14ac:dyDescent="0.3">
      <c r="A959" s="1">
        <v>43327.416666666664</v>
      </c>
    </row>
    <row r="960" spans="1:1" x14ac:dyDescent="0.3">
      <c r="A960" s="1">
        <v>43328.416666666664</v>
      </c>
    </row>
    <row r="961" spans="1:1" x14ac:dyDescent="0.3">
      <c r="A961" s="1">
        <v>43329.416666666664</v>
      </c>
    </row>
    <row r="962" spans="1:1" x14ac:dyDescent="0.3">
      <c r="A962" s="1">
        <v>43330.416666666664</v>
      </c>
    </row>
    <row r="963" spans="1:1" x14ac:dyDescent="0.3">
      <c r="A963" s="1">
        <v>43331.416666666664</v>
      </c>
    </row>
    <row r="964" spans="1:1" x14ac:dyDescent="0.3">
      <c r="A964" s="1">
        <v>43332.416666666664</v>
      </c>
    </row>
    <row r="965" spans="1:1" x14ac:dyDescent="0.3">
      <c r="A965" s="1">
        <v>43333.416666666664</v>
      </c>
    </row>
    <row r="966" spans="1:1" x14ac:dyDescent="0.3">
      <c r="A966" s="1">
        <v>43334.416666666664</v>
      </c>
    </row>
    <row r="967" spans="1:1" x14ac:dyDescent="0.3">
      <c r="A967" s="1">
        <v>43335.416666666664</v>
      </c>
    </row>
    <row r="968" spans="1:1" x14ac:dyDescent="0.3">
      <c r="A968" s="1">
        <v>43336.416666666664</v>
      </c>
    </row>
    <row r="969" spans="1:1" x14ac:dyDescent="0.3">
      <c r="A969" s="1">
        <v>43337.416666666664</v>
      </c>
    </row>
    <row r="970" spans="1:1" x14ac:dyDescent="0.3">
      <c r="A970" s="1">
        <v>43338.416666666664</v>
      </c>
    </row>
    <row r="971" spans="1:1" x14ac:dyDescent="0.3">
      <c r="A971" s="1">
        <v>43339.416666666664</v>
      </c>
    </row>
    <row r="972" spans="1:1" x14ac:dyDescent="0.3">
      <c r="A972" s="1">
        <v>43340.416666666664</v>
      </c>
    </row>
    <row r="973" spans="1:1" x14ac:dyDescent="0.3">
      <c r="A973" s="1">
        <v>43341.416666666664</v>
      </c>
    </row>
    <row r="974" spans="1:1" x14ac:dyDescent="0.3">
      <c r="A974" s="1">
        <v>43342.416666666664</v>
      </c>
    </row>
    <row r="975" spans="1:1" x14ac:dyDescent="0.3">
      <c r="A975" s="1">
        <v>43343.416666666664</v>
      </c>
    </row>
    <row r="976" spans="1:1" x14ac:dyDescent="0.3">
      <c r="A976" s="1">
        <v>43344.416666666664</v>
      </c>
    </row>
    <row r="977" spans="1:1" x14ac:dyDescent="0.3">
      <c r="A977" s="1">
        <v>43345.416666666664</v>
      </c>
    </row>
    <row r="978" spans="1:1" x14ac:dyDescent="0.3">
      <c r="A978" s="1">
        <v>43346.416666666664</v>
      </c>
    </row>
    <row r="979" spans="1:1" x14ac:dyDescent="0.3">
      <c r="A979" s="1">
        <v>43347.416666666664</v>
      </c>
    </row>
    <row r="980" spans="1:1" x14ac:dyDescent="0.3">
      <c r="A980" s="1">
        <v>43348.416666666664</v>
      </c>
    </row>
    <row r="981" spans="1:1" x14ac:dyDescent="0.3">
      <c r="A981" s="1">
        <v>43349.416666666664</v>
      </c>
    </row>
    <row r="982" spans="1:1" x14ac:dyDescent="0.3">
      <c r="A982" s="1">
        <v>43350.416666666664</v>
      </c>
    </row>
    <row r="983" spans="1:1" x14ac:dyDescent="0.3">
      <c r="A983" s="1">
        <v>43351.416666666664</v>
      </c>
    </row>
    <row r="984" spans="1:1" x14ac:dyDescent="0.3">
      <c r="A984" s="1">
        <v>43352.416666666664</v>
      </c>
    </row>
    <row r="985" spans="1:1" x14ac:dyDescent="0.3">
      <c r="A985" s="1">
        <v>43353.416666666664</v>
      </c>
    </row>
    <row r="986" spans="1:1" x14ac:dyDescent="0.3">
      <c r="A986" s="1">
        <v>43354.416666666664</v>
      </c>
    </row>
    <row r="987" spans="1:1" x14ac:dyDescent="0.3">
      <c r="A987" s="1">
        <v>43355.416666666664</v>
      </c>
    </row>
    <row r="988" spans="1:1" x14ac:dyDescent="0.3">
      <c r="A988" s="1">
        <v>43356.416666666664</v>
      </c>
    </row>
    <row r="989" spans="1:1" x14ac:dyDescent="0.3">
      <c r="A989" s="1">
        <v>43357.416666666664</v>
      </c>
    </row>
    <row r="990" spans="1:1" x14ac:dyDescent="0.3">
      <c r="A990" s="1">
        <v>43358.416666666664</v>
      </c>
    </row>
    <row r="991" spans="1:1" x14ac:dyDescent="0.3">
      <c r="A991" s="1">
        <v>43359.416666666664</v>
      </c>
    </row>
    <row r="992" spans="1:1" x14ac:dyDescent="0.3">
      <c r="A992" s="1">
        <v>43360.416666666664</v>
      </c>
    </row>
    <row r="993" spans="1:1" x14ac:dyDescent="0.3">
      <c r="A993" s="1">
        <v>43361.416666666664</v>
      </c>
    </row>
    <row r="994" spans="1:1" x14ac:dyDescent="0.3">
      <c r="A994" s="1">
        <v>43362.416666666664</v>
      </c>
    </row>
    <row r="995" spans="1:1" x14ac:dyDescent="0.3">
      <c r="A995" s="1">
        <v>43363.416666666664</v>
      </c>
    </row>
    <row r="996" spans="1:1" x14ac:dyDescent="0.3">
      <c r="A996" s="1">
        <v>43364.416666666664</v>
      </c>
    </row>
    <row r="997" spans="1:1" x14ac:dyDescent="0.3">
      <c r="A997" s="1">
        <v>43365.416666666664</v>
      </c>
    </row>
    <row r="998" spans="1:1" x14ac:dyDescent="0.3">
      <c r="A998" s="1">
        <v>43366.416666666664</v>
      </c>
    </row>
    <row r="999" spans="1:1" x14ac:dyDescent="0.3">
      <c r="A999" s="1">
        <v>43367.416666666664</v>
      </c>
    </row>
    <row r="1000" spans="1:1" x14ac:dyDescent="0.3">
      <c r="A1000" s="1">
        <v>43368.416666666664</v>
      </c>
    </row>
    <row r="1001" spans="1:1" x14ac:dyDescent="0.3">
      <c r="A1001" s="1">
        <v>43369.416666666664</v>
      </c>
    </row>
    <row r="1002" spans="1:1" x14ac:dyDescent="0.3">
      <c r="A1002" s="1">
        <v>43370.416666666664</v>
      </c>
    </row>
    <row r="1003" spans="1:1" x14ac:dyDescent="0.3">
      <c r="A1003" s="1">
        <v>43371.416666666664</v>
      </c>
    </row>
    <row r="1004" spans="1:1" x14ac:dyDescent="0.3">
      <c r="A1004" s="1">
        <v>43372.416666666664</v>
      </c>
    </row>
    <row r="1005" spans="1:1" x14ac:dyDescent="0.3">
      <c r="A1005" s="1">
        <v>43373.416666666664</v>
      </c>
    </row>
    <row r="1006" spans="1:1" x14ac:dyDescent="0.3">
      <c r="A1006" s="1">
        <v>43374.416666666664</v>
      </c>
    </row>
    <row r="1007" spans="1:1" x14ac:dyDescent="0.3">
      <c r="A1007" s="1">
        <v>43375.416666666664</v>
      </c>
    </row>
    <row r="1008" spans="1:1" x14ac:dyDescent="0.3">
      <c r="A1008" s="1">
        <v>43376.416666666664</v>
      </c>
    </row>
    <row r="1009" spans="1:1" x14ac:dyDescent="0.3">
      <c r="A1009" s="1">
        <v>43377.416666666664</v>
      </c>
    </row>
    <row r="1010" spans="1:1" x14ac:dyDescent="0.3">
      <c r="A1010" s="1">
        <v>43378.416666666664</v>
      </c>
    </row>
    <row r="1011" spans="1:1" x14ac:dyDescent="0.3">
      <c r="A1011" s="1">
        <v>43379.416666666664</v>
      </c>
    </row>
    <row r="1012" spans="1:1" x14ac:dyDescent="0.3">
      <c r="A1012" s="1">
        <v>43380.416666666664</v>
      </c>
    </row>
    <row r="1013" spans="1:1" x14ac:dyDescent="0.3">
      <c r="A1013" s="1">
        <v>43381.416666666664</v>
      </c>
    </row>
    <row r="1014" spans="1:1" x14ac:dyDescent="0.3">
      <c r="A1014" s="1">
        <v>43382.416666666664</v>
      </c>
    </row>
    <row r="1015" spans="1:1" x14ac:dyDescent="0.3">
      <c r="A1015" s="1">
        <v>43383.416666666664</v>
      </c>
    </row>
    <row r="1016" spans="1:1" x14ac:dyDescent="0.3">
      <c r="A1016" s="1">
        <v>43384.416666666664</v>
      </c>
    </row>
    <row r="1017" spans="1:1" x14ac:dyDescent="0.3">
      <c r="A1017" s="1">
        <v>43385.416666666664</v>
      </c>
    </row>
    <row r="1018" spans="1:1" x14ac:dyDescent="0.3">
      <c r="A1018" s="1">
        <v>43386.416666666664</v>
      </c>
    </row>
    <row r="1019" spans="1:1" x14ac:dyDescent="0.3">
      <c r="A1019" s="1">
        <v>43387.416666666664</v>
      </c>
    </row>
    <row r="1020" spans="1:1" x14ac:dyDescent="0.3">
      <c r="A1020" s="1">
        <v>43388.416666666664</v>
      </c>
    </row>
    <row r="1021" spans="1:1" x14ac:dyDescent="0.3">
      <c r="A1021" s="1">
        <v>43389.416666666664</v>
      </c>
    </row>
    <row r="1022" spans="1:1" x14ac:dyDescent="0.3">
      <c r="A1022" s="1">
        <v>43390.416666666664</v>
      </c>
    </row>
    <row r="1023" spans="1:1" x14ac:dyDescent="0.3">
      <c r="A1023" s="1">
        <v>43391.416666666664</v>
      </c>
    </row>
    <row r="1024" spans="1:1" x14ac:dyDescent="0.3">
      <c r="A1024" s="1">
        <v>43392.416666666664</v>
      </c>
    </row>
    <row r="1025" spans="1:1" x14ac:dyDescent="0.3">
      <c r="A1025" s="1">
        <v>43393.416666666664</v>
      </c>
    </row>
    <row r="1026" spans="1:1" x14ac:dyDescent="0.3">
      <c r="A1026" s="1">
        <v>43394.416666666664</v>
      </c>
    </row>
    <row r="1027" spans="1:1" x14ac:dyDescent="0.3">
      <c r="A1027" s="1">
        <v>43395.416666666664</v>
      </c>
    </row>
    <row r="1028" spans="1:1" x14ac:dyDescent="0.3">
      <c r="A1028" s="1">
        <v>43396.416666666664</v>
      </c>
    </row>
    <row r="1029" spans="1:1" x14ac:dyDescent="0.3">
      <c r="A1029" s="1">
        <v>43397.416666666664</v>
      </c>
    </row>
    <row r="1030" spans="1:1" x14ac:dyDescent="0.3">
      <c r="A1030" s="1">
        <v>43398.416666666664</v>
      </c>
    </row>
    <row r="1031" spans="1:1" x14ac:dyDescent="0.3">
      <c r="A1031" s="1">
        <v>43399.416666666664</v>
      </c>
    </row>
    <row r="1032" spans="1:1" x14ac:dyDescent="0.3">
      <c r="A1032" s="1">
        <v>43400.416666666664</v>
      </c>
    </row>
    <row r="1033" spans="1:1" x14ac:dyDescent="0.3">
      <c r="A1033" s="1">
        <v>43401.416666666664</v>
      </c>
    </row>
    <row r="1034" spans="1:1" x14ac:dyDescent="0.3">
      <c r="A1034" s="1">
        <v>43402.416666666664</v>
      </c>
    </row>
    <row r="1035" spans="1:1" x14ac:dyDescent="0.3">
      <c r="A1035" s="1">
        <v>43403.416666666664</v>
      </c>
    </row>
    <row r="1036" spans="1:1" x14ac:dyDescent="0.3">
      <c r="A1036" s="1">
        <v>43404.416666666664</v>
      </c>
    </row>
    <row r="1037" spans="1:1" x14ac:dyDescent="0.3">
      <c r="A1037" s="1">
        <v>43405.416666666664</v>
      </c>
    </row>
    <row r="1038" spans="1:1" x14ac:dyDescent="0.3">
      <c r="A1038" s="1">
        <v>43406.416666666664</v>
      </c>
    </row>
    <row r="1039" spans="1:1" x14ac:dyDescent="0.3">
      <c r="A1039" s="1">
        <v>43407.416666666664</v>
      </c>
    </row>
    <row r="1040" spans="1:1" x14ac:dyDescent="0.3">
      <c r="A1040" s="1">
        <v>43408.416666666664</v>
      </c>
    </row>
    <row r="1041" spans="1:1" x14ac:dyDescent="0.3">
      <c r="A1041" s="1">
        <v>43409.416666666664</v>
      </c>
    </row>
    <row r="1042" spans="1:1" x14ac:dyDescent="0.3">
      <c r="A1042" s="1">
        <v>43410.416666666664</v>
      </c>
    </row>
    <row r="1043" spans="1:1" x14ac:dyDescent="0.3">
      <c r="A1043" s="1">
        <v>43411.416666666664</v>
      </c>
    </row>
    <row r="1044" spans="1:1" x14ac:dyDescent="0.3">
      <c r="A1044" s="1">
        <v>43412.416666666664</v>
      </c>
    </row>
    <row r="1045" spans="1:1" x14ac:dyDescent="0.3">
      <c r="A1045" s="1">
        <v>43413.416666666664</v>
      </c>
    </row>
    <row r="1046" spans="1:1" x14ac:dyDescent="0.3">
      <c r="A1046" s="1">
        <v>43414.416666666664</v>
      </c>
    </row>
    <row r="1047" spans="1:1" x14ac:dyDescent="0.3">
      <c r="A1047" s="1">
        <v>43415.416666666664</v>
      </c>
    </row>
    <row r="1048" spans="1:1" x14ac:dyDescent="0.3">
      <c r="A1048" s="1">
        <v>43416.416666666664</v>
      </c>
    </row>
    <row r="1049" spans="1:1" x14ac:dyDescent="0.3">
      <c r="A1049" s="1">
        <v>43417.416666666664</v>
      </c>
    </row>
    <row r="1050" spans="1:1" x14ac:dyDescent="0.3">
      <c r="A1050" s="1">
        <v>43418.416666666664</v>
      </c>
    </row>
    <row r="1051" spans="1:1" x14ac:dyDescent="0.3">
      <c r="A1051" s="1">
        <v>43419.416666666664</v>
      </c>
    </row>
    <row r="1052" spans="1:1" x14ac:dyDescent="0.3">
      <c r="A1052" s="1">
        <v>43420.416666666664</v>
      </c>
    </row>
    <row r="1053" spans="1:1" x14ac:dyDescent="0.3">
      <c r="A1053" s="1">
        <v>43421.416666666664</v>
      </c>
    </row>
    <row r="1054" spans="1:1" x14ac:dyDescent="0.3">
      <c r="A1054" s="1">
        <v>43422.416666666664</v>
      </c>
    </row>
    <row r="1055" spans="1:1" x14ac:dyDescent="0.3">
      <c r="A1055" s="1">
        <v>43423.416666666664</v>
      </c>
    </row>
    <row r="1056" spans="1:1" x14ac:dyDescent="0.3">
      <c r="A1056" s="1">
        <v>43424.416666666664</v>
      </c>
    </row>
    <row r="1057" spans="1:1" x14ac:dyDescent="0.3">
      <c r="A1057" s="1">
        <v>43425.416666666664</v>
      </c>
    </row>
    <row r="1058" spans="1:1" x14ac:dyDescent="0.3">
      <c r="A1058" s="1">
        <v>43426.416666666664</v>
      </c>
    </row>
    <row r="1059" spans="1:1" x14ac:dyDescent="0.3">
      <c r="A1059" s="1">
        <v>43427.416666666664</v>
      </c>
    </row>
    <row r="1060" spans="1:1" x14ac:dyDescent="0.3">
      <c r="A1060" s="1">
        <v>43428.416666666664</v>
      </c>
    </row>
    <row r="1061" spans="1:1" x14ac:dyDescent="0.3">
      <c r="A1061" s="1">
        <v>43429.416666666664</v>
      </c>
    </row>
    <row r="1062" spans="1:1" x14ac:dyDescent="0.3">
      <c r="A1062" s="1">
        <v>43430.416666666664</v>
      </c>
    </row>
    <row r="1063" spans="1:1" x14ac:dyDescent="0.3">
      <c r="A1063" s="1">
        <v>43431.416666666664</v>
      </c>
    </row>
    <row r="1064" spans="1:1" x14ac:dyDescent="0.3">
      <c r="A1064" s="1">
        <v>43432.416666666664</v>
      </c>
    </row>
    <row r="1065" spans="1:1" x14ac:dyDescent="0.3">
      <c r="A1065" s="1">
        <v>43433.416666666664</v>
      </c>
    </row>
    <row r="1066" spans="1:1" x14ac:dyDescent="0.3">
      <c r="A1066" s="1">
        <v>43434.416666666664</v>
      </c>
    </row>
    <row r="1067" spans="1:1" x14ac:dyDescent="0.3">
      <c r="A1067" s="1">
        <v>43435.416666666664</v>
      </c>
    </row>
    <row r="1068" spans="1:1" x14ac:dyDescent="0.3">
      <c r="A1068" s="1">
        <v>43436.416666666664</v>
      </c>
    </row>
    <row r="1069" spans="1:1" x14ac:dyDescent="0.3">
      <c r="A1069" s="1">
        <v>43437.416666666664</v>
      </c>
    </row>
    <row r="1070" spans="1:1" x14ac:dyDescent="0.3">
      <c r="A1070" s="1">
        <v>43438.416666666664</v>
      </c>
    </row>
    <row r="1071" spans="1:1" x14ac:dyDescent="0.3">
      <c r="A1071" s="1">
        <v>43439.416666666664</v>
      </c>
    </row>
    <row r="1072" spans="1:1" x14ac:dyDescent="0.3">
      <c r="A1072" s="1">
        <v>43440.416666666664</v>
      </c>
    </row>
    <row r="1073" spans="1:1" x14ac:dyDescent="0.3">
      <c r="A1073" s="1">
        <v>43441.416666666664</v>
      </c>
    </row>
    <row r="1074" spans="1:1" x14ac:dyDescent="0.3">
      <c r="A1074" s="1">
        <v>43442.416666666664</v>
      </c>
    </row>
    <row r="1075" spans="1:1" x14ac:dyDescent="0.3">
      <c r="A1075" s="1">
        <v>43443.416666666664</v>
      </c>
    </row>
    <row r="1076" spans="1:1" x14ac:dyDescent="0.3">
      <c r="A1076" s="1">
        <v>43444.416666666664</v>
      </c>
    </row>
    <row r="1077" spans="1:1" x14ac:dyDescent="0.3">
      <c r="A1077" s="1">
        <v>43445.416666666664</v>
      </c>
    </row>
    <row r="1078" spans="1:1" x14ac:dyDescent="0.3">
      <c r="A1078" s="1">
        <v>43446.416666666664</v>
      </c>
    </row>
    <row r="1079" spans="1:1" x14ac:dyDescent="0.3">
      <c r="A1079" s="1">
        <v>43447.416666666664</v>
      </c>
    </row>
    <row r="1080" spans="1:1" x14ac:dyDescent="0.3">
      <c r="A1080" s="1">
        <v>43448.416666666664</v>
      </c>
    </row>
    <row r="1081" spans="1:1" x14ac:dyDescent="0.3">
      <c r="A1081" s="1">
        <v>43449.416666666664</v>
      </c>
    </row>
    <row r="1082" spans="1:1" x14ac:dyDescent="0.3">
      <c r="A1082" s="1">
        <v>43450.416666666664</v>
      </c>
    </row>
    <row r="1083" spans="1:1" x14ac:dyDescent="0.3">
      <c r="A1083" s="1">
        <v>43451.416666666664</v>
      </c>
    </row>
    <row r="1084" spans="1:1" x14ac:dyDescent="0.3">
      <c r="A1084" s="1">
        <v>43452.416666666664</v>
      </c>
    </row>
    <row r="1085" spans="1:1" x14ac:dyDescent="0.3">
      <c r="A1085" s="1">
        <v>43453.416666666664</v>
      </c>
    </row>
    <row r="1086" spans="1:1" x14ac:dyDescent="0.3">
      <c r="A1086" s="1">
        <v>43454.416666666664</v>
      </c>
    </row>
    <row r="1087" spans="1:1" x14ac:dyDescent="0.3">
      <c r="A1087" s="1">
        <v>43455.416666666664</v>
      </c>
    </row>
    <row r="1088" spans="1:1" x14ac:dyDescent="0.3">
      <c r="A1088" s="1">
        <v>43456.416666666664</v>
      </c>
    </row>
    <row r="1089" spans="1:1" x14ac:dyDescent="0.3">
      <c r="A1089" s="1">
        <v>43457.416666666664</v>
      </c>
    </row>
    <row r="1090" spans="1:1" x14ac:dyDescent="0.3">
      <c r="A1090" s="1">
        <v>43458.416666666664</v>
      </c>
    </row>
    <row r="1091" spans="1:1" x14ac:dyDescent="0.3">
      <c r="A1091" s="1">
        <v>43459.416666666664</v>
      </c>
    </row>
    <row r="1092" spans="1:1" x14ac:dyDescent="0.3">
      <c r="A1092" s="1">
        <v>43460.416666666664</v>
      </c>
    </row>
    <row r="1093" spans="1:1" x14ac:dyDescent="0.3">
      <c r="A1093" s="1">
        <v>43461.416666666664</v>
      </c>
    </row>
    <row r="1094" spans="1:1" x14ac:dyDescent="0.3">
      <c r="A1094" s="1">
        <v>43462.416666666664</v>
      </c>
    </row>
    <row r="1095" spans="1:1" x14ac:dyDescent="0.3">
      <c r="A1095" s="1">
        <v>43463.416666666664</v>
      </c>
    </row>
    <row r="1096" spans="1:1" x14ac:dyDescent="0.3">
      <c r="A1096" s="1">
        <v>43464.416666666664</v>
      </c>
    </row>
    <row r="1097" spans="1:1" x14ac:dyDescent="0.3">
      <c r="A1097" s="1">
        <v>43465.416666666664</v>
      </c>
    </row>
    <row r="1098" spans="1:1" x14ac:dyDescent="0.3">
      <c r="A1098" s="1">
        <v>43466.416666666664</v>
      </c>
    </row>
    <row r="1099" spans="1:1" x14ac:dyDescent="0.3">
      <c r="A1099" s="1">
        <v>43467.416666666664</v>
      </c>
    </row>
    <row r="1100" spans="1:1" x14ac:dyDescent="0.3">
      <c r="A1100" s="1">
        <v>43468.416666666664</v>
      </c>
    </row>
    <row r="1101" spans="1:1" x14ac:dyDescent="0.3">
      <c r="A1101" s="1">
        <v>43469.416666666664</v>
      </c>
    </row>
    <row r="1102" spans="1:1" x14ac:dyDescent="0.3">
      <c r="A1102" s="1">
        <v>43470.416666666664</v>
      </c>
    </row>
    <row r="1103" spans="1:1" x14ac:dyDescent="0.3">
      <c r="A1103" s="1">
        <v>43471.416666666664</v>
      </c>
    </row>
    <row r="1104" spans="1:1" x14ac:dyDescent="0.3">
      <c r="A1104" s="1">
        <v>43472.416666666664</v>
      </c>
    </row>
    <row r="1105" spans="1:1" x14ac:dyDescent="0.3">
      <c r="A1105" s="1">
        <v>43473.416666666664</v>
      </c>
    </row>
    <row r="1106" spans="1:1" x14ac:dyDescent="0.3">
      <c r="A1106" s="1">
        <v>43474.416666666664</v>
      </c>
    </row>
    <row r="1107" spans="1:1" x14ac:dyDescent="0.3">
      <c r="A1107" s="1">
        <v>43475.416666666664</v>
      </c>
    </row>
    <row r="1108" spans="1:1" x14ac:dyDescent="0.3">
      <c r="A1108" s="1">
        <v>43476.416666666664</v>
      </c>
    </row>
    <row r="1109" spans="1:1" x14ac:dyDescent="0.3">
      <c r="A1109" s="1">
        <v>43477.416666666664</v>
      </c>
    </row>
    <row r="1110" spans="1:1" x14ac:dyDescent="0.3">
      <c r="A1110" s="1">
        <v>43478.416666666664</v>
      </c>
    </row>
    <row r="1111" spans="1:1" x14ac:dyDescent="0.3">
      <c r="A1111" s="1">
        <v>43479.416666666664</v>
      </c>
    </row>
    <row r="1112" spans="1:1" x14ac:dyDescent="0.3">
      <c r="A1112" s="1">
        <v>43480.416666666664</v>
      </c>
    </row>
    <row r="1113" spans="1:1" x14ac:dyDescent="0.3">
      <c r="A1113" s="1">
        <v>43481.416666666664</v>
      </c>
    </row>
    <row r="1114" spans="1:1" x14ac:dyDescent="0.3">
      <c r="A1114" s="1">
        <v>43482.416666666664</v>
      </c>
    </row>
    <row r="1115" spans="1:1" x14ac:dyDescent="0.3">
      <c r="A1115" s="1">
        <v>43483.416666666664</v>
      </c>
    </row>
    <row r="1116" spans="1:1" x14ac:dyDescent="0.3">
      <c r="A1116" s="1">
        <v>43484.416666666664</v>
      </c>
    </row>
    <row r="1117" spans="1:1" x14ac:dyDescent="0.3">
      <c r="A1117" s="1">
        <v>43485.416666666664</v>
      </c>
    </row>
    <row r="1118" spans="1:1" x14ac:dyDescent="0.3">
      <c r="A1118" s="1">
        <v>43486.416666666664</v>
      </c>
    </row>
    <row r="1119" spans="1:1" x14ac:dyDescent="0.3">
      <c r="A1119" s="1">
        <v>43487.416666666664</v>
      </c>
    </row>
    <row r="1120" spans="1:1" x14ac:dyDescent="0.3">
      <c r="A1120" s="1">
        <v>43488.416666666664</v>
      </c>
    </row>
    <row r="1121" spans="1:1" x14ac:dyDescent="0.3">
      <c r="A1121" s="1">
        <v>43489.416666666664</v>
      </c>
    </row>
    <row r="1122" spans="1:1" x14ac:dyDescent="0.3">
      <c r="A1122" s="1">
        <v>43490.416666666664</v>
      </c>
    </row>
    <row r="1123" spans="1:1" x14ac:dyDescent="0.3">
      <c r="A1123" s="1">
        <v>43491.416666666664</v>
      </c>
    </row>
    <row r="1124" spans="1:1" x14ac:dyDescent="0.3">
      <c r="A1124" s="1">
        <v>43492.416666666664</v>
      </c>
    </row>
    <row r="1125" spans="1:1" x14ac:dyDescent="0.3">
      <c r="A1125" s="1">
        <v>43493.416666666664</v>
      </c>
    </row>
    <row r="1126" spans="1:1" x14ac:dyDescent="0.3">
      <c r="A1126" s="1">
        <v>43494.416666666664</v>
      </c>
    </row>
    <row r="1127" spans="1:1" x14ac:dyDescent="0.3">
      <c r="A1127" s="1">
        <v>43495.416666666664</v>
      </c>
    </row>
    <row r="1128" spans="1:1" x14ac:dyDescent="0.3">
      <c r="A1128" s="1">
        <v>43496.416666666664</v>
      </c>
    </row>
    <row r="1129" spans="1:1" x14ac:dyDescent="0.3">
      <c r="A1129" s="1">
        <v>43497.416666666664</v>
      </c>
    </row>
    <row r="1130" spans="1:1" x14ac:dyDescent="0.3">
      <c r="A1130" s="1">
        <v>43498.416666666664</v>
      </c>
    </row>
    <row r="1131" spans="1:1" x14ac:dyDescent="0.3">
      <c r="A1131" s="1">
        <v>43499.416666666664</v>
      </c>
    </row>
    <row r="1132" spans="1:1" x14ac:dyDescent="0.3">
      <c r="A1132" s="1">
        <v>43500.416666666664</v>
      </c>
    </row>
    <row r="1133" spans="1:1" x14ac:dyDescent="0.3">
      <c r="A1133" s="1">
        <v>43501.416666666664</v>
      </c>
    </row>
    <row r="1134" spans="1:1" x14ac:dyDescent="0.3">
      <c r="A1134" s="1">
        <v>43502.416666666664</v>
      </c>
    </row>
    <row r="1135" spans="1:1" x14ac:dyDescent="0.3">
      <c r="A1135" s="1">
        <v>43503.416666666664</v>
      </c>
    </row>
    <row r="1136" spans="1:1" x14ac:dyDescent="0.3">
      <c r="A1136" s="1">
        <v>43504.416666666664</v>
      </c>
    </row>
    <row r="1137" spans="1:1" x14ac:dyDescent="0.3">
      <c r="A1137" s="1">
        <v>43505.416666666664</v>
      </c>
    </row>
    <row r="1138" spans="1:1" x14ac:dyDescent="0.3">
      <c r="A1138" s="1">
        <v>43506.416666666664</v>
      </c>
    </row>
    <row r="1139" spans="1:1" x14ac:dyDescent="0.3">
      <c r="A1139" s="1">
        <v>43507.416666666664</v>
      </c>
    </row>
    <row r="1140" spans="1:1" x14ac:dyDescent="0.3">
      <c r="A1140" s="1">
        <v>43508.416666666664</v>
      </c>
    </row>
    <row r="1141" spans="1:1" x14ac:dyDescent="0.3">
      <c r="A1141" s="1">
        <v>43509.416666666664</v>
      </c>
    </row>
    <row r="1142" spans="1:1" x14ac:dyDescent="0.3">
      <c r="A1142" s="1">
        <v>43510.416666666664</v>
      </c>
    </row>
    <row r="1143" spans="1:1" x14ac:dyDescent="0.3">
      <c r="A1143" s="1">
        <v>43511.416666666664</v>
      </c>
    </row>
    <row r="1144" spans="1:1" x14ac:dyDescent="0.3">
      <c r="A1144" s="1">
        <v>43512.416666666664</v>
      </c>
    </row>
    <row r="1145" spans="1:1" x14ac:dyDescent="0.3">
      <c r="A1145" s="1">
        <v>43513.416666666664</v>
      </c>
    </row>
    <row r="1146" spans="1:1" x14ac:dyDescent="0.3">
      <c r="A1146" s="1">
        <v>43514.416666666664</v>
      </c>
    </row>
    <row r="1147" spans="1:1" x14ac:dyDescent="0.3">
      <c r="A1147" s="1">
        <v>43515.416666666664</v>
      </c>
    </row>
    <row r="1148" spans="1:1" x14ac:dyDescent="0.3">
      <c r="A1148" s="1">
        <v>43516.416666666664</v>
      </c>
    </row>
    <row r="1149" spans="1:1" x14ac:dyDescent="0.3">
      <c r="A1149" s="1">
        <v>43517.416666666664</v>
      </c>
    </row>
    <row r="1150" spans="1:1" x14ac:dyDescent="0.3">
      <c r="A1150" s="1">
        <v>43518.416666666664</v>
      </c>
    </row>
    <row r="1151" spans="1:1" x14ac:dyDescent="0.3">
      <c r="A1151" s="1">
        <v>43519.416666666664</v>
      </c>
    </row>
    <row r="1152" spans="1:1" x14ac:dyDescent="0.3">
      <c r="A1152" s="1">
        <v>43520.416666666664</v>
      </c>
    </row>
    <row r="1153" spans="1:1" x14ac:dyDescent="0.3">
      <c r="A1153" s="1">
        <v>43521.416666666664</v>
      </c>
    </row>
    <row r="1154" spans="1:1" x14ac:dyDescent="0.3">
      <c r="A1154" s="1">
        <v>43522.416666666664</v>
      </c>
    </row>
    <row r="1155" spans="1:1" x14ac:dyDescent="0.3">
      <c r="A1155" s="1">
        <v>43523.416666666664</v>
      </c>
    </row>
    <row r="1156" spans="1:1" x14ac:dyDescent="0.3">
      <c r="A1156" s="1">
        <v>43524.416666666664</v>
      </c>
    </row>
    <row r="1157" spans="1:1" x14ac:dyDescent="0.3">
      <c r="A1157" s="1">
        <v>43525.416666666664</v>
      </c>
    </row>
    <row r="1158" spans="1:1" x14ac:dyDescent="0.3">
      <c r="A1158" s="1">
        <v>43526.416666666664</v>
      </c>
    </row>
    <row r="1159" spans="1:1" x14ac:dyDescent="0.3">
      <c r="A1159" s="1">
        <v>43527.416666666664</v>
      </c>
    </row>
    <row r="1160" spans="1:1" x14ac:dyDescent="0.3">
      <c r="A1160" s="1">
        <v>43528.416666666664</v>
      </c>
    </row>
    <row r="1161" spans="1:1" x14ac:dyDescent="0.3">
      <c r="A1161" s="1">
        <v>43529.416666666664</v>
      </c>
    </row>
    <row r="1162" spans="1:1" x14ac:dyDescent="0.3">
      <c r="A1162" s="1">
        <v>43530.416666666664</v>
      </c>
    </row>
    <row r="1163" spans="1:1" x14ac:dyDescent="0.3">
      <c r="A1163" s="1">
        <v>43531.416666666664</v>
      </c>
    </row>
    <row r="1164" spans="1:1" x14ac:dyDescent="0.3">
      <c r="A1164" s="1">
        <v>43532.416666666664</v>
      </c>
    </row>
    <row r="1165" spans="1:1" x14ac:dyDescent="0.3">
      <c r="A1165" s="1">
        <v>43533.416666666664</v>
      </c>
    </row>
    <row r="1166" spans="1:1" x14ac:dyDescent="0.3">
      <c r="A1166" s="1">
        <v>43534.416666666664</v>
      </c>
    </row>
    <row r="1167" spans="1:1" x14ac:dyDescent="0.3">
      <c r="A1167" s="1">
        <v>43535.416666666664</v>
      </c>
    </row>
    <row r="1168" spans="1:1" x14ac:dyDescent="0.3">
      <c r="A1168" s="1">
        <v>43536.416666666664</v>
      </c>
    </row>
    <row r="1169" spans="1:1" x14ac:dyDescent="0.3">
      <c r="A1169" s="1">
        <v>43537.416666666664</v>
      </c>
    </row>
    <row r="1170" spans="1:1" x14ac:dyDescent="0.3">
      <c r="A1170" s="1">
        <v>43538.416666666664</v>
      </c>
    </row>
    <row r="1171" spans="1:1" x14ac:dyDescent="0.3">
      <c r="A1171" s="1">
        <v>43539.416666666664</v>
      </c>
    </row>
    <row r="1172" spans="1:1" x14ac:dyDescent="0.3">
      <c r="A1172" s="1">
        <v>43540.416666666664</v>
      </c>
    </row>
    <row r="1173" spans="1:1" x14ac:dyDescent="0.3">
      <c r="A1173" s="1">
        <v>43541.416666666664</v>
      </c>
    </row>
    <row r="1174" spans="1:1" x14ac:dyDescent="0.3">
      <c r="A1174" s="1">
        <v>43542.416666666664</v>
      </c>
    </row>
    <row r="1175" spans="1:1" x14ac:dyDescent="0.3">
      <c r="A1175" s="1">
        <v>43543.416666666664</v>
      </c>
    </row>
    <row r="1176" spans="1:1" x14ac:dyDescent="0.3">
      <c r="A1176" s="1">
        <v>43544.416666666664</v>
      </c>
    </row>
    <row r="1177" spans="1:1" x14ac:dyDescent="0.3">
      <c r="A1177" s="1">
        <v>43545.416666666664</v>
      </c>
    </row>
    <row r="1178" spans="1:1" x14ac:dyDescent="0.3">
      <c r="A1178" s="1">
        <v>43546.416666666664</v>
      </c>
    </row>
    <row r="1179" spans="1:1" x14ac:dyDescent="0.3">
      <c r="A1179" s="1">
        <v>43547.416666666664</v>
      </c>
    </row>
    <row r="1180" spans="1:1" x14ac:dyDescent="0.3">
      <c r="A1180" s="1">
        <v>43548.416666666664</v>
      </c>
    </row>
    <row r="1181" spans="1:1" x14ac:dyDescent="0.3">
      <c r="A1181" s="1">
        <v>43549.416666666664</v>
      </c>
    </row>
    <row r="1182" spans="1:1" x14ac:dyDescent="0.3">
      <c r="A1182" s="1">
        <v>43550.416666666664</v>
      </c>
    </row>
    <row r="1183" spans="1:1" x14ac:dyDescent="0.3">
      <c r="A1183" s="1">
        <v>43551.416666666664</v>
      </c>
    </row>
    <row r="1184" spans="1:1" x14ac:dyDescent="0.3">
      <c r="A1184" s="1">
        <v>43552.416666666664</v>
      </c>
    </row>
    <row r="1185" spans="1:1" x14ac:dyDescent="0.3">
      <c r="A1185" s="1">
        <v>43553.416666666664</v>
      </c>
    </row>
    <row r="1186" spans="1:1" x14ac:dyDescent="0.3">
      <c r="A1186" s="1">
        <v>43554.416666666664</v>
      </c>
    </row>
    <row r="1187" spans="1:1" x14ac:dyDescent="0.3">
      <c r="A1187" s="1">
        <v>43555.416666666664</v>
      </c>
    </row>
    <row r="1188" spans="1:1" x14ac:dyDescent="0.3">
      <c r="A1188" s="1">
        <v>43556.416666666664</v>
      </c>
    </row>
    <row r="1189" spans="1:1" x14ac:dyDescent="0.3">
      <c r="A1189" s="1">
        <v>43557.416666666664</v>
      </c>
    </row>
    <row r="1190" spans="1:1" x14ac:dyDescent="0.3">
      <c r="A1190" s="1">
        <v>43558.416666666664</v>
      </c>
    </row>
    <row r="1191" spans="1:1" x14ac:dyDescent="0.3">
      <c r="A1191" s="1">
        <v>43559.416666666664</v>
      </c>
    </row>
    <row r="1192" spans="1:1" x14ac:dyDescent="0.3">
      <c r="A1192" s="1">
        <v>43560.416666666664</v>
      </c>
    </row>
    <row r="1193" spans="1:1" x14ac:dyDescent="0.3">
      <c r="A1193" s="1">
        <v>43561.416666666664</v>
      </c>
    </row>
    <row r="1194" spans="1:1" x14ac:dyDescent="0.3">
      <c r="A1194" s="1">
        <v>43562.416666666664</v>
      </c>
    </row>
    <row r="1195" spans="1:1" x14ac:dyDescent="0.3">
      <c r="A1195" s="1">
        <v>43563.416666666664</v>
      </c>
    </row>
    <row r="1196" spans="1:1" x14ac:dyDescent="0.3">
      <c r="A1196" s="1">
        <v>43564.416666666664</v>
      </c>
    </row>
    <row r="1197" spans="1:1" x14ac:dyDescent="0.3">
      <c r="A1197" s="1">
        <v>43565.416666666664</v>
      </c>
    </row>
    <row r="1198" spans="1:1" x14ac:dyDescent="0.3">
      <c r="A1198" s="1">
        <v>43566.416666666664</v>
      </c>
    </row>
    <row r="1199" spans="1:1" x14ac:dyDescent="0.3">
      <c r="A1199" s="1">
        <v>43567.416666666664</v>
      </c>
    </row>
    <row r="1200" spans="1:1" x14ac:dyDescent="0.3">
      <c r="A1200" s="1">
        <v>43568.416666666664</v>
      </c>
    </row>
    <row r="1201" spans="1:1" x14ac:dyDescent="0.3">
      <c r="A1201" s="1">
        <v>43569.416666666664</v>
      </c>
    </row>
    <row r="1202" spans="1:1" x14ac:dyDescent="0.3">
      <c r="A1202" s="1">
        <v>43570.416666666664</v>
      </c>
    </row>
    <row r="1203" spans="1:1" x14ac:dyDescent="0.3">
      <c r="A1203" s="1">
        <v>43571.416666666664</v>
      </c>
    </row>
    <row r="1204" spans="1:1" x14ac:dyDescent="0.3">
      <c r="A1204" s="1">
        <v>43572.416666666664</v>
      </c>
    </row>
    <row r="1205" spans="1:1" x14ac:dyDescent="0.3">
      <c r="A1205" s="1">
        <v>43573.416666666664</v>
      </c>
    </row>
    <row r="1206" spans="1:1" x14ac:dyDescent="0.3">
      <c r="A1206" s="1">
        <v>43574.416666666664</v>
      </c>
    </row>
    <row r="1207" spans="1:1" x14ac:dyDescent="0.3">
      <c r="A1207" s="1">
        <v>43575.416666666664</v>
      </c>
    </row>
    <row r="1208" spans="1:1" x14ac:dyDescent="0.3">
      <c r="A1208" s="1">
        <v>43576.416666666664</v>
      </c>
    </row>
    <row r="1209" spans="1:1" x14ac:dyDescent="0.3">
      <c r="A1209" s="1">
        <v>43577.416666666664</v>
      </c>
    </row>
    <row r="1210" spans="1:1" x14ac:dyDescent="0.3">
      <c r="A1210" s="1">
        <v>43578.416666666664</v>
      </c>
    </row>
    <row r="1211" spans="1:1" x14ac:dyDescent="0.3">
      <c r="A1211" s="1">
        <v>43579.416666666664</v>
      </c>
    </row>
    <row r="1212" spans="1:1" x14ac:dyDescent="0.3">
      <c r="A1212" s="1">
        <v>43580.416666666664</v>
      </c>
    </row>
    <row r="1213" spans="1:1" x14ac:dyDescent="0.3">
      <c r="A1213" s="1">
        <v>43581.416666666664</v>
      </c>
    </row>
    <row r="1214" spans="1:1" x14ac:dyDescent="0.3">
      <c r="A1214" s="1">
        <v>43582.416666666664</v>
      </c>
    </row>
    <row r="1215" spans="1:1" x14ac:dyDescent="0.3">
      <c r="A1215" s="1">
        <v>43583.416666666664</v>
      </c>
    </row>
    <row r="1216" spans="1:1" x14ac:dyDescent="0.3">
      <c r="A1216" s="1">
        <v>43584.416666666664</v>
      </c>
    </row>
    <row r="1217" spans="1:1" x14ac:dyDescent="0.3">
      <c r="A1217" s="1">
        <v>43585.416666666664</v>
      </c>
    </row>
    <row r="1218" spans="1:1" x14ac:dyDescent="0.3">
      <c r="A1218" s="1">
        <v>43586.416666666664</v>
      </c>
    </row>
    <row r="1219" spans="1:1" x14ac:dyDescent="0.3">
      <c r="A1219" s="1">
        <v>43587.416666666664</v>
      </c>
    </row>
    <row r="1220" spans="1:1" x14ac:dyDescent="0.3">
      <c r="A1220" s="1">
        <v>43588.416666666664</v>
      </c>
    </row>
    <row r="1221" spans="1:1" x14ac:dyDescent="0.3">
      <c r="A1221" s="1">
        <v>43589.416666666664</v>
      </c>
    </row>
    <row r="1222" spans="1:1" x14ac:dyDescent="0.3">
      <c r="A1222" s="1">
        <v>43590.416666666664</v>
      </c>
    </row>
    <row r="1223" spans="1:1" x14ac:dyDescent="0.3">
      <c r="A1223" s="1">
        <v>43591.416666666664</v>
      </c>
    </row>
    <row r="1224" spans="1:1" x14ac:dyDescent="0.3">
      <c r="A1224" s="1">
        <v>43592.416666666664</v>
      </c>
    </row>
    <row r="1225" spans="1:1" x14ac:dyDescent="0.3">
      <c r="A1225" s="1">
        <v>43593.416666666664</v>
      </c>
    </row>
    <row r="1226" spans="1:1" x14ac:dyDescent="0.3">
      <c r="A1226" s="1">
        <v>43594.416666666664</v>
      </c>
    </row>
    <row r="1227" spans="1:1" x14ac:dyDescent="0.3">
      <c r="A1227" s="1">
        <v>43595.416666666664</v>
      </c>
    </row>
    <row r="1228" spans="1:1" x14ac:dyDescent="0.3">
      <c r="A1228" s="1">
        <v>43596.416666666664</v>
      </c>
    </row>
    <row r="1229" spans="1:1" x14ac:dyDescent="0.3">
      <c r="A1229" s="1">
        <v>43597.416666666664</v>
      </c>
    </row>
    <row r="1230" spans="1:1" x14ac:dyDescent="0.3">
      <c r="A1230" s="1">
        <v>43598.416666666664</v>
      </c>
    </row>
    <row r="1231" spans="1:1" x14ac:dyDescent="0.3">
      <c r="A1231" s="1">
        <v>43599.416666666664</v>
      </c>
    </row>
    <row r="1232" spans="1:1" x14ac:dyDescent="0.3">
      <c r="A1232" s="1">
        <v>43600.416666666664</v>
      </c>
    </row>
    <row r="1233" spans="1:1" x14ac:dyDescent="0.3">
      <c r="A1233" s="1">
        <v>43601.416666666664</v>
      </c>
    </row>
    <row r="1234" spans="1:1" x14ac:dyDescent="0.3">
      <c r="A1234" s="1">
        <v>43602.416666666664</v>
      </c>
    </row>
    <row r="1235" spans="1:1" x14ac:dyDescent="0.3">
      <c r="A1235" s="1">
        <v>43603.416666666664</v>
      </c>
    </row>
    <row r="1236" spans="1:1" x14ac:dyDescent="0.3">
      <c r="A1236" s="1">
        <v>43604.416666666664</v>
      </c>
    </row>
    <row r="1237" spans="1:1" x14ac:dyDescent="0.3">
      <c r="A1237" s="1">
        <v>43605.416666666664</v>
      </c>
    </row>
    <row r="1238" spans="1:1" x14ac:dyDescent="0.3">
      <c r="A1238" s="1">
        <v>43606.416666666664</v>
      </c>
    </row>
    <row r="1239" spans="1:1" x14ac:dyDescent="0.3">
      <c r="A1239" s="1">
        <v>43607.416666666664</v>
      </c>
    </row>
    <row r="1240" spans="1:1" x14ac:dyDescent="0.3">
      <c r="A1240" s="1">
        <v>43608.416666666664</v>
      </c>
    </row>
    <row r="1241" spans="1:1" x14ac:dyDescent="0.3">
      <c r="A1241" s="1">
        <v>43609.416666666664</v>
      </c>
    </row>
    <row r="1242" spans="1:1" x14ac:dyDescent="0.3">
      <c r="A1242" s="1">
        <v>43610.416666666664</v>
      </c>
    </row>
    <row r="1243" spans="1:1" x14ac:dyDescent="0.3">
      <c r="A1243" s="1">
        <v>43611.416666666664</v>
      </c>
    </row>
    <row r="1244" spans="1:1" x14ac:dyDescent="0.3">
      <c r="A1244" s="1">
        <v>43612.416666666664</v>
      </c>
    </row>
    <row r="1245" spans="1:1" x14ac:dyDescent="0.3">
      <c r="A1245" s="1">
        <v>43613.416666666664</v>
      </c>
    </row>
    <row r="1246" spans="1:1" x14ac:dyDescent="0.3">
      <c r="A1246" s="1">
        <v>43614.416666666664</v>
      </c>
    </row>
    <row r="1247" spans="1:1" x14ac:dyDescent="0.3">
      <c r="A1247" s="1">
        <v>43615.416666666664</v>
      </c>
    </row>
    <row r="1248" spans="1:1" x14ac:dyDescent="0.3">
      <c r="A1248" s="1">
        <v>43616.416666666664</v>
      </c>
    </row>
    <row r="1249" spans="1:1" x14ac:dyDescent="0.3">
      <c r="A1249" s="1">
        <v>43617.416666666664</v>
      </c>
    </row>
    <row r="1250" spans="1:1" x14ac:dyDescent="0.3">
      <c r="A1250" s="1">
        <v>43618.416666666664</v>
      </c>
    </row>
    <row r="1251" spans="1:1" x14ac:dyDescent="0.3">
      <c r="A1251" s="1">
        <v>43619.416666666664</v>
      </c>
    </row>
    <row r="1252" spans="1:1" x14ac:dyDescent="0.3">
      <c r="A1252" s="1">
        <v>43620.416666666664</v>
      </c>
    </row>
    <row r="1253" spans="1:1" x14ac:dyDescent="0.3">
      <c r="A1253" s="1">
        <v>43621.416666666664</v>
      </c>
    </row>
    <row r="1254" spans="1:1" x14ac:dyDescent="0.3">
      <c r="A1254" s="1">
        <v>43622.416666666664</v>
      </c>
    </row>
    <row r="1255" spans="1:1" x14ac:dyDescent="0.3">
      <c r="A1255" s="1">
        <v>43623.416666666664</v>
      </c>
    </row>
    <row r="1256" spans="1:1" x14ac:dyDescent="0.3">
      <c r="A1256" s="1">
        <v>43624.416666666664</v>
      </c>
    </row>
    <row r="1257" spans="1:1" x14ac:dyDescent="0.3">
      <c r="A1257" s="1">
        <v>43625.416666666664</v>
      </c>
    </row>
    <row r="1258" spans="1:1" x14ac:dyDescent="0.3">
      <c r="A1258" s="1">
        <v>43626.416666666664</v>
      </c>
    </row>
    <row r="1259" spans="1:1" x14ac:dyDescent="0.3">
      <c r="A1259" s="1">
        <v>43627.416666666664</v>
      </c>
    </row>
    <row r="1260" spans="1:1" x14ac:dyDescent="0.3">
      <c r="A1260" s="1">
        <v>43628.416666666664</v>
      </c>
    </row>
    <row r="1261" spans="1:1" x14ac:dyDescent="0.3">
      <c r="A1261" s="1">
        <v>43629.416666666664</v>
      </c>
    </row>
    <row r="1262" spans="1:1" x14ac:dyDescent="0.3">
      <c r="A1262" s="1">
        <v>43630.416666666664</v>
      </c>
    </row>
    <row r="1263" spans="1:1" x14ac:dyDescent="0.3">
      <c r="A1263" s="1">
        <v>43631.416666666664</v>
      </c>
    </row>
    <row r="1264" spans="1:1" x14ac:dyDescent="0.3">
      <c r="A1264" s="1">
        <v>43632.416666666664</v>
      </c>
    </row>
    <row r="1265" spans="1:1" x14ac:dyDescent="0.3">
      <c r="A1265" s="1">
        <v>43633.416666666664</v>
      </c>
    </row>
    <row r="1266" spans="1:1" x14ac:dyDescent="0.3">
      <c r="A1266" s="1">
        <v>43634.416666666664</v>
      </c>
    </row>
    <row r="1267" spans="1:1" x14ac:dyDescent="0.3">
      <c r="A1267" s="1">
        <v>43635.416666666664</v>
      </c>
    </row>
    <row r="1268" spans="1:1" x14ac:dyDescent="0.3">
      <c r="A1268" s="1">
        <v>43636.416666666664</v>
      </c>
    </row>
    <row r="1269" spans="1:1" x14ac:dyDescent="0.3">
      <c r="A1269" s="1">
        <v>43637.416666666664</v>
      </c>
    </row>
    <row r="1270" spans="1:1" x14ac:dyDescent="0.3">
      <c r="A1270" s="1">
        <v>43638.416666666664</v>
      </c>
    </row>
    <row r="1271" spans="1:1" x14ac:dyDescent="0.3">
      <c r="A1271" s="1">
        <v>43639.416666666664</v>
      </c>
    </row>
    <row r="1272" spans="1:1" x14ac:dyDescent="0.3">
      <c r="A1272" s="1">
        <v>43640.416666666664</v>
      </c>
    </row>
    <row r="1273" spans="1:1" x14ac:dyDescent="0.3">
      <c r="A1273" s="1">
        <v>43641.416666666664</v>
      </c>
    </row>
    <row r="1274" spans="1:1" x14ac:dyDescent="0.3">
      <c r="A1274" s="1">
        <v>43642.416666666664</v>
      </c>
    </row>
    <row r="1275" spans="1:1" x14ac:dyDescent="0.3">
      <c r="A1275" s="1">
        <v>43643.416666666664</v>
      </c>
    </row>
    <row r="1276" spans="1:1" x14ac:dyDescent="0.3">
      <c r="A1276" s="1">
        <v>43644.416666666664</v>
      </c>
    </row>
    <row r="1277" spans="1:1" x14ac:dyDescent="0.3">
      <c r="A1277" s="1">
        <v>43645.416666666664</v>
      </c>
    </row>
    <row r="1278" spans="1:1" x14ac:dyDescent="0.3">
      <c r="A1278" s="1">
        <v>43646.416666666664</v>
      </c>
    </row>
    <row r="1279" spans="1:1" x14ac:dyDescent="0.3">
      <c r="A1279" s="1">
        <v>43647.416666666664</v>
      </c>
    </row>
    <row r="1280" spans="1:1" x14ac:dyDescent="0.3">
      <c r="A1280" s="1">
        <v>43648.416666666664</v>
      </c>
    </row>
    <row r="1281" spans="1:1" x14ac:dyDescent="0.3">
      <c r="A1281" s="1">
        <v>43649.416666666664</v>
      </c>
    </row>
    <row r="1282" spans="1:1" x14ac:dyDescent="0.3">
      <c r="A1282" s="1">
        <v>43650.416666666664</v>
      </c>
    </row>
    <row r="1283" spans="1:1" x14ac:dyDescent="0.3">
      <c r="A1283" s="1">
        <v>43651.416666666664</v>
      </c>
    </row>
    <row r="1284" spans="1:1" x14ac:dyDescent="0.3">
      <c r="A1284" s="1">
        <v>43652.416666666664</v>
      </c>
    </row>
    <row r="1285" spans="1:1" x14ac:dyDescent="0.3">
      <c r="A1285" s="1">
        <v>43653.416666666664</v>
      </c>
    </row>
    <row r="1286" spans="1:1" x14ac:dyDescent="0.3">
      <c r="A1286" s="1">
        <v>43654.416666666664</v>
      </c>
    </row>
    <row r="1287" spans="1:1" x14ac:dyDescent="0.3">
      <c r="A1287" s="1">
        <v>43655.416666666664</v>
      </c>
    </row>
    <row r="1288" spans="1:1" x14ac:dyDescent="0.3">
      <c r="A1288" s="1">
        <v>43656.416666666664</v>
      </c>
    </row>
    <row r="1289" spans="1:1" x14ac:dyDescent="0.3">
      <c r="A1289" s="1">
        <v>43657.416666666664</v>
      </c>
    </row>
    <row r="1290" spans="1:1" x14ac:dyDescent="0.3">
      <c r="A1290" s="1">
        <v>43658.416666666664</v>
      </c>
    </row>
    <row r="1291" spans="1:1" x14ac:dyDescent="0.3">
      <c r="A1291" s="1">
        <v>43659.416666666664</v>
      </c>
    </row>
    <row r="1292" spans="1:1" x14ac:dyDescent="0.3">
      <c r="A1292" s="1">
        <v>43660.416666666664</v>
      </c>
    </row>
    <row r="1293" spans="1:1" x14ac:dyDescent="0.3">
      <c r="A1293" s="1">
        <v>43661.416666666664</v>
      </c>
    </row>
    <row r="1294" spans="1:1" x14ac:dyDescent="0.3">
      <c r="A1294" s="1">
        <v>43662.416666666664</v>
      </c>
    </row>
    <row r="1295" spans="1:1" x14ac:dyDescent="0.3">
      <c r="A1295" s="1">
        <v>43663.416666666664</v>
      </c>
    </row>
    <row r="1296" spans="1:1" x14ac:dyDescent="0.3">
      <c r="A1296" s="1">
        <v>43664.416666666664</v>
      </c>
    </row>
    <row r="1297" spans="1:1" x14ac:dyDescent="0.3">
      <c r="A1297" s="1">
        <v>43665.416666666664</v>
      </c>
    </row>
    <row r="1298" spans="1:1" x14ac:dyDescent="0.3">
      <c r="A1298" s="1">
        <v>43666.416666666664</v>
      </c>
    </row>
    <row r="1299" spans="1:1" x14ac:dyDescent="0.3">
      <c r="A1299" s="1">
        <v>43667.416666666664</v>
      </c>
    </row>
    <row r="1300" spans="1:1" x14ac:dyDescent="0.3">
      <c r="A1300" s="1">
        <v>43668.416666666664</v>
      </c>
    </row>
    <row r="1301" spans="1:1" x14ac:dyDescent="0.3">
      <c r="A1301" s="1">
        <v>43669.416666666664</v>
      </c>
    </row>
    <row r="1302" spans="1:1" x14ac:dyDescent="0.3">
      <c r="A1302" s="1">
        <v>43670.416666666664</v>
      </c>
    </row>
    <row r="1303" spans="1:1" x14ac:dyDescent="0.3">
      <c r="A1303" s="1">
        <v>43671.416666666664</v>
      </c>
    </row>
    <row r="1304" spans="1:1" x14ac:dyDescent="0.3">
      <c r="A1304" s="1">
        <v>43672.416666666664</v>
      </c>
    </row>
    <row r="1305" spans="1:1" x14ac:dyDescent="0.3">
      <c r="A1305" s="1">
        <v>43673.416666666664</v>
      </c>
    </row>
    <row r="1306" spans="1:1" x14ac:dyDescent="0.3">
      <c r="A1306" s="1">
        <v>43674.416666666664</v>
      </c>
    </row>
    <row r="1307" spans="1:1" x14ac:dyDescent="0.3">
      <c r="A1307" s="1">
        <v>43675.416666666664</v>
      </c>
    </row>
    <row r="1308" spans="1:1" x14ac:dyDescent="0.3">
      <c r="A1308" s="1">
        <v>43676.416666666664</v>
      </c>
    </row>
    <row r="1309" spans="1:1" x14ac:dyDescent="0.3">
      <c r="A1309" s="1">
        <v>43677.416666666664</v>
      </c>
    </row>
    <row r="1310" spans="1:1" x14ac:dyDescent="0.3">
      <c r="A1310" s="1">
        <v>43678.416666666664</v>
      </c>
    </row>
    <row r="1311" spans="1:1" x14ac:dyDescent="0.3">
      <c r="A1311" s="1">
        <v>43679.416666666664</v>
      </c>
    </row>
    <row r="1312" spans="1:1" x14ac:dyDescent="0.3">
      <c r="A1312" s="1">
        <v>43680.416666666664</v>
      </c>
    </row>
    <row r="1313" spans="1:1" x14ac:dyDescent="0.3">
      <c r="A1313" s="1">
        <v>43681.416666666664</v>
      </c>
    </row>
    <row r="1314" spans="1:1" x14ac:dyDescent="0.3">
      <c r="A1314" s="1">
        <v>43682.416666666664</v>
      </c>
    </row>
    <row r="1315" spans="1:1" x14ac:dyDescent="0.3">
      <c r="A1315" s="1">
        <v>43683.416666666664</v>
      </c>
    </row>
    <row r="1316" spans="1:1" x14ac:dyDescent="0.3">
      <c r="A1316" s="1">
        <v>43684.416666666664</v>
      </c>
    </row>
    <row r="1317" spans="1:1" x14ac:dyDescent="0.3">
      <c r="A1317" s="1">
        <v>43685.416666666664</v>
      </c>
    </row>
    <row r="1318" spans="1:1" x14ac:dyDescent="0.3">
      <c r="A1318" s="1">
        <v>43686.416666666664</v>
      </c>
    </row>
    <row r="1319" spans="1:1" x14ac:dyDescent="0.3">
      <c r="A1319" s="1">
        <v>43687.416666666664</v>
      </c>
    </row>
    <row r="1320" spans="1:1" x14ac:dyDescent="0.3">
      <c r="A1320" s="1">
        <v>43688.416666666664</v>
      </c>
    </row>
    <row r="1321" spans="1:1" x14ac:dyDescent="0.3">
      <c r="A1321" s="1">
        <v>43689.416666666664</v>
      </c>
    </row>
    <row r="1322" spans="1:1" x14ac:dyDescent="0.3">
      <c r="A1322" s="1">
        <v>43690.416666666664</v>
      </c>
    </row>
    <row r="1323" spans="1:1" x14ac:dyDescent="0.3">
      <c r="A1323" s="1">
        <v>43691.416666666664</v>
      </c>
    </row>
    <row r="1324" spans="1:1" x14ac:dyDescent="0.3">
      <c r="A1324" s="1">
        <v>43692.416666666664</v>
      </c>
    </row>
    <row r="1325" spans="1:1" x14ac:dyDescent="0.3">
      <c r="A1325" s="1">
        <v>43693.416666666664</v>
      </c>
    </row>
    <row r="1326" spans="1:1" x14ac:dyDescent="0.3">
      <c r="A1326" s="1">
        <v>43694.416666666664</v>
      </c>
    </row>
    <row r="1327" spans="1:1" x14ac:dyDescent="0.3">
      <c r="A1327" s="1">
        <v>43695.416666666664</v>
      </c>
    </row>
    <row r="1328" spans="1:1" x14ac:dyDescent="0.3">
      <c r="A1328" s="1">
        <v>43696.416666666664</v>
      </c>
    </row>
    <row r="1329" spans="1:1" x14ac:dyDescent="0.3">
      <c r="A1329" s="1">
        <v>43697.416666666664</v>
      </c>
    </row>
    <row r="1330" spans="1:1" x14ac:dyDescent="0.3">
      <c r="A1330" s="1">
        <v>43698.416666666664</v>
      </c>
    </row>
    <row r="1331" spans="1:1" x14ac:dyDescent="0.3">
      <c r="A1331" s="1">
        <v>43699.416666666664</v>
      </c>
    </row>
    <row r="1332" spans="1:1" x14ac:dyDescent="0.3">
      <c r="A1332" s="1">
        <v>43700.416666666664</v>
      </c>
    </row>
    <row r="1333" spans="1:1" x14ac:dyDescent="0.3">
      <c r="A1333" s="1">
        <v>43701.416666666664</v>
      </c>
    </row>
    <row r="1334" spans="1:1" x14ac:dyDescent="0.3">
      <c r="A1334" s="1">
        <v>43702.416666666664</v>
      </c>
    </row>
    <row r="1335" spans="1:1" x14ac:dyDescent="0.3">
      <c r="A1335" s="1">
        <v>43703.416666666664</v>
      </c>
    </row>
    <row r="1336" spans="1:1" x14ac:dyDescent="0.3">
      <c r="A1336" s="1">
        <v>43704.416666666664</v>
      </c>
    </row>
    <row r="1337" spans="1:1" x14ac:dyDescent="0.3">
      <c r="A1337" s="1">
        <v>43705.416666666664</v>
      </c>
    </row>
    <row r="1338" spans="1:1" x14ac:dyDescent="0.3">
      <c r="A1338" s="1">
        <v>43706.416666666664</v>
      </c>
    </row>
    <row r="1339" spans="1:1" x14ac:dyDescent="0.3">
      <c r="A1339" s="1">
        <v>43707.416666666664</v>
      </c>
    </row>
    <row r="1340" spans="1:1" x14ac:dyDescent="0.3">
      <c r="A1340" s="1">
        <v>43708.416666666664</v>
      </c>
    </row>
    <row r="1341" spans="1:1" x14ac:dyDescent="0.3">
      <c r="A1341" s="1">
        <v>43709.416666666664</v>
      </c>
    </row>
    <row r="1342" spans="1:1" x14ac:dyDescent="0.3">
      <c r="A1342" s="1">
        <v>43710.416666666664</v>
      </c>
    </row>
    <row r="1343" spans="1:1" x14ac:dyDescent="0.3">
      <c r="A1343" s="1">
        <v>43711.416666666664</v>
      </c>
    </row>
    <row r="1344" spans="1:1" x14ac:dyDescent="0.3">
      <c r="A1344" s="1">
        <v>43712.416666666664</v>
      </c>
    </row>
    <row r="1345" spans="1:1" x14ac:dyDescent="0.3">
      <c r="A1345" s="1">
        <v>43713.416666666664</v>
      </c>
    </row>
    <row r="1346" spans="1:1" x14ac:dyDescent="0.3">
      <c r="A1346" s="1">
        <v>43714.416666666664</v>
      </c>
    </row>
    <row r="1347" spans="1:1" x14ac:dyDescent="0.3">
      <c r="A1347" s="1">
        <v>43715.416666666664</v>
      </c>
    </row>
    <row r="1348" spans="1:1" x14ac:dyDescent="0.3">
      <c r="A1348" s="1">
        <v>43716.416666666664</v>
      </c>
    </row>
    <row r="1349" spans="1:1" x14ac:dyDescent="0.3">
      <c r="A1349" s="1">
        <v>43717.416666666664</v>
      </c>
    </row>
    <row r="1350" spans="1:1" x14ac:dyDescent="0.3">
      <c r="A1350" s="1">
        <v>43718.416666666664</v>
      </c>
    </row>
    <row r="1351" spans="1:1" x14ac:dyDescent="0.3">
      <c r="A1351" s="1">
        <v>43719.416666666664</v>
      </c>
    </row>
    <row r="1352" spans="1:1" x14ac:dyDescent="0.3">
      <c r="A1352" s="1">
        <v>43720.416666666664</v>
      </c>
    </row>
    <row r="1353" spans="1:1" x14ac:dyDescent="0.3">
      <c r="A1353" s="1">
        <v>43721.416666666664</v>
      </c>
    </row>
    <row r="1354" spans="1:1" x14ac:dyDescent="0.3">
      <c r="A1354" s="1">
        <v>43722.416666666664</v>
      </c>
    </row>
    <row r="1355" spans="1:1" x14ac:dyDescent="0.3">
      <c r="A1355" s="1">
        <v>43723.416666666664</v>
      </c>
    </row>
    <row r="1356" spans="1:1" x14ac:dyDescent="0.3">
      <c r="A1356" s="1">
        <v>43724.416666666664</v>
      </c>
    </row>
    <row r="1357" spans="1:1" x14ac:dyDescent="0.3">
      <c r="A1357" s="1">
        <v>43725.416666666664</v>
      </c>
    </row>
    <row r="1358" spans="1:1" x14ac:dyDescent="0.3">
      <c r="A1358" s="1">
        <v>43726.416666666664</v>
      </c>
    </row>
    <row r="1359" spans="1:1" x14ac:dyDescent="0.3">
      <c r="A1359" s="1">
        <v>43727.416666666664</v>
      </c>
    </row>
    <row r="1360" spans="1:1" x14ac:dyDescent="0.3">
      <c r="A1360" s="1">
        <v>43728.416666666664</v>
      </c>
    </row>
    <row r="1361" spans="1:1" x14ac:dyDescent="0.3">
      <c r="A1361" s="1">
        <v>43729.416666666664</v>
      </c>
    </row>
    <row r="1362" spans="1:1" x14ac:dyDescent="0.3">
      <c r="A1362" s="1">
        <v>43730.416666666664</v>
      </c>
    </row>
    <row r="1363" spans="1:1" x14ac:dyDescent="0.3">
      <c r="A1363" s="1">
        <v>43731.416666666664</v>
      </c>
    </row>
    <row r="1364" spans="1:1" x14ac:dyDescent="0.3">
      <c r="A1364" s="1">
        <v>43732.416666666664</v>
      </c>
    </row>
    <row r="1365" spans="1:1" x14ac:dyDescent="0.3">
      <c r="A1365" s="1">
        <v>43733.416666666664</v>
      </c>
    </row>
    <row r="1366" spans="1:1" x14ac:dyDescent="0.3">
      <c r="A1366" s="1">
        <v>43734.416666666664</v>
      </c>
    </row>
    <row r="1367" spans="1:1" x14ac:dyDescent="0.3">
      <c r="A1367" s="1">
        <v>43735.416666666664</v>
      </c>
    </row>
    <row r="1368" spans="1:1" x14ac:dyDescent="0.3">
      <c r="A1368" s="1">
        <v>43736.416666666664</v>
      </c>
    </row>
    <row r="1369" spans="1:1" x14ac:dyDescent="0.3">
      <c r="A1369" s="1">
        <v>43737.416666666664</v>
      </c>
    </row>
    <row r="1370" spans="1:1" x14ac:dyDescent="0.3">
      <c r="A1370" s="1">
        <v>43738.416666666664</v>
      </c>
    </row>
    <row r="1371" spans="1:1" x14ac:dyDescent="0.3">
      <c r="A1371" s="1">
        <v>43739.416666666664</v>
      </c>
    </row>
    <row r="1372" spans="1:1" x14ac:dyDescent="0.3">
      <c r="A1372" s="1">
        <v>43740.416666666664</v>
      </c>
    </row>
    <row r="1373" spans="1:1" x14ac:dyDescent="0.3">
      <c r="A1373" s="1">
        <v>43741.416666666664</v>
      </c>
    </row>
    <row r="1374" spans="1:1" x14ac:dyDescent="0.3">
      <c r="A1374" s="1">
        <v>43742.416666666664</v>
      </c>
    </row>
    <row r="1375" spans="1:1" x14ac:dyDescent="0.3">
      <c r="A1375" s="1">
        <v>43743.416666666664</v>
      </c>
    </row>
    <row r="1376" spans="1:1" x14ac:dyDescent="0.3">
      <c r="A1376" s="1">
        <v>43744.416666666664</v>
      </c>
    </row>
    <row r="1377" spans="1:1" x14ac:dyDescent="0.3">
      <c r="A1377" s="1">
        <v>43745.416666666664</v>
      </c>
    </row>
    <row r="1378" spans="1:1" x14ac:dyDescent="0.3">
      <c r="A1378" s="1">
        <v>43746.416666666664</v>
      </c>
    </row>
    <row r="1379" spans="1:1" x14ac:dyDescent="0.3">
      <c r="A1379" s="1">
        <v>43747.416666666664</v>
      </c>
    </row>
    <row r="1380" spans="1:1" x14ac:dyDescent="0.3">
      <c r="A1380" s="1">
        <v>43748.416666666664</v>
      </c>
    </row>
    <row r="1381" spans="1:1" x14ac:dyDescent="0.3">
      <c r="A1381" s="1">
        <v>43749.416666666664</v>
      </c>
    </row>
    <row r="1382" spans="1:1" x14ac:dyDescent="0.3">
      <c r="A1382" s="1">
        <v>43750.416666666664</v>
      </c>
    </row>
    <row r="1383" spans="1:1" x14ac:dyDescent="0.3">
      <c r="A1383" s="1">
        <v>43751.416666666664</v>
      </c>
    </row>
    <row r="1384" spans="1:1" x14ac:dyDescent="0.3">
      <c r="A1384" s="1">
        <v>43752.416666666664</v>
      </c>
    </row>
    <row r="1385" spans="1:1" x14ac:dyDescent="0.3">
      <c r="A1385" s="1">
        <v>43753.416666666664</v>
      </c>
    </row>
    <row r="1386" spans="1:1" x14ac:dyDescent="0.3">
      <c r="A1386" s="1">
        <v>43754.416666666664</v>
      </c>
    </row>
    <row r="1387" spans="1:1" x14ac:dyDescent="0.3">
      <c r="A1387" s="1">
        <v>43755.416666666664</v>
      </c>
    </row>
    <row r="1388" spans="1:1" x14ac:dyDescent="0.3">
      <c r="A1388" s="1">
        <v>43756.416666666664</v>
      </c>
    </row>
    <row r="1389" spans="1:1" x14ac:dyDescent="0.3">
      <c r="A1389" s="1">
        <v>43757.416666666664</v>
      </c>
    </row>
    <row r="1390" spans="1:1" x14ac:dyDescent="0.3">
      <c r="A1390" s="1">
        <v>43758.416666666664</v>
      </c>
    </row>
    <row r="1391" spans="1:1" x14ac:dyDescent="0.3">
      <c r="A1391" s="1">
        <v>43759.416666666664</v>
      </c>
    </row>
    <row r="1392" spans="1:1" x14ac:dyDescent="0.3">
      <c r="A1392" s="1">
        <v>43760.416666666664</v>
      </c>
    </row>
    <row r="1393" spans="1:1" x14ac:dyDescent="0.3">
      <c r="A1393" s="1">
        <v>43761.416666666664</v>
      </c>
    </row>
    <row r="1394" spans="1:1" x14ac:dyDescent="0.3">
      <c r="A1394" s="1">
        <v>43762.416666666664</v>
      </c>
    </row>
    <row r="1395" spans="1:1" x14ac:dyDescent="0.3">
      <c r="A1395" s="1">
        <v>43763.416666666664</v>
      </c>
    </row>
    <row r="1396" spans="1:1" x14ac:dyDescent="0.3">
      <c r="A1396" s="1">
        <v>43764.416666666664</v>
      </c>
    </row>
    <row r="1397" spans="1:1" x14ac:dyDescent="0.3">
      <c r="A1397" s="1">
        <v>43765.416666666664</v>
      </c>
    </row>
    <row r="1398" spans="1:1" x14ac:dyDescent="0.3">
      <c r="A1398" s="1">
        <v>43766.416666666664</v>
      </c>
    </row>
    <row r="1399" spans="1:1" x14ac:dyDescent="0.3">
      <c r="A1399" s="1">
        <v>43767.416666666664</v>
      </c>
    </row>
    <row r="1400" spans="1:1" x14ac:dyDescent="0.3">
      <c r="A1400" s="1">
        <v>43768.416666666664</v>
      </c>
    </row>
    <row r="1401" spans="1:1" x14ac:dyDescent="0.3">
      <c r="A1401" s="1">
        <v>43769.416666666664</v>
      </c>
    </row>
    <row r="1402" spans="1:1" x14ac:dyDescent="0.3">
      <c r="A1402" s="1">
        <v>43770.416666666664</v>
      </c>
    </row>
    <row r="1403" spans="1:1" x14ac:dyDescent="0.3">
      <c r="A1403" s="1">
        <v>43771.416666666664</v>
      </c>
    </row>
    <row r="1404" spans="1:1" x14ac:dyDescent="0.3">
      <c r="A1404" s="1">
        <v>43772.416666666664</v>
      </c>
    </row>
    <row r="1405" spans="1:1" x14ac:dyDescent="0.3">
      <c r="A1405" s="1">
        <v>43773.416666666664</v>
      </c>
    </row>
    <row r="1406" spans="1:1" x14ac:dyDescent="0.3">
      <c r="A1406" s="1">
        <v>43774.416666666664</v>
      </c>
    </row>
    <row r="1407" spans="1:1" x14ac:dyDescent="0.3">
      <c r="A1407" s="1">
        <v>43775.416666666664</v>
      </c>
    </row>
    <row r="1408" spans="1:1" x14ac:dyDescent="0.3">
      <c r="A1408" s="1">
        <v>43776.416666666664</v>
      </c>
    </row>
    <row r="1409" spans="1:1" x14ac:dyDescent="0.3">
      <c r="A1409" s="1">
        <v>43777.416666666664</v>
      </c>
    </row>
    <row r="1410" spans="1:1" x14ac:dyDescent="0.3">
      <c r="A1410" s="1">
        <v>43778.416666666664</v>
      </c>
    </row>
    <row r="1411" spans="1:1" x14ac:dyDescent="0.3">
      <c r="A1411" s="1">
        <v>43779.416666666664</v>
      </c>
    </row>
    <row r="1412" spans="1:1" x14ac:dyDescent="0.3">
      <c r="A1412" s="1">
        <v>43780.416666666664</v>
      </c>
    </row>
    <row r="1413" spans="1:1" x14ac:dyDescent="0.3">
      <c r="A1413" s="1">
        <v>43781.416666666664</v>
      </c>
    </row>
    <row r="1414" spans="1:1" x14ac:dyDescent="0.3">
      <c r="A1414" s="1">
        <v>43782.416666666664</v>
      </c>
    </row>
    <row r="1415" spans="1:1" x14ac:dyDescent="0.3">
      <c r="A1415" s="1">
        <v>43783.416666666664</v>
      </c>
    </row>
    <row r="1416" spans="1:1" x14ac:dyDescent="0.3">
      <c r="A1416" s="1">
        <v>43784.416666666664</v>
      </c>
    </row>
    <row r="1417" spans="1:1" x14ac:dyDescent="0.3">
      <c r="A1417" s="1">
        <v>43785.416666666664</v>
      </c>
    </row>
    <row r="1418" spans="1:1" x14ac:dyDescent="0.3">
      <c r="A1418" s="1">
        <v>43786.416666666664</v>
      </c>
    </row>
    <row r="1419" spans="1:1" x14ac:dyDescent="0.3">
      <c r="A1419" s="1">
        <v>43787.416666666664</v>
      </c>
    </row>
    <row r="1420" spans="1:1" x14ac:dyDescent="0.3">
      <c r="A1420" s="1">
        <v>43788.416666666664</v>
      </c>
    </row>
    <row r="1421" spans="1:1" x14ac:dyDescent="0.3">
      <c r="A1421" s="1">
        <v>43789.416666666664</v>
      </c>
    </row>
    <row r="1422" spans="1:1" x14ac:dyDescent="0.3">
      <c r="A1422" s="1">
        <v>43790.416666666664</v>
      </c>
    </row>
    <row r="1423" spans="1:1" x14ac:dyDescent="0.3">
      <c r="A1423" s="1">
        <v>43791.416666666664</v>
      </c>
    </row>
    <row r="1424" spans="1:1" x14ac:dyDescent="0.3">
      <c r="A1424" s="1">
        <v>43792.416666666664</v>
      </c>
    </row>
    <row r="1425" spans="1:1" x14ac:dyDescent="0.3">
      <c r="A1425" s="1">
        <v>43793.416666666664</v>
      </c>
    </row>
    <row r="1426" spans="1:1" x14ac:dyDescent="0.3">
      <c r="A1426" s="1">
        <v>43794.416666666664</v>
      </c>
    </row>
    <row r="1427" spans="1:1" x14ac:dyDescent="0.3">
      <c r="A1427" s="1">
        <v>43795.416666666664</v>
      </c>
    </row>
    <row r="1428" spans="1:1" x14ac:dyDescent="0.3">
      <c r="A1428" s="1">
        <v>43796.416666666664</v>
      </c>
    </row>
    <row r="1429" spans="1:1" x14ac:dyDescent="0.3">
      <c r="A1429" s="1">
        <v>43797.416666666664</v>
      </c>
    </row>
    <row r="1430" spans="1:1" x14ac:dyDescent="0.3">
      <c r="A1430" s="1">
        <v>43798.416666666664</v>
      </c>
    </row>
    <row r="1431" spans="1:1" x14ac:dyDescent="0.3">
      <c r="A1431" s="1">
        <v>43799.416666666664</v>
      </c>
    </row>
    <row r="1432" spans="1:1" x14ac:dyDescent="0.3">
      <c r="A1432" s="1">
        <v>43800.416666666664</v>
      </c>
    </row>
    <row r="1433" spans="1:1" x14ac:dyDescent="0.3">
      <c r="A1433" s="1">
        <v>43801.416666666664</v>
      </c>
    </row>
    <row r="1434" spans="1:1" x14ac:dyDescent="0.3">
      <c r="A1434" s="1">
        <v>43802.416666666664</v>
      </c>
    </row>
    <row r="1435" spans="1:1" x14ac:dyDescent="0.3">
      <c r="A1435" s="1">
        <v>43803.416666666664</v>
      </c>
    </row>
    <row r="1436" spans="1:1" x14ac:dyDescent="0.3">
      <c r="A1436" s="1">
        <v>43804.416666666664</v>
      </c>
    </row>
    <row r="1437" spans="1:1" x14ac:dyDescent="0.3">
      <c r="A1437" s="1">
        <v>43805.416666666664</v>
      </c>
    </row>
    <row r="1438" spans="1:1" x14ac:dyDescent="0.3">
      <c r="A1438" s="1">
        <v>43806.416666666664</v>
      </c>
    </row>
    <row r="1439" spans="1:1" x14ac:dyDescent="0.3">
      <c r="A1439" s="1">
        <v>43807.416666666664</v>
      </c>
    </row>
    <row r="1440" spans="1:1" x14ac:dyDescent="0.3">
      <c r="A1440" s="1">
        <v>43808.416666666664</v>
      </c>
    </row>
    <row r="1441" spans="1:1" x14ac:dyDescent="0.3">
      <c r="A1441" s="1">
        <v>43809.416666666664</v>
      </c>
    </row>
    <row r="1442" spans="1:1" x14ac:dyDescent="0.3">
      <c r="A1442" s="1">
        <v>43810.416666666664</v>
      </c>
    </row>
    <row r="1443" spans="1:1" x14ac:dyDescent="0.3">
      <c r="A1443" s="1">
        <v>43811.416666666664</v>
      </c>
    </row>
    <row r="1444" spans="1:1" x14ac:dyDescent="0.3">
      <c r="A1444" s="1">
        <v>43812.416666666664</v>
      </c>
    </row>
    <row r="1445" spans="1:1" x14ac:dyDescent="0.3">
      <c r="A1445" s="1">
        <v>43813.416666666664</v>
      </c>
    </row>
    <row r="1446" spans="1:1" x14ac:dyDescent="0.3">
      <c r="A1446" s="1">
        <v>43814.416666666664</v>
      </c>
    </row>
    <row r="1447" spans="1:1" x14ac:dyDescent="0.3">
      <c r="A1447" s="1">
        <v>43815.416666666664</v>
      </c>
    </row>
    <row r="1448" spans="1:1" x14ac:dyDescent="0.3">
      <c r="A1448" s="1">
        <v>43816.416666666664</v>
      </c>
    </row>
    <row r="1449" spans="1:1" x14ac:dyDescent="0.3">
      <c r="A1449" s="1">
        <v>43817.416666666664</v>
      </c>
    </row>
    <row r="1450" spans="1:1" x14ac:dyDescent="0.3">
      <c r="A1450" s="1">
        <v>43818.416666666664</v>
      </c>
    </row>
    <row r="1451" spans="1:1" x14ac:dyDescent="0.3">
      <c r="A1451" s="1">
        <v>43819.416666666664</v>
      </c>
    </row>
    <row r="1452" spans="1:1" x14ac:dyDescent="0.3">
      <c r="A1452" s="1">
        <v>43820.416666666664</v>
      </c>
    </row>
    <row r="1453" spans="1:1" x14ac:dyDescent="0.3">
      <c r="A1453" s="1">
        <v>43821.416666666664</v>
      </c>
    </row>
    <row r="1454" spans="1:1" x14ac:dyDescent="0.3">
      <c r="A1454" s="1">
        <v>43822.416666666664</v>
      </c>
    </row>
    <row r="1455" spans="1:1" x14ac:dyDescent="0.3">
      <c r="A1455" s="1">
        <v>43823.416666666664</v>
      </c>
    </row>
    <row r="1456" spans="1:1" x14ac:dyDescent="0.3">
      <c r="A1456" s="1">
        <v>43824.416666666664</v>
      </c>
    </row>
    <row r="1457" spans="1:1" x14ac:dyDescent="0.3">
      <c r="A1457" s="1">
        <v>43825.416666666664</v>
      </c>
    </row>
    <row r="1458" spans="1:1" x14ac:dyDescent="0.3">
      <c r="A1458" s="1">
        <v>43826.416666666664</v>
      </c>
    </row>
    <row r="1459" spans="1:1" x14ac:dyDescent="0.3">
      <c r="A1459" s="1">
        <v>43827.416666666664</v>
      </c>
    </row>
    <row r="1460" spans="1:1" x14ac:dyDescent="0.3">
      <c r="A1460" s="1">
        <v>43828.416666666664</v>
      </c>
    </row>
    <row r="1461" spans="1:1" x14ac:dyDescent="0.3">
      <c r="A1461" s="1">
        <v>43829.416666666664</v>
      </c>
    </row>
    <row r="1462" spans="1:1" x14ac:dyDescent="0.3">
      <c r="A1462" s="1">
        <v>43830.416666666664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6DEF-8423-4706-BB55-524A424A694D}">
  <dimension ref="A1:A1462"/>
  <sheetViews>
    <sheetView workbookViewId="0">
      <selection activeCell="D2" sqref="D2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2">
        <f>466.34389327567*(1/3.6)</f>
        <v>129.53997035435276</v>
      </c>
    </row>
    <row r="3" spans="1:1" x14ac:dyDescent="0.3">
      <c r="A3" s="2">
        <f>468.721725310199*(1/3.6)</f>
        <v>130.20047925283299</v>
      </c>
    </row>
    <row r="4" spans="1:1" x14ac:dyDescent="0.3">
      <c r="A4" s="2">
        <f>468.674314109595*(1/3.6)</f>
        <v>130.18730947488751</v>
      </c>
    </row>
    <row r="5" spans="1:1" x14ac:dyDescent="0.3">
      <c r="A5" s="2">
        <f>468.418652214947*(1/3.6)</f>
        <v>130.11629228192959</v>
      </c>
    </row>
    <row r="6" spans="1:1" x14ac:dyDescent="0.3">
      <c r="A6" s="2">
        <f>467.613050684429*(1/3.6)</f>
        <v>129.89251407900792</v>
      </c>
    </row>
    <row r="7" spans="1:1" x14ac:dyDescent="0.3">
      <c r="A7" s="2">
        <f>468.08726136013*(1/3.6)</f>
        <v>130.02423926670292</v>
      </c>
    </row>
    <row r="8" spans="1:1" x14ac:dyDescent="0.3">
      <c r="A8" s="2">
        <f>466.882135268793*(1/3.6)</f>
        <v>129.68948201910916</v>
      </c>
    </row>
    <row r="9" spans="1:1" x14ac:dyDescent="0.3">
      <c r="A9" s="2">
        <f>466.846297272001*(1/3.6)</f>
        <v>129.67952702000028</v>
      </c>
    </row>
    <row r="10" spans="1:1" x14ac:dyDescent="0.3">
      <c r="A10" s="2">
        <f>466.602895900887*(1/3.6)</f>
        <v>129.61191552802427</v>
      </c>
    </row>
    <row r="11" spans="1:1" x14ac:dyDescent="0.3">
      <c r="A11" s="2">
        <f>465.699312092536*(1/3.6)</f>
        <v>129.36092002570436</v>
      </c>
    </row>
    <row r="12" spans="1:1" x14ac:dyDescent="0.3">
      <c r="A12" s="2">
        <f>468.368197180998*(1/3.6)</f>
        <v>130.10227699472154</v>
      </c>
    </row>
    <row r="13" spans="1:1" x14ac:dyDescent="0.3">
      <c r="A13" s="2">
        <f>465.091338645162*(1/3.6)</f>
        <v>129.192038512545</v>
      </c>
    </row>
    <row r="14" spans="1:1" x14ac:dyDescent="0.3">
      <c r="A14" s="2">
        <f>465.828890649037*(1/3.6)</f>
        <v>129.396914069177</v>
      </c>
    </row>
    <row r="15" spans="1:1" x14ac:dyDescent="0.3">
      <c r="A15" s="2">
        <f>466.289111370734*(1/3.6)</f>
        <v>129.52475315853729</v>
      </c>
    </row>
    <row r="16" spans="1:1" x14ac:dyDescent="0.3">
      <c r="A16" s="2">
        <f>465.829299886571*(1/3.6)</f>
        <v>129.39702774626966</v>
      </c>
    </row>
    <row r="17" spans="1:1" x14ac:dyDescent="0.3">
      <c r="A17" s="2">
        <f>464.444529932123*(1/3.6)</f>
        <v>129.0123694255897</v>
      </c>
    </row>
    <row r="18" spans="1:1" x14ac:dyDescent="0.3">
      <c r="A18" s="2">
        <f>462.81529683837*(1/3.6)</f>
        <v>128.55980467732493</v>
      </c>
    </row>
    <row r="19" spans="1:1" x14ac:dyDescent="0.3">
      <c r="A19" s="2">
        <f>463.892815729108*(1/3.6)</f>
        <v>128.85911548030768</v>
      </c>
    </row>
    <row r="20" spans="1:1" x14ac:dyDescent="0.3">
      <c r="A20" s="2">
        <f>465.718638275129*(1/3.6)</f>
        <v>129.36628840975794</v>
      </c>
    </row>
    <row r="21" spans="1:1" x14ac:dyDescent="0.3">
      <c r="A21" s="2">
        <f>464.140399685468*(1/3.6)</f>
        <v>128.9278888015188</v>
      </c>
    </row>
    <row r="22" spans="1:1" x14ac:dyDescent="0.3">
      <c r="A22" s="2">
        <f>463.088466661189*(1/3.6)</f>
        <v>128.6356851836637</v>
      </c>
    </row>
    <row r="23" spans="1:1" x14ac:dyDescent="0.3">
      <c r="A23" s="2">
        <f>464.785126025949*(1/3.6)</f>
        <v>129.10697945165248</v>
      </c>
    </row>
    <row r="24" spans="1:1" x14ac:dyDescent="0.3">
      <c r="A24" s="2">
        <f>464.230878896773*(1/3.6)</f>
        <v>128.95302191577042</v>
      </c>
    </row>
    <row r="25" spans="1:1" x14ac:dyDescent="0.3">
      <c r="A25" s="2">
        <f>463.80597499693*(1/3.6)</f>
        <v>128.83499305470266</v>
      </c>
    </row>
    <row r="26" spans="1:1" x14ac:dyDescent="0.3">
      <c r="A26" s="2">
        <f>475.323883014224*(1/3.6)</f>
        <v>132.0344119483955</v>
      </c>
    </row>
    <row r="27" spans="1:1" x14ac:dyDescent="0.3">
      <c r="A27" s="2">
        <f>464.807034080655*(1/3.6)</f>
        <v>129.11306502240427</v>
      </c>
    </row>
    <row r="28" spans="1:1" x14ac:dyDescent="0.3">
      <c r="A28" s="2">
        <f>463.24401602168*(1/3.6)</f>
        <v>128.67889333935548</v>
      </c>
    </row>
    <row r="29" spans="1:1" x14ac:dyDescent="0.3">
      <c r="A29" s="2">
        <f>462.135521851263*(1/3.6)</f>
        <v>128.37097829201753</v>
      </c>
    </row>
    <row r="30" spans="1:1" x14ac:dyDescent="0.3">
      <c r="A30" s="2">
        <f>462.772751501438*(1/3.6)</f>
        <v>128.54798652817718</v>
      </c>
    </row>
    <row r="31" spans="1:1" x14ac:dyDescent="0.3">
      <c r="A31" s="2">
        <f>460.823842741774*(1/3.6)</f>
        <v>128.00662298382605</v>
      </c>
    </row>
    <row r="32" spans="1:1" x14ac:dyDescent="0.3">
      <c r="A32" s="2">
        <f>461.679262628025*(1/3.6)</f>
        <v>128.24423961889582</v>
      </c>
    </row>
    <row r="33" spans="1:1" x14ac:dyDescent="0.3">
      <c r="A33" s="2">
        <f>463.546648366355*(1/3.6)</f>
        <v>128.76295787954308</v>
      </c>
    </row>
    <row r="34" spans="1:1" x14ac:dyDescent="0.3">
      <c r="A34" s="2">
        <f>462.813141881651*(1/3.6)</f>
        <v>128.55920607823634</v>
      </c>
    </row>
    <row r="35" spans="1:1" x14ac:dyDescent="0.3">
      <c r="A35" s="2">
        <f>460.348014014356*(1/3.6)</f>
        <v>127.87444833732107</v>
      </c>
    </row>
    <row r="36" spans="1:1" x14ac:dyDescent="0.3">
      <c r="A36" s="2">
        <f>459.264142079325*(1/3.6)</f>
        <v>127.5733727998126</v>
      </c>
    </row>
    <row r="37" spans="1:1" x14ac:dyDescent="0.3">
      <c r="A37" s="2">
        <f>457.982840410824*(1/3.6)</f>
        <v>127.21745566967321</v>
      </c>
    </row>
    <row r="38" spans="1:1" x14ac:dyDescent="0.3">
      <c r="A38" s="2">
        <f>455.675576662403*(1/3.6)</f>
        <v>126.57654907288975</v>
      </c>
    </row>
    <row r="39" spans="1:1" x14ac:dyDescent="0.3">
      <c r="A39" s="2">
        <f>455.066747624972*(1/3.6)</f>
        <v>126.40742989582559</v>
      </c>
    </row>
    <row r="40" spans="1:1" x14ac:dyDescent="0.3">
      <c r="A40" s="2">
        <f>458.199934247158*(1/3.6)</f>
        <v>127.27775951309951</v>
      </c>
    </row>
    <row r="41" spans="1:1" x14ac:dyDescent="0.3">
      <c r="A41" s="2">
        <f>474.010794352988*(1/3.6)</f>
        <v>131.66966509805209</v>
      </c>
    </row>
    <row r="42" spans="1:1" x14ac:dyDescent="0.3">
      <c r="A42" s="2">
        <f>475.68347662454*(1/3.6)</f>
        <v>132.13429906237229</v>
      </c>
    </row>
    <row r="43" spans="1:1" x14ac:dyDescent="0.3">
      <c r="A43" s="2">
        <f>476.414551848382*(1/3.6)</f>
        <v>132.33737551343938</v>
      </c>
    </row>
    <row r="44" spans="1:1" x14ac:dyDescent="0.3">
      <c r="A44" s="2">
        <f>474.449857169452*(1/3.6)</f>
        <v>131.79162699151433</v>
      </c>
    </row>
    <row r="45" spans="1:1" x14ac:dyDescent="0.3">
      <c r="A45" s="2">
        <f>474.210717986218*(1/3.6)</f>
        <v>131.725199440616</v>
      </c>
    </row>
    <row r="46" spans="1:1" x14ac:dyDescent="0.3">
      <c r="A46" s="2">
        <f>474.955831195392*(1/3.6)</f>
        <v>131.93217533205319</v>
      </c>
    </row>
    <row r="47" spans="1:1" x14ac:dyDescent="0.3">
      <c r="A47" s="2">
        <f>472.034516912099*(1/3.6)</f>
        <v>131.12069914224961</v>
      </c>
    </row>
    <row r="48" spans="1:1" x14ac:dyDescent="0.3">
      <c r="A48" s="2">
        <f>473.803916023483*(1/3.6)</f>
        <v>131.61219889541192</v>
      </c>
    </row>
    <row r="49" spans="1:1" x14ac:dyDescent="0.3">
      <c r="A49" s="2">
        <f>473.203340383941*(1/3.6)</f>
        <v>131.44537232887242</v>
      </c>
    </row>
    <row r="50" spans="1:1" x14ac:dyDescent="0.3">
      <c r="A50" s="2">
        <f>472.870924814738*(1/3.6)</f>
        <v>131.35303467076062</v>
      </c>
    </row>
    <row r="51" spans="1:1" x14ac:dyDescent="0.3">
      <c r="A51" s="2">
        <f>471.333705692124*(1/3.6)</f>
        <v>130.92602935892327</v>
      </c>
    </row>
    <row r="52" spans="1:1" x14ac:dyDescent="0.3">
      <c r="A52" s="2">
        <f>455.651670510662*(1/3.6)</f>
        <v>126.56990847518395</v>
      </c>
    </row>
    <row r="53" spans="1:1" x14ac:dyDescent="0.3">
      <c r="A53" s="2">
        <f>452.934216931504*(1/3.6)</f>
        <v>125.81506025875099</v>
      </c>
    </row>
    <row r="54" spans="1:1" x14ac:dyDescent="0.3">
      <c r="A54" s="2">
        <f>449.84909712731*(1/3.6)</f>
        <v>124.95808253536379</v>
      </c>
    </row>
    <row r="55" spans="1:1" x14ac:dyDescent="0.3">
      <c r="A55" s="2">
        <f>450.898895397183*(1/3.6)</f>
        <v>125.2496931658843</v>
      </c>
    </row>
    <row r="56" spans="1:1" x14ac:dyDescent="0.3">
      <c r="A56" s="2">
        <f>450.539175795795*(1/3.6)</f>
        <v>125.14977105438754</v>
      </c>
    </row>
    <row r="57" spans="1:1" x14ac:dyDescent="0.3">
      <c r="A57" s="2">
        <f>448.817471120066*(1/3.6)</f>
        <v>124.67151975557402</v>
      </c>
    </row>
    <row r="58" spans="1:1" x14ac:dyDescent="0.3">
      <c r="A58" s="2">
        <f>450.588065070693*(1/3.6)</f>
        <v>125.16335140852588</v>
      </c>
    </row>
    <row r="59" spans="1:1" x14ac:dyDescent="0.3">
      <c r="A59" s="2">
        <f>451.528219962972*(1/3.6)</f>
        <v>125.42450554527014</v>
      </c>
    </row>
    <row r="60" spans="1:1" x14ac:dyDescent="0.3">
      <c r="A60" s="2">
        <f>448.1674826336*(1/3.6)</f>
        <v>124.49096739822222</v>
      </c>
    </row>
    <row r="61" spans="1:1" x14ac:dyDescent="0.3">
      <c r="A61" s="2">
        <f>450.563746771278*(1/3.6)</f>
        <v>125.15659632535501</v>
      </c>
    </row>
    <row r="62" spans="1:1" x14ac:dyDescent="0.3">
      <c r="A62" s="2">
        <f>449.029377383775*(1/3.6)</f>
        <v>124.73038260660411</v>
      </c>
    </row>
    <row r="63" spans="1:1" x14ac:dyDescent="0.3">
      <c r="A63" s="2">
        <f>448.800200946191*(1/3.6)</f>
        <v>124.66672248505313</v>
      </c>
    </row>
    <row r="64" spans="1:1" x14ac:dyDescent="0.3">
      <c r="A64" s="2">
        <f>448.99199257022*(1/3.6)</f>
        <v>124.71999793617225</v>
      </c>
    </row>
    <row r="65" spans="1:1" x14ac:dyDescent="0.3">
      <c r="A65" s="2">
        <f>448.207056339836*(1/3.6)</f>
        <v>124.50196009439885</v>
      </c>
    </row>
    <row r="66" spans="1:1" x14ac:dyDescent="0.3">
      <c r="A66" s="2">
        <f>447.403241921381*(1/3.6)</f>
        <v>124.27867831149479</v>
      </c>
    </row>
    <row r="67" spans="1:1" x14ac:dyDescent="0.3">
      <c r="A67" s="2">
        <f>447.813826239554*(1/3.6)</f>
        <v>124.39272951098718</v>
      </c>
    </row>
    <row r="68" spans="1:1" x14ac:dyDescent="0.3">
      <c r="A68" s="2">
        <f>447.74871646676*(1/3.6)</f>
        <v>124.37464346298887</v>
      </c>
    </row>
    <row r="69" spans="1:1" x14ac:dyDescent="0.3">
      <c r="A69" s="2">
        <f>113.394811686875*(1/3.6)</f>
        <v>31.498558801909589</v>
      </c>
    </row>
    <row r="70" spans="1:1" x14ac:dyDescent="0.3">
      <c r="A70" s="2">
        <f>115.013545385776*(1/3.6)</f>
        <v>31.948207051604534</v>
      </c>
    </row>
    <row r="71" spans="1:1" x14ac:dyDescent="0.3">
      <c r="A71" s="2">
        <f>115.119665785212*(1/3.6)</f>
        <v>31.97768494033663</v>
      </c>
    </row>
    <row r="72" spans="1:1" x14ac:dyDescent="0.3">
      <c r="A72" s="2">
        <f>447.040389157949*(1/3.6)</f>
        <v>124.177885877208</v>
      </c>
    </row>
    <row r="73" spans="1:1" x14ac:dyDescent="0.3">
      <c r="A73" s="2">
        <f>444.19271521866*(1/3.6)</f>
        <v>123.38686533851666</v>
      </c>
    </row>
    <row r="74" spans="1:1" x14ac:dyDescent="0.3">
      <c r="A74" s="2">
        <f>444.153917084826*(1/3.6)</f>
        <v>123.3760880791184</v>
      </c>
    </row>
    <row r="75" spans="1:1" x14ac:dyDescent="0.3">
      <c r="A75" s="2">
        <f>443.691023392814*(1/3.6)</f>
        <v>123.2475064980039</v>
      </c>
    </row>
    <row r="76" spans="1:1" x14ac:dyDescent="0.3">
      <c r="A76" s="2">
        <f>445.786378532226*(1/3.6)</f>
        <v>123.82954959228495</v>
      </c>
    </row>
    <row r="77" spans="1:1" x14ac:dyDescent="0.3">
      <c r="A77" s="2">
        <f>313.511521157598*(1/3.6)</f>
        <v>87.086533654888271</v>
      </c>
    </row>
    <row r="78" spans="1:1" x14ac:dyDescent="0.3">
      <c r="A78" s="2">
        <f>312.910349276509*(1/3.6)</f>
        <v>86.919541465697009</v>
      </c>
    </row>
    <row r="79" spans="1:1" x14ac:dyDescent="0.3">
      <c r="A79" s="2">
        <f>315.019851269957*(1/3.6)</f>
        <v>87.505514241654595</v>
      </c>
    </row>
    <row r="80" spans="1:1" x14ac:dyDescent="0.3">
      <c r="A80" s="2">
        <f>310.144148456626*(1/3.6)</f>
        <v>86.151152349062798</v>
      </c>
    </row>
    <row r="81" spans="1:1" x14ac:dyDescent="0.3">
      <c r="A81" s="2">
        <f>308.662561973546*(1/3.6)</f>
        <v>85.739600548207108</v>
      </c>
    </row>
    <row r="82" spans="1:1" x14ac:dyDescent="0.3">
      <c r="A82" s="2">
        <f>309.56370948866*(1/3.6)</f>
        <v>85.989919302405497</v>
      </c>
    </row>
    <row r="83" spans="1:1" x14ac:dyDescent="0.3">
      <c r="A83" s="2">
        <f>456.00914240982*(1/3.6)</f>
        <v>126.66920622495012</v>
      </c>
    </row>
    <row r="84" spans="1:1" x14ac:dyDescent="0.3">
      <c r="A84" s="2">
        <f>453.177839653465*(1/3.6)</f>
        <v>125.88273323707355</v>
      </c>
    </row>
    <row r="85" spans="1:1" x14ac:dyDescent="0.3">
      <c r="A85" s="2">
        <f>445.278574203083*(1/3.6)</f>
        <v>123.68849283418963</v>
      </c>
    </row>
    <row r="86" spans="1:1" x14ac:dyDescent="0.3">
      <c r="A86" s="2">
        <f>442.785408910448*(1/3.6)</f>
        <v>122.99594691956882</v>
      </c>
    </row>
    <row r="87" spans="1:1" x14ac:dyDescent="0.3">
      <c r="A87" s="2">
        <f>443.909154713178*(1/3.6)</f>
        <v>123.30809853143842</v>
      </c>
    </row>
    <row r="88" spans="1:1" x14ac:dyDescent="0.3">
      <c r="A88" s="2">
        <f>442.206577232845*(1/3.6)</f>
        <v>122.83516034245689</v>
      </c>
    </row>
    <row r="89" spans="1:1" x14ac:dyDescent="0.3">
      <c r="A89" s="2">
        <f>440.537502459391*(1/3.6)</f>
        <v>122.37152846094186</v>
      </c>
    </row>
    <row r="90" spans="1:1" x14ac:dyDescent="0.3">
      <c r="A90" s="2">
        <f>443.243738042734*(1/3.6)</f>
        <v>123.1232605674262</v>
      </c>
    </row>
    <row r="91" spans="1:1" x14ac:dyDescent="0.3">
      <c r="A91" s="2">
        <f>443.644298645424*(1/3.6)</f>
        <v>123.23452740150672</v>
      </c>
    </row>
    <row r="92" spans="1:1" x14ac:dyDescent="0.3">
      <c r="A92" s="2">
        <f>443.342247699245*(1/3.6)</f>
        <v>123.15062436090139</v>
      </c>
    </row>
    <row r="93" spans="1:1" x14ac:dyDescent="0.3">
      <c r="A93" s="2">
        <f>442.043155721541*(1/3.6)</f>
        <v>122.78976547820592</v>
      </c>
    </row>
    <row r="94" spans="1:1" x14ac:dyDescent="0.3">
      <c r="A94" s="2">
        <f>440.538065429533*(1/3.6)</f>
        <v>122.371684841537</v>
      </c>
    </row>
    <row r="95" spans="1:1" x14ac:dyDescent="0.3">
      <c r="A95" s="2">
        <f>441.704896159329*(1/3.6)</f>
        <v>122.69580448870263</v>
      </c>
    </row>
    <row r="96" spans="1:1" x14ac:dyDescent="0.3">
      <c r="A96" s="2">
        <f>441.032873627965*(1/3.6)</f>
        <v>122.50913156332372</v>
      </c>
    </row>
    <row r="97" spans="1:1" x14ac:dyDescent="0.3">
      <c r="A97" s="2">
        <f>440.054502017156*(1/3.6)</f>
        <v>122.2373616714322</v>
      </c>
    </row>
    <row r="98" spans="1:1" x14ac:dyDescent="0.3">
      <c r="A98" s="2">
        <f>440.450388472744*(1/3.6)</f>
        <v>122.3473301313177</v>
      </c>
    </row>
    <row r="99" spans="1:1" x14ac:dyDescent="0.3">
      <c r="A99" s="2">
        <f>441.911611624184*(1/3.6)</f>
        <v>122.75322545116218</v>
      </c>
    </row>
    <row r="100" spans="1:1" x14ac:dyDescent="0.3">
      <c r="A100" s="2">
        <f>439.855348481551*(1/3.6)</f>
        <v>122.18204124487534</v>
      </c>
    </row>
    <row r="101" spans="1:1" x14ac:dyDescent="0.3">
      <c r="A101" s="2">
        <f>439.65592059624*(1/3.6)</f>
        <v>122.12664461006673</v>
      </c>
    </row>
    <row r="102" spans="1:1" x14ac:dyDescent="0.3">
      <c r="A102" s="2">
        <f>439.015897967817*(1/3.6)</f>
        <v>121.94886054661579</v>
      </c>
    </row>
    <row r="103" spans="1:1" x14ac:dyDescent="0.3">
      <c r="A103" s="2">
        <f>439.982096755791*(1/3.6)</f>
        <v>122.21724909883079</v>
      </c>
    </row>
    <row r="104" spans="1:1" x14ac:dyDescent="0.3">
      <c r="A104" s="2">
        <f>439.830697394155*(1/3.6)</f>
        <v>122.17519372059866</v>
      </c>
    </row>
    <row r="105" spans="1:1" x14ac:dyDescent="0.3">
      <c r="A105" s="2">
        <f>439.151877459237*(1/3.6)</f>
        <v>121.98663262756583</v>
      </c>
    </row>
    <row r="106" spans="1:1" x14ac:dyDescent="0.3">
      <c r="A106" s="2">
        <f>440.157008421556*(1/3.6)</f>
        <v>122.26583567265443</v>
      </c>
    </row>
    <row r="107" spans="1:1" x14ac:dyDescent="0.3">
      <c r="A107" s="2">
        <f>438.514172052032*(1/3.6)</f>
        <v>121.80949223667568</v>
      </c>
    </row>
    <row r="108" spans="1:1" x14ac:dyDescent="0.3">
      <c r="A108" s="2">
        <f>439.4527370613*(1/3.6)</f>
        <v>122.07020473925006</v>
      </c>
    </row>
    <row r="109" spans="1:1" x14ac:dyDescent="0.3">
      <c r="A109" s="2">
        <f>437.026544317686*(1/3.6)</f>
        <v>121.39626231046825</v>
      </c>
    </row>
    <row r="110" spans="1:1" x14ac:dyDescent="0.3">
      <c r="A110" s="2">
        <f>437.739247455846*(1/3.6)</f>
        <v>121.5942354044016</v>
      </c>
    </row>
    <row r="111" spans="1:1" x14ac:dyDescent="0.3">
      <c r="A111" s="2">
        <f>435.397769984029*(1/3.6)</f>
        <v>120.94382499556357</v>
      </c>
    </row>
    <row r="112" spans="1:1" x14ac:dyDescent="0.3">
      <c r="A112" s="2">
        <f>437.574576943315*(1/3.6)</f>
        <v>121.54849359536517</v>
      </c>
    </row>
    <row r="113" spans="1:1" x14ac:dyDescent="0.3">
      <c r="A113" s="2">
        <f>438.551016905037*(1/3.6)</f>
        <v>121.81972691806578</v>
      </c>
    </row>
    <row r="114" spans="1:1" x14ac:dyDescent="0.3">
      <c r="A114" s="2">
        <f>436.509518239159*(1/3.6)</f>
        <v>121.25264395532189</v>
      </c>
    </row>
    <row r="115" spans="1:1" x14ac:dyDescent="0.3">
      <c r="A115" s="2">
        <f>434.093989591463*(1/3.6)</f>
        <v>120.58166377540637</v>
      </c>
    </row>
    <row r="116" spans="1:1" x14ac:dyDescent="0.3">
      <c r="A116" s="2">
        <f>436.558805579783*(1/3.6)</f>
        <v>121.26633488327316</v>
      </c>
    </row>
    <row r="117" spans="1:1" x14ac:dyDescent="0.3">
      <c r="A117" s="2">
        <f>434.775053947165*(1/3.6)</f>
        <v>120.7708483186569</v>
      </c>
    </row>
    <row r="118" spans="1:1" x14ac:dyDescent="0.3">
      <c r="A118" s="2">
        <f>434.465905160831*(1/3.6)</f>
        <v>120.68497365578645</v>
      </c>
    </row>
    <row r="119" spans="1:1" x14ac:dyDescent="0.3">
      <c r="A119" s="2">
        <f>434.700421742766*(1/3.6)</f>
        <v>120.75011715076842</v>
      </c>
    </row>
    <row r="120" spans="1:1" x14ac:dyDescent="0.3">
      <c r="A120" s="2">
        <f>436.32353510874*(1/3.6)</f>
        <v>121.20098197465003</v>
      </c>
    </row>
    <row r="121" spans="1:1" x14ac:dyDescent="0.3">
      <c r="A121" s="2">
        <f>435.980658306365*(1/3.6)</f>
        <v>121.10573841843473</v>
      </c>
    </row>
    <row r="122" spans="1:1" x14ac:dyDescent="0.3">
      <c r="A122" s="2">
        <f>432.119957242148*(1/3.6)</f>
        <v>120.03332145615222</v>
      </c>
    </row>
    <row r="123" spans="1:1" x14ac:dyDescent="0.3">
      <c r="A123" s="2">
        <f>433.185067179923*(1/3.6)</f>
        <v>120.32918532775651</v>
      </c>
    </row>
    <row r="124" spans="1:1" x14ac:dyDescent="0.3">
      <c r="A124" s="2">
        <f>430.233298547195*(1/3.6)</f>
        <v>119.50924959644293</v>
      </c>
    </row>
    <row r="125" spans="1:1" x14ac:dyDescent="0.3">
      <c r="A125" s="2">
        <f>430.601075086462*(1/3.6)</f>
        <v>119.6114097462394</v>
      </c>
    </row>
    <row r="126" spans="1:1" x14ac:dyDescent="0.3">
      <c r="A126" s="2">
        <f>432.019066351461*(1/3.6)</f>
        <v>120.00529620873913</v>
      </c>
    </row>
    <row r="127" spans="1:1" x14ac:dyDescent="0.3">
      <c r="A127" s="2">
        <f>431.154347950581*(1/3.6)</f>
        <v>119.76509665293922</v>
      </c>
    </row>
    <row r="128" spans="1:1" x14ac:dyDescent="0.3">
      <c r="A128" s="2">
        <f>431.948027634539*(1/3.6)</f>
        <v>119.98556323181646</v>
      </c>
    </row>
    <row r="129" spans="1:1" x14ac:dyDescent="0.3">
      <c r="A129" s="2">
        <f>432.622662220095*(1/3.6)</f>
        <v>120.17296172780419</v>
      </c>
    </row>
    <row r="130" spans="1:1" x14ac:dyDescent="0.3">
      <c r="A130" s="2">
        <f>430.701164138221*(1/3.6)</f>
        <v>119.63921226061694</v>
      </c>
    </row>
    <row r="131" spans="1:1" x14ac:dyDescent="0.3">
      <c r="A131" s="2">
        <f>429.145829325188*(1/3.6)</f>
        <v>119.20717481255222</v>
      </c>
    </row>
    <row r="132" spans="1:1" x14ac:dyDescent="0.3">
      <c r="A132" s="2">
        <f>432.13534246961*(1/3.6)</f>
        <v>120.03759513044717</v>
      </c>
    </row>
    <row r="133" spans="1:1" x14ac:dyDescent="0.3">
      <c r="A133" s="2">
        <f>429.312626271779*(1/3.6)</f>
        <v>119.2535072977163</v>
      </c>
    </row>
    <row r="134" spans="1:1" x14ac:dyDescent="0.3">
      <c r="A134" s="2">
        <f>433.69669703034*(1/3.6)</f>
        <v>120.47130473065008</v>
      </c>
    </row>
    <row r="135" spans="1:1" x14ac:dyDescent="0.3">
      <c r="A135" s="2">
        <f>432.135736724902*(1/3.6)</f>
        <v>120.03770464580619</v>
      </c>
    </row>
    <row r="136" spans="1:1" x14ac:dyDescent="0.3">
      <c r="A136" s="2">
        <f>432.35764236324*(1/3.6)</f>
        <v>120.09934510089991</v>
      </c>
    </row>
    <row r="137" spans="1:1" x14ac:dyDescent="0.3">
      <c r="A137" s="2">
        <f>432.815503250136*(1/3.6)</f>
        <v>120.22652868059345</v>
      </c>
    </row>
    <row r="138" spans="1:1" x14ac:dyDescent="0.3">
      <c r="A138" s="2">
        <f>433.318476965677*(1/3.6)</f>
        <v>120.36624360157684</v>
      </c>
    </row>
    <row r="139" spans="1:1" x14ac:dyDescent="0.3">
      <c r="A139" s="2">
        <f>432.692145409211*(1/3.6)</f>
        <v>120.19226261366966</v>
      </c>
    </row>
    <row r="140" spans="1:1" x14ac:dyDescent="0.3">
      <c r="A140" s="2">
        <f>431.237421350657*(1/3.6)</f>
        <v>119.78817259740474</v>
      </c>
    </row>
    <row r="141" spans="1:1" x14ac:dyDescent="0.3">
      <c r="A141" s="2">
        <f>431.808193543844*(1/3.6)</f>
        <v>119.94672042884559</v>
      </c>
    </row>
    <row r="142" spans="1:1" x14ac:dyDescent="0.3">
      <c r="A142" s="2">
        <f>431.868795535484*(1/3.6)</f>
        <v>119.96355431541213</v>
      </c>
    </row>
    <row r="143" spans="1:1" x14ac:dyDescent="0.3">
      <c r="A143" s="2">
        <f>432.095155263572*(1/3.6)</f>
        <v>120.02643201765898</v>
      </c>
    </row>
    <row r="144" spans="1:1" x14ac:dyDescent="0.3">
      <c r="A144" s="2">
        <f>433.365395343806*(1/3.6)</f>
        <v>120.37927648439059</v>
      </c>
    </row>
    <row r="145" spans="1:1" x14ac:dyDescent="0.3">
      <c r="A145" s="2">
        <f>433.111480496111*(1/3.6)</f>
        <v>120.30874458225293</v>
      </c>
    </row>
    <row r="146" spans="1:1" x14ac:dyDescent="0.3">
      <c r="A146" s="2">
        <f>435.614701941882*(1/3.6)</f>
        <v>121.004083872745</v>
      </c>
    </row>
    <row r="147" spans="1:1" x14ac:dyDescent="0.3">
      <c r="A147" s="2">
        <f>434.42241481292*(1/3.6)</f>
        <v>120.6728930035889</v>
      </c>
    </row>
    <row r="148" spans="1:1" x14ac:dyDescent="0.3">
      <c r="A148" s="2">
        <f>446.062043852724*(1/3.6)</f>
        <v>123.90612329242339</v>
      </c>
    </row>
    <row r="149" spans="1:1" x14ac:dyDescent="0.3">
      <c r="A149" s="2">
        <f>437.48041130206*(1/3.6)</f>
        <v>121.52233647279444</v>
      </c>
    </row>
    <row r="150" spans="1:1" x14ac:dyDescent="0.3">
      <c r="A150" s="2">
        <f>430.676250543063*(1/3.6)</f>
        <v>119.63229181751751</v>
      </c>
    </row>
    <row r="151" spans="1:1" x14ac:dyDescent="0.3">
      <c r="A151" s="2">
        <f>431.61387885357*(1/3.6)</f>
        <v>119.89274412599177</v>
      </c>
    </row>
    <row r="152" spans="1:1" x14ac:dyDescent="0.3">
      <c r="A152" s="2">
        <f>432.393796515049*(1/3.6)</f>
        <v>120.10938792084698</v>
      </c>
    </row>
    <row r="153" spans="1:1" x14ac:dyDescent="0.3">
      <c r="A153" s="2">
        <f>432.981311205429*(1/3.6)</f>
        <v>120.27258644595248</v>
      </c>
    </row>
    <row r="154" spans="1:1" x14ac:dyDescent="0.3">
      <c r="A154" s="2">
        <f>434.828375756448*(1/3.6)</f>
        <v>120.78565993234662</v>
      </c>
    </row>
    <row r="155" spans="1:1" x14ac:dyDescent="0.3">
      <c r="A155" s="2">
        <f>433.745103408691*(1/3.6)</f>
        <v>120.48475094685867</v>
      </c>
    </row>
    <row r="156" spans="1:1" x14ac:dyDescent="0.3">
      <c r="A156" s="2">
        <f>434.31457642338*(1/3.6)</f>
        <v>120.64293789538331</v>
      </c>
    </row>
    <row r="157" spans="1:1" x14ac:dyDescent="0.3">
      <c r="A157" s="2">
        <f>433.918013323087*(1/3.6)</f>
        <v>120.53278147863529</v>
      </c>
    </row>
    <row r="158" spans="1:1" x14ac:dyDescent="0.3">
      <c r="A158" s="2">
        <f>434.028715340596*(1/3.6)</f>
        <v>120.56353203905445</v>
      </c>
    </row>
    <row r="159" spans="1:1" x14ac:dyDescent="0.3">
      <c r="A159" s="2">
        <f>435.158444629439*(1/3.6)</f>
        <v>120.87734573039977</v>
      </c>
    </row>
    <row r="160" spans="1:1" x14ac:dyDescent="0.3">
      <c r="A160" s="2">
        <f>435.094058697229*(1/3.6)</f>
        <v>120.85946074923038</v>
      </c>
    </row>
    <row r="161" spans="1:1" x14ac:dyDescent="0.3">
      <c r="A161" s="2">
        <f>443.720758018111*(1/3.6)</f>
        <v>123.25576611614187</v>
      </c>
    </row>
    <row r="162" spans="1:1" x14ac:dyDescent="0.3">
      <c r="A162" s="2">
        <f>430.793213185036*(1/3.6)</f>
        <v>119.66478144028788</v>
      </c>
    </row>
    <row r="163" spans="1:1" x14ac:dyDescent="0.3">
      <c r="A163" s="2">
        <f>428.91030953481*(1/3.6)</f>
        <v>119.14175264855825</v>
      </c>
    </row>
    <row r="164" spans="1:1" x14ac:dyDescent="0.3">
      <c r="A164" s="2">
        <f>431.9204513906*(1/3.6)</f>
        <v>119.97790316405546</v>
      </c>
    </row>
    <row r="165" spans="1:1" x14ac:dyDescent="0.3">
      <c r="A165" s="2">
        <f>432.896810259735*(1/3.6)</f>
        <v>120.24911396103761</v>
      </c>
    </row>
    <row r="166" spans="1:1" x14ac:dyDescent="0.3">
      <c r="A166" s="2">
        <f>434.180130383072*(1/3.6)</f>
        <v>120.60559177307562</v>
      </c>
    </row>
    <row r="167" spans="1:1" x14ac:dyDescent="0.3">
      <c r="A167" s="2">
        <f>433.569804052203*(1/3.6)</f>
        <v>120.43605668116746</v>
      </c>
    </row>
    <row r="168" spans="1:1" x14ac:dyDescent="0.3">
      <c r="A168" s="2">
        <f>441.35430153459*(1/3.6)</f>
        <v>122.5984170929418</v>
      </c>
    </row>
    <row r="169" spans="1:1" x14ac:dyDescent="0.3">
      <c r="A169" s="2">
        <f>266.077126270611*(1/3.6)</f>
        <v>73.910312852947456</v>
      </c>
    </row>
    <row r="170" spans="1:1" x14ac:dyDescent="0.3">
      <c r="A170" s="2">
        <f>266.028321018123*(1/3.6)</f>
        <v>73.896755838367511</v>
      </c>
    </row>
    <row r="171" spans="1:1" x14ac:dyDescent="0.3">
      <c r="A171" s="2">
        <f>265.941317054545*(1/3.6)</f>
        <v>73.872588070706925</v>
      </c>
    </row>
    <row r="172" spans="1:1" x14ac:dyDescent="0.3">
      <c r="A172" s="2">
        <f>266.129043767281*(1/3.6)</f>
        <v>73.924734379800313</v>
      </c>
    </row>
    <row r="173" spans="1:1" x14ac:dyDescent="0.3">
      <c r="A173" s="2">
        <f>266.513842289039*(1/3.6)</f>
        <v>74.031622858066385</v>
      </c>
    </row>
    <row r="174" spans="1:1" x14ac:dyDescent="0.3">
      <c r="A174" s="2">
        <f>266.11542591238*(1/3.6)</f>
        <v>73.920951642327793</v>
      </c>
    </row>
    <row r="175" spans="1:1" x14ac:dyDescent="0.3">
      <c r="A175" s="2">
        <f>263.69089578258*(1/3.6)</f>
        <v>73.247471050716612</v>
      </c>
    </row>
    <row r="176" spans="1:1" x14ac:dyDescent="0.3">
      <c r="A176" s="2">
        <f>264.464526773865*(1/3.6)</f>
        <v>73.46236854829597</v>
      </c>
    </row>
    <row r="177" spans="1:1" x14ac:dyDescent="0.3">
      <c r="A177" s="2">
        <f>264.225518868606*(1/3.6)</f>
        <v>73.39597746350168</v>
      </c>
    </row>
    <row r="178" spans="1:1" x14ac:dyDescent="0.3">
      <c r="A178" s="2">
        <f>263.471325131662*(1/3.6)</f>
        <v>73.186479203239429</v>
      </c>
    </row>
    <row r="179" spans="1:1" x14ac:dyDescent="0.3">
      <c r="A179" s="2">
        <f>263.514537177253*(1/3.6)</f>
        <v>73.198482549236957</v>
      </c>
    </row>
    <row r="180" spans="1:1" x14ac:dyDescent="0.3">
      <c r="A180" s="2">
        <f>263.184268231697*(1/3.6)</f>
        <v>73.106741175471456</v>
      </c>
    </row>
    <row r="181" spans="1:1" x14ac:dyDescent="0.3">
      <c r="A181" s="2">
        <f>262.83066904114*(1/3.6)</f>
        <v>73.008519178094545</v>
      </c>
    </row>
    <row r="182" spans="1:1" x14ac:dyDescent="0.3">
      <c r="A182" s="2">
        <f>263.554336029008*(1/3.6)</f>
        <v>73.209537785835693</v>
      </c>
    </row>
    <row r="183" spans="1:1" x14ac:dyDescent="0.3">
      <c r="A183" s="2">
        <f>263.667054144421*(1/3.6)</f>
        <v>73.240848373450234</v>
      </c>
    </row>
    <row r="184" spans="1:1" x14ac:dyDescent="0.3">
      <c r="A184" s="2">
        <f>264.689278181464*(1/3.6)</f>
        <v>73.524799494851081</v>
      </c>
    </row>
    <row r="185" spans="1:1" x14ac:dyDescent="0.3">
      <c r="A185" s="2">
        <f>264.019480059444*(1/3.6)</f>
        <v>73.338744460956789</v>
      </c>
    </row>
    <row r="186" spans="1:1" x14ac:dyDescent="0.3">
      <c r="A186" s="2">
        <f>263.290107890382*(1/3.6)</f>
        <v>73.136141080661773</v>
      </c>
    </row>
    <row r="187" spans="1:1" x14ac:dyDescent="0.3">
      <c r="A187" s="2">
        <f>262.885617655411*(1/3.6)</f>
        <v>73.023782682058709</v>
      </c>
    </row>
    <row r="188" spans="1:1" x14ac:dyDescent="0.3">
      <c r="A188" s="2">
        <f>262.162181942352*(1/3.6)</f>
        <v>72.822828317320003</v>
      </c>
    </row>
    <row r="189" spans="1:1" x14ac:dyDescent="0.3">
      <c r="A189" s="2">
        <f>262.905702298612*(1/3.6)</f>
        <v>73.02936174961431</v>
      </c>
    </row>
    <row r="190" spans="1:1" x14ac:dyDescent="0.3">
      <c r="A190" s="2">
        <f>263.674008451183*(1/3.6)</f>
        <v>73.242780125328565</v>
      </c>
    </row>
    <row r="191" spans="1:1" x14ac:dyDescent="0.3">
      <c r="A191" s="2">
        <f>263.223315247542*(1/3.6)</f>
        <v>73.117587568761664</v>
      </c>
    </row>
    <row r="192" spans="1:1" x14ac:dyDescent="0.3">
      <c r="A192" s="2">
        <f>263.415497505321*(1/3.6)</f>
        <v>73.170971529255851</v>
      </c>
    </row>
    <row r="193" spans="1:1" x14ac:dyDescent="0.3">
      <c r="A193" s="2">
        <f>264.633430209438*(1/3.6)</f>
        <v>73.509286169288217</v>
      </c>
    </row>
    <row r="194" spans="1:1" x14ac:dyDescent="0.3">
      <c r="A194" s="2">
        <f>264.014028032241*(1/3.6)</f>
        <v>73.337230008955871</v>
      </c>
    </row>
    <row r="195" spans="1:1" x14ac:dyDescent="0.3">
      <c r="A195" s="2">
        <f>263.731273472883*(1/3.6)</f>
        <v>73.258687075800964</v>
      </c>
    </row>
    <row r="196" spans="1:1" x14ac:dyDescent="0.3">
      <c r="A196" s="2">
        <f>264.176307156622*(1/3.6)</f>
        <v>73.382307543506101</v>
      </c>
    </row>
    <row r="197" spans="1:1" x14ac:dyDescent="0.3">
      <c r="A197" s="2">
        <f>264.099580444096*(1/3.6)</f>
        <v>73.360994567804511</v>
      </c>
    </row>
    <row r="198" spans="1:1" x14ac:dyDescent="0.3">
      <c r="A198" s="2">
        <f>263.165508157927*(1/3.6)</f>
        <v>73.101530043868507</v>
      </c>
    </row>
    <row r="199" spans="1:1" x14ac:dyDescent="0.3">
      <c r="A199" s="2">
        <f>263.411819639425*(1/3.6)</f>
        <v>73.169949899840404</v>
      </c>
    </row>
    <row r="200" spans="1:1" x14ac:dyDescent="0.3">
      <c r="A200" s="2">
        <f>263.113376874038*(1/3.6)</f>
        <v>73.087049131677176</v>
      </c>
    </row>
    <row r="201" spans="1:1" x14ac:dyDescent="0.3">
      <c r="A201" s="2">
        <f>263.552412824955*(1/3.6)</f>
        <v>73.209003562487638</v>
      </c>
    </row>
    <row r="202" spans="1:1" x14ac:dyDescent="0.3">
      <c r="A202" s="2">
        <f>262.84234906996*(1/3.6)</f>
        <v>73.01176363054455</v>
      </c>
    </row>
    <row r="203" spans="1:1" x14ac:dyDescent="0.3">
      <c r="A203" s="2">
        <f>280.708584118404*(1/3.6)</f>
        <v>77.974606699556546</v>
      </c>
    </row>
    <row r="204" spans="1:1" x14ac:dyDescent="0.3">
      <c r="A204" s="2">
        <f>262.387398527799*(1/3.6)</f>
        <v>72.885388479944254</v>
      </c>
    </row>
    <row r="205" spans="1:1" x14ac:dyDescent="0.3">
      <c r="A205" s="2">
        <f>263.057208142299*(1/3.6)</f>
        <v>73.071446706194166</v>
      </c>
    </row>
    <row r="206" spans="1:1" x14ac:dyDescent="0.3">
      <c r="A206" s="2">
        <f>264.282617769968*(1/3.6)</f>
        <v>73.411838269435606</v>
      </c>
    </row>
    <row r="207" spans="1:1" x14ac:dyDescent="0.3">
      <c r="A207" s="2">
        <f>263.686066991732*(1/3.6)</f>
        <v>73.246129719925491</v>
      </c>
    </row>
    <row r="208" spans="1:1" x14ac:dyDescent="0.3">
      <c r="A208" s="2">
        <f>263.086929464218*(1/3.6)</f>
        <v>73.07970262894932</v>
      </c>
    </row>
    <row r="209" spans="1:1" x14ac:dyDescent="0.3">
      <c r="A209" s="2">
        <f>262.881130025544*(1/3.6)</f>
        <v>73.022536118206574</v>
      </c>
    </row>
    <row r="210" spans="1:1" x14ac:dyDescent="0.3">
      <c r="A210" s="2">
        <f>262.939379632274*(1/3.6)</f>
        <v>73.03871656452047</v>
      </c>
    </row>
    <row r="211" spans="1:1" x14ac:dyDescent="0.3">
      <c r="A211" s="2">
        <f>263.177889968166*(1/3.6)</f>
        <v>73.104969435601646</v>
      </c>
    </row>
    <row r="212" spans="1:1" x14ac:dyDescent="0.3">
      <c r="A212" s="2">
        <f>263.131808986657*(1/3.6)</f>
        <v>73.092169162960374</v>
      </c>
    </row>
    <row r="213" spans="1:1" x14ac:dyDescent="0.3">
      <c r="A213" s="2">
        <f>262.833447578362*(1/3.6)</f>
        <v>73.009290993989381</v>
      </c>
    </row>
    <row r="214" spans="1:1" x14ac:dyDescent="0.3">
      <c r="A214" s="2">
        <f>263.560183448264*(1/3.6)</f>
        <v>73.211162068962082</v>
      </c>
    </row>
    <row r="215" spans="1:1" x14ac:dyDescent="0.3">
      <c r="A215" s="2">
        <f>263.378282082968*(1/3.6)</f>
        <v>73.160633911935676</v>
      </c>
    </row>
    <row r="216" spans="1:1" x14ac:dyDescent="0.3">
      <c r="A216" s="2">
        <f>263.127543326465*(1/3.6)</f>
        <v>73.090984257351394</v>
      </c>
    </row>
    <row r="217" spans="1:1" x14ac:dyDescent="0.3">
      <c r="A217" s="2">
        <f>268.272617112404*(1/3.6)</f>
        <v>74.520171420112092</v>
      </c>
    </row>
    <row r="218" spans="1:1" x14ac:dyDescent="0.3">
      <c r="A218" s="2">
        <f>270.462343227623*(1/3.6)</f>
        <v>75.128428674339688</v>
      </c>
    </row>
    <row r="219" spans="1:1" x14ac:dyDescent="0.3">
      <c r="A219" s="2">
        <f>270.196005128479*(1/3.6)</f>
        <v>75.05444586902199</v>
      </c>
    </row>
    <row r="220" spans="1:1" x14ac:dyDescent="0.3">
      <c r="A220" s="2">
        <f>270.399763869944*(1/3.6)</f>
        <v>75.111045519428814</v>
      </c>
    </row>
    <row r="221" spans="1:1" x14ac:dyDescent="0.3">
      <c r="A221" s="2">
        <f>270.521972382523*(1/3.6)</f>
        <v>75.144992328478565</v>
      </c>
    </row>
    <row r="222" spans="1:1" x14ac:dyDescent="0.3">
      <c r="A222" s="2">
        <f>270.580859804361*(1/3.6)</f>
        <v>75.161349945655829</v>
      </c>
    </row>
    <row r="223" spans="1:1" x14ac:dyDescent="0.3">
      <c r="A223" s="2">
        <f>270.316268562056*(1/3.6)</f>
        <v>75.087852378348813</v>
      </c>
    </row>
    <row r="224" spans="1:1" x14ac:dyDescent="0.3">
      <c r="A224" s="2">
        <f>263.548677015941*(1/3.6)</f>
        <v>73.207965837761492</v>
      </c>
    </row>
    <row r="225" spans="1:1" x14ac:dyDescent="0.3">
      <c r="A225" s="2">
        <f>264.718754397876*(1/3.6)</f>
        <v>73.532987332743431</v>
      </c>
    </row>
    <row r="226" spans="1:1" x14ac:dyDescent="0.3">
      <c r="A226" s="2">
        <f>255.627494338607*(1/3.6)</f>
        <v>71.007637316279755</v>
      </c>
    </row>
    <row r="227" spans="1:1" x14ac:dyDescent="0.3">
      <c r="A227" s="2">
        <f>261.790415650533*(1/3.6)</f>
        <v>72.719559902925738</v>
      </c>
    </row>
    <row r="228" spans="1:1" x14ac:dyDescent="0.3">
      <c r="A228" s="2">
        <f>263.780574861651*(1/3.6)</f>
        <v>73.272381906014147</v>
      </c>
    </row>
    <row r="229" spans="1:1" x14ac:dyDescent="0.3">
      <c r="A229" s="2">
        <f>101.451073212927*(1/3.6)</f>
        <v>28.180853670257623</v>
      </c>
    </row>
    <row r="230" spans="1:1" x14ac:dyDescent="0.3">
      <c r="A230" s="2">
        <f>229.076766124746*(1/3.6)</f>
        <v>63.632435034651657</v>
      </c>
    </row>
    <row r="231" spans="1:1" x14ac:dyDescent="0.3">
      <c r="A231" s="2">
        <f>247.333286527256*(1/3.6)</f>
        <v>68.703690702015635</v>
      </c>
    </row>
    <row r="232" spans="1:1" x14ac:dyDescent="0.3">
      <c r="A232" s="2">
        <f>262.397587593482*(1/3.6)</f>
        <v>72.888218775967204</v>
      </c>
    </row>
    <row r="233" spans="1:1" x14ac:dyDescent="0.3">
      <c r="A233" s="2">
        <f>264.465122709894*(1/3.6)</f>
        <v>73.462534086081646</v>
      </c>
    </row>
    <row r="234" spans="1:1" x14ac:dyDescent="0.3">
      <c r="A234" s="2">
        <f>264.504882222408*(1/3.6)</f>
        <v>73.473578395113393</v>
      </c>
    </row>
    <row r="235" spans="1:1" x14ac:dyDescent="0.3">
      <c r="A235" s="2">
        <f>264.465719308872*(1/3.6)</f>
        <v>73.462699808020005</v>
      </c>
    </row>
    <row r="236" spans="1:1" x14ac:dyDescent="0.3">
      <c r="A236" s="2">
        <f>264.257801793611*(1/3.6)</f>
        <v>73.404944942669729</v>
      </c>
    </row>
    <row r="237" spans="1:1" x14ac:dyDescent="0.3">
      <c r="A237" s="2">
        <f>263.050350747433*(1/3.6)</f>
        <v>73.06954187428704</v>
      </c>
    </row>
    <row r="238" spans="1:1" x14ac:dyDescent="0.3">
      <c r="A238" s="2">
        <f>264.178474116963*(1/3.6)</f>
        <v>73.382909476934159</v>
      </c>
    </row>
    <row r="239" spans="1:1" x14ac:dyDescent="0.3">
      <c r="A239" s="2">
        <f>263.823554282873*(1/3.6)</f>
        <v>73.284320634131319</v>
      </c>
    </row>
    <row r="240" spans="1:1" x14ac:dyDescent="0.3">
      <c r="A240" s="2">
        <f>258.602235516943*(1/3.6)</f>
        <v>71.833954310261973</v>
      </c>
    </row>
    <row r="241" spans="1:1" x14ac:dyDescent="0.3">
      <c r="A241" s="2">
        <f>263.993324711842*(1/3.6)</f>
        <v>73.331479086622679</v>
      </c>
    </row>
    <row r="242" spans="1:1" x14ac:dyDescent="0.3">
      <c r="A242" s="2">
        <f>263.453903591091*(1/3.6)</f>
        <v>73.18163988641416</v>
      </c>
    </row>
    <row r="243" spans="1:1" x14ac:dyDescent="0.3">
      <c r="A243" s="2">
        <f>263.960881426363*(1/3.6)</f>
        <v>73.322467062878616</v>
      </c>
    </row>
    <row r="244" spans="1:1" x14ac:dyDescent="0.3">
      <c r="A244" s="2">
        <f>263.745206159359*(1/3.6)</f>
        <v>73.262557266488514</v>
      </c>
    </row>
    <row r="245" spans="1:1" x14ac:dyDescent="0.3">
      <c r="A245" s="2">
        <f>264.662091384074*(1/3.6)</f>
        <v>73.51724760668715</v>
      </c>
    </row>
    <row r="246" spans="1:1" x14ac:dyDescent="0.3">
      <c r="A246" s="2">
        <f>264.926456196906*(1/3.6)</f>
        <v>73.590682276918415</v>
      </c>
    </row>
    <row r="247" spans="1:1" x14ac:dyDescent="0.3">
      <c r="A247" s="2">
        <f>265.823193904865*(1/3.6)</f>
        <v>73.839776084684686</v>
      </c>
    </row>
    <row r="248" spans="1:1" x14ac:dyDescent="0.3">
      <c r="A248" s="2">
        <f>265.266081391818*(1/3.6)</f>
        <v>73.685022608838423</v>
      </c>
    </row>
    <row r="249" spans="1:1" x14ac:dyDescent="0.3">
      <c r="A249" s="2">
        <f>265.246401556871*(1/3.6)</f>
        <v>73.679555988019715</v>
      </c>
    </row>
    <row r="250" spans="1:1" x14ac:dyDescent="0.3">
      <c r="A250" s="2">
        <f>265.419845486509*(1/3.6)</f>
        <v>73.727734857363586</v>
      </c>
    </row>
    <row r="251" spans="1:1" x14ac:dyDescent="0.3">
      <c r="A251" s="2">
        <f>265.595002317104*(1/3.6)</f>
        <v>73.776389532528867</v>
      </c>
    </row>
    <row r="252" spans="1:1" x14ac:dyDescent="0.3">
      <c r="A252" s="2">
        <f>265.96768968081*(1/3.6)</f>
        <v>73.879913800224941</v>
      </c>
    </row>
    <row r="253" spans="1:1" x14ac:dyDescent="0.3">
      <c r="A253" s="2">
        <f>265.708513412306*(1/3.6)</f>
        <v>73.807920392307324</v>
      </c>
    </row>
    <row r="254" spans="1:1" x14ac:dyDescent="0.3">
      <c r="A254" s="2">
        <f>265.587792355906*(1/3.6)</f>
        <v>73.77438676552957</v>
      </c>
    </row>
    <row r="255" spans="1:1" x14ac:dyDescent="0.3">
      <c r="A255" s="2">
        <f>265.859310655432*(1/3.6)</f>
        <v>73.849808515397797</v>
      </c>
    </row>
    <row r="256" spans="1:1" x14ac:dyDescent="0.3">
      <c r="A256" s="2">
        <f>265.523665028387*(1/3.6)</f>
        <v>73.756573618996285</v>
      </c>
    </row>
    <row r="257" spans="1:1" x14ac:dyDescent="0.3">
      <c r="A257" s="2">
        <f>266.313710254223*(1/3.6)</f>
        <v>73.976030626173127</v>
      </c>
    </row>
    <row r="258" spans="1:1" x14ac:dyDescent="0.3">
      <c r="A258" s="2">
        <f>266.779301374062*(1/3.6)</f>
        <v>74.105361492794941</v>
      </c>
    </row>
    <row r="259" spans="1:1" x14ac:dyDescent="0.3">
      <c r="A259" s="2">
        <f>266.488178223502*(1/3.6)</f>
        <v>74.024493950972897</v>
      </c>
    </row>
    <row r="260" spans="1:1" x14ac:dyDescent="0.3">
      <c r="A260" s="2">
        <f>265.929728981855*(1/3.6)</f>
        <v>73.869369161626352</v>
      </c>
    </row>
    <row r="261" spans="1:1" x14ac:dyDescent="0.3">
      <c r="A261" s="2">
        <f>266.553660661541*(1/3.6)</f>
        <v>74.042683517094844</v>
      </c>
    </row>
    <row r="262" spans="1:1" x14ac:dyDescent="0.3">
      <c r="A262" s="2">
        <f>266.536249773392*(1/3.6)</f>
        <v>74.037847159275685</v>
      </c>
    </row>
    <row r="263" spans="1:1" x14ac:dyDescent="0.3">
      <c r="A263" s="2">
        <f>266.284855418476*(1/3.6)</f>
        <v>73.968015394021151</v>
      </c>
    </row>
    <row r="264" spans="1:1" x14ac:dyDescent="0.3">
      <c r="A264" s="2">
        <f>267.313203949702*(1/3.6)</f>
        <v>74.253667763806092</v>
      </c>
    </row>
    <row r="265" spans="1:1" x14ac:dyDescent="0.3">
      <c r="A265" s="2">
        <f>266.143360187096*(1/3.6)</f>
        <v>73.928711163082255</v>
      </c>
    </row>
    <row r="266" spans="1:1" x14ac:dyDescent="0.3">
      <c r="A266" s="2">
        <f>266.654403523726*(1/3.6)</f>
        <v>74.07066764547946</v>
      </c>
    </row>
    <row r="267" spans="1:1" x14ac:dyDescent="0.3">
      <c r="A267" s="2">
        <f>266.583605640645*(1/3.6)</f>
        <v>74.051001566845713</v>
      </c>
    </row>
    <row r="268" spans="1:1" x14ac:dyDescent="0.3">
      <c r="A268" s="2">
        <f>270.392563954331*(1/3.6)</f>
        <v>75.109045542869652</v>
      </c>
    </row>
    <row r="269" spans="1:1" x14ac:dyDescent="0.3">
      <c r="A269" s="2">
        <f>266.433831799088*(1/3.6)</f>
        <v>74.009397721968909</v>
      </c>
    </row>
    <row r="270" spans="1:1" x14ac:dyDescent="0.3">
      <c r="A270" s="2">
        <f>267.219845039391*(1/3.6)</f>
        <v>74.227734733164255</v>
      </c>
    </row>
    <row r="271" spans="1:1" x14ac:dyDescent="0.3">
      <c r="A271" s="2">
        <f>267.799984015821*(1/3.6)</f>
        <v>74.388884448839036</v>
      </c>
    </row>
    <row r="272" spans="1:1" x14ac:dyDescent="0.3">
      <c r="A272" s="2">
        <f>267.381279023393*(1/3.6)</f>
        <v>74.272577506497939</v>
      </c>
    </row>
    <row r="273" spans="1:1" x14ac:dyDescent="0.3">
      <c r="A273" s="2">
        <f>272.852430473932*(1/3.6)</f>
        <v>75.792341798314553</v>
      </c>
    </row>
    <row r="274" spans="1:1" x14ac:dyDescent="0.3">
      <c r="A274" s="2">
        <f>266.903932061735*(1/3.6)</f>
        <v>74.139981128259791</v>
      </c>
    </row>
    <row r="275" spans="1:1" x14ac:dyDescent="0.3">
      <c r="A275" s="2">
        <f>268.365408273686*(1/3.6)</f>
        <v>74.545946742690433</v>
      </c>
    </row>
    <row r="276" spans="1:1" x14ac:dyDescent="0.3">
      <c r="A276" s="2">
        <f>269.398377657052*(1/3.6)</f>
        <v>74.832882682514366</v>
      </c>
    </row>
    <row r="277" spans="1:1" x14ac:dyDescent="0.3">
      <c r="A277" s="2">
        <f>270.483120627062*(1/3.6)</f>
        <v>75.134200174183903</v>
      </c>
    </row>
    <row r="278" spans="1:1" x14ac:dyDescent="0.3">
      <c r="A278" s="2">
        <f>270.487523393706*(1/3.6)</f>
        <v>75.135423164918294</v>
      </c>
    </row>
    <row r="279" spans="1:1" x14ac:dyDescent="0.3">
      <c r="A279" s="2">
        <f>269.451493633849*(1/3.6)</f>
        <v>74.847637120513625</v>
      </c>
    </row>
    <row r="280" spans="1:1" x14ac:dyDescent="0.3">
      <c r="A280" s="2">
        <f>268.901454130009*(1/3.6)</f>
        <v>74.694848369446959</v>
      </c>
    </row>
    <row r="281" spans="1:1" x14ac:dyDescent="0.3">
      <c r="A281" s="2">
        <f>270.304888815792*(1/3.6)</f>
        <v>75.084691337720116</v>
      </c>
    </row>
    <row r="282" spans="1:1" x14ac:dyDescent="0.3">
      <c r="A282" s="2">
        <f>268.776446246341*(1/3.6)</f>
        <v>74.660123957316927</v>
      </c>
    </row>
    <row r="283" spans="1:1" x14ac:dyDescent="0.3">
      <c r="A283" s="2">
        <f>270.105138978184*(1/3.6)</f>
        <v>75.029205271717757</v>
      </c>
    </row>
    <row r="284" spans="1:1" x14ac:dyDescent="0.3">
      <c r="A284" s="2">
        <f>269.164123537294*(1/3.6)</f>
        <v>74.767812093692854</v>
      </c>
    </row>
    <row r="285" spans="1:1" x14ac:dyDescent="0.3">
      <c r="A285" s="2">
        <f>276.338148750622*(1/3.6)</f>
        <v>76.760596875172865</v>
      </c>
    </row>
    <row r="286" spans="1:1" x14ac:dyDescent="0.3">
      <c r="A286" s="2">
        <f>276.147034993775*(1/3.6)</f>
        <v>76.707509720493078</v>
      </c>
    </row>
    <row r="287" spans="1:1" x14ac:dyDescent="0.3">
      <c r="A287" s="2">
        <f>275.276229358239*(1/3.6)</f>
        <v>76.465619266177598</v>
      </c>
    </row>
    <row r="288" spans="1:1" x14ac:dyDescent="0.3">
      <c r="A288" s="2">
        <f>273.933387729195*(1/3.6)</f>
        <v>76.092607702554247</v>
      </c>
    </row>
    <row r="289" spans="1:1" x14ac:dyDescent="0.3">
      <c r="A289" s="2">
        <f>275.125556240576*(1/3.6)</f>
        <v>76.423765622382362</v>
      </c>
    </row>
    <row r="290" spans="1:1" x14ac:dyDescent="0.3">
      <c r="A290" s="2">
        <f>275.202771065583*(1/3.6)</f>
        <v>76.445214184884193</v>
      </c>
    </row>
    <row r="291" spans="1:1" x14ac:dyDescent="0.3">
      <c r="A291" s="2">
        <f>275.658496211164*(1/3.6)</f>
        <v>76.571804503101205</v>
      </c>
    </row>
    <row r="292" spans="1:1" x14ac:dyDescent="0.3">
      <c r="A292" s="2">
        <f>275.418899409459*(1/3.6)</f>
        <v>76.505249835960811</v>
      </c>
    </row>
    <row r="293" spans="1:1" x14ac:dyDescent="0.3">
      <c r="A293" s="2">
        <f>273.951849582762*(1/3.6)</f>
        <v>76.097735995211622</v>
      </c>
    </row>
    <row r="294" spans="1:1" x14ac:dyDescent="0.3">
      <c r="A294" s="2">
        <f>274.640577496057*(1/3.6)</f>
        <v>76.289049304460363</v>
      </c>
    </row>
    <row r="295" spans="1:1" x14ac:dyDescent="0.3">
      <c r="A295" s="2">
        <f>274.60315190196*(1/3.6)</f>
        <v>76.278653306099869</v>
      </c>
    </row>
    <row r="296" spans="1:1" x14ac:dyDescent="0.3">
      <c r="A296" s="2">
        <f>304.562690785136*(1/3.6)</f>
        <v>84.600747440315644</v>
      </c>
    </row>
    <row r="297" spans="1:1" x14ac:dyDescent="0.3">
      <c r="A297" s="2">
        <f>304.51446845169*(1/3.6)</f>
        <v>84.58735234769172</v>
      </c>
    </row>
    <row r="298" spans="1:1" x14ac:dyDescent="0.3">
      <c r="A298" s="2">
        <f>305.164515098485*(1/3.6)</f>
        <v>84.767920860690367</v>
      </c>
    </row>
    <row r="299" spans="1:1" x14ac:dyDescent="0.3">
      <c r="A299" s="2">
        <f>304.460625178167*(1/3.6)</f>
        <v>84.572395882824068</v>
      </c>
    </row>
    <row r="300" spans="1:1" x14ac:dyDescent="0.3">
      <c r="A300" s="2">
        <f>303.569203340871*(1/3.6)</f>
        <v>84.324778705797456</v>
      </c>
    </row>
    <row r="301" spans="1:1" x14ac:dyDescent="0.3">
      <c r="A301" s="2">
        <f>303.265647155723*(1/3.6)</f>
        <v>84.240457543256426</v>
      </c>
    </row>
    <row r="302" spans="1:1" x14ac:dyDescent="0.3">
      <c r="A302" s="2">
        <f>304.028745291429*(1/3.6)</f>
        <v>84.452429247619165</v>
      </c>
    </row>
    <row r="303" spans="1:1" x14ac:dyDescent="0.3">
      <c r="A303" s="2">
        <f>305.490904615363*(1/3.6)</f>
        <v>84.858584615378732</v>
      </c>
    </row>
    <row r="304" spans="1:1" x14ac:dyDescent="0.3">
      <c r="A304" s="2">
        <f>304.655510833923*(1/3.6)</f>
        <v>84.626530787200863</v>
      </c>
    </row>
    <row r="305" spans="1:1" x14ac:dyDescent="0.3">
      <c r="A305" s="2">
        <f>306.222755101517*(1/3.6)</f>
        <v>85.061876417088158</v>
      </c>
    </row>
    <row r="306" spans="1:1" x14ac:dyDescent="0.3">
      <c r="A306" s="2">
        <f>305.885079572174*(1/3.6)</f>
        <v>84.968077658937091</v>
      </c>
    </row>
    <row r="307" spans="1:1" x14ac:dyDescent="0.3">
      <c r="A307" s="2">
        <f>305.306341741336*(1/3.6)</f>
        <v>84.807317150371162</v>
      </c>
    </row>
    <row r="308" spans="1:1" x14ac:dyDescent="0.3">
      <c r="A308" s="2">
        <f>305.71109289098*(1/3.6)</f>
        <v>84.919748025272199</v>
      </c>
    </row>
    <row r="309" spans="1:1" x14ac:dyDescent="0.3">
      <c r="A309" s="2">
        <f>303.128719747578*(1/3.6)</f>
        <v>84.202422152105058</v>
      </c>
    </row>
    <row r="310" spans="1:1" x14ac:dyDescent="0.3">
      <c r="A310" s="2">
        <f>304.035655958255*(1/3.6)</f>
        <v>84.454348877293128</v>
      </c>
    </row>
    <row r="311" spans="1:1" x14ac:dyDescent="0.3">
      <c r="A311" s="2">
        <f>302.663229929358*(1/3.6)</f>
        <v>84.073119424821684</v>
      </c>
    </row>
    <row r="312" spans="1:1" x14ac:dyDescent="0.3">
      <c r="A312" s="2">
        <f>302.096012123105*(1/3.6)</f>
        <v>83.915558923084845</v>
      </c>
    </row>
    <row r="313" spans="1:1" x14ac:dyDescent="0.3">
      <c r="A313" s="2">
        <f>304.103877056191*(1/3.6)</f>
        <v>84.473299182275298</v>
      </c>
    </row>
    <row r="314" spans="1:1" x14ac:dyDescent="0.3">
      <c r="A314" s="2">
        <f>302.219966849974*(1/3.6)</f>
        <v>83.949990791659559</v>
      </c>
    </row>
    <row r="315" spans="1:1" x14ac:dyDescent="0.3">
      <c r="A315" s="2">
        <f>302.137619664152*(1/3.6)</f>
        <v>83.927116573375542</v>
      </c>
    </row>
    <row r="316" spans="1:1" x14ac:dyDescent="0.3">
      <c r="A316" s="2">
        <f>304.368963063336*(1/3.6)</f>
        <v>84.546934184259968</v>
      </c>
    </row>
    <row r="317" spans="1:1" x14ac:dyDescent="0.3">
      <c r="A317" s="2">
        <f>399.666685279171*(1/3.6)</f>
        <v>111.01852368865869</v>
      </c>
    </row>
    <row r="318" spans="1:1" x14ac:dyDescent="0.3">
      <c r="A318" s="2">
        <f>398.660294035848*(1/3.6)</f>
        <v>110.73897056551341</v>
      </c>
    </row>
    <row r="319" spans="1:1" x14ac:dyDescent="0.3">
      <c r="A319" s="2">
        <f>397.660584309993*(1/3.6)</f>
        <v>110.46127341944248</v>
      </c>
    </row>
    <row r="320" spans="1:1" x14ac:dyDescent="0.3">
      <c r="A320" s="2">
        <f>397.013808967004*(1/3.6)</f>
        <v>110.28161360194547</v>
      </c>
    </row>
    <row r="321" spans="1:1" x14ac:dyDescent="0.3">
      <c r="A321" s="2">
        <f>395.345488766301*(1/3.6)</f>
        <v>109.81819132397258</v>
      </c>
    </row>
    <row r="322" spans="1:1" x14ac:dyDescent="0.3">
      <c r="A322" s="2">
        <f>423.848873431859*(1/3.6)</f>
        <v>117.73579817551649</v>
      </c>
    </row>
    <row r="323" spans="1:1" x14ac:dyDescent="0.3">
      <c r="A323" s="2">
        <f>573.456245585506*(1/3.6)</f>
        <v>159.29340155152957</v>
      </c>
    </row>
    <row r="324" spans="1:1" x14ac:dyDescent="0.3">
      <c r="A324" s="2">
        <f>546.545639404036*(1/3.6)</f>
        <v>151.81823316778789</v>
      </c>
    </row>
    <row r="325" spans="1:1" x14ac:dyDescent="0.3">
      <c r="A325" s="2">
        <f>545.629792267152*(1/3.6)</f>
        <v>151.56383118532008</v>
      </c>
    </row>
    <row r="326" spans="1:1" x14ac:dyDescent="0.3">
      <c r="A326" s="2">
        <f>547.357529912671*(1/3.6)</f>
        <v>152.04375830907534</v>
      </c>
    </row>
    <row r="327" spans="1:1" x14ac:dyDescent="0.3">
      <c r="A327" s="2">
        <f>547.772815721944*(1/3.6)</f>
        <v>152.15911547831791</v>
      </c>
    </row>
    <row r="328" spans="1:1" x14ac:dyDescent="0.3">
      <c r="A328" s="2">
        <f>544.408999330245*(1/3.6)</f>
        <v>151.2247220361792</v>
      </c>
    </row>
    <row r="329" spans="1:1" x14ac:dyDescent="0.3">
      <c r="A329" s="2">
        <f>543.465712039511*(1/3.6)</f>
        <v>150.96269778875302</v>
      </c>
    </row>
    <row r="330" spans="1:1" x14ac:dyDescent="0.3">
      <c r="A330" s="2">
        <f>543.554496312994*(1/3.6)</f>
        <v>150.98736008694272</v>
      </c>
    </row>
    <row r="331" spans="1:1" x14ac:dyDescent="0.3">
      <c r="A331" s="2">
        <f>541.177358685722*(1/3.6)</f>
        <v>150.32704407936725</v>
      </c>
    </row>
    <row r="332" spans="1:1" x14ac:dyDescent="0.3">
      <c r="A332" s="2">
        <f>540.829130465276*(1/3.6)</f>
        <v>150.23031401813213</v>
      </c>
    </row>
    <row r="333" spans="1:1" x14ac:dyDescent="0.3">
      <c r="A333" s="2">
        <f>544.173615210474*(1/3.6)</f>
        <v>151.15933755846501</v>
      </c>
    </row>
    <row r="334" spans="1:1" x14ac:dyDescent="0.3">
      <c r="A334" s="2">
        <f>543.97686018408*(1/3.6)</f>
        <v>151.10468338446671</v>
      </c>
    </row>
    <row r="335" spans="1:1" x14ac:dyDescent="0.3">
      <c r="A335" s="2">
        <f>547.220755037001*(1/3.6)</f>
        <v>152.00576528805578</v>
      </c>
    </row>
    <row r="336" spans="1:1" x14ac:dyDescent="0.3">
      <c r="A336" s="2">
        <f>542.996035491655*(1/3.6)</f>
        <v>150.83223208101518</v>
      </c>
    </row>
    <row r="337" spans="1:1" x14ac:dyDescent="0.3">
      <c r="A337" s="2">
        <f>545.25714948848*(1/3.6)</f>
        <v>151.46031930235566</v>
      </c>
    </row>
    <row r="338" spans="1:1" x14ac:dyDescent="0.3">
      <c r="A338" s="2">
        <f>543.292506270925*(1/3.6)</f>
        <v>150.91458507525701</v>
      </c>
    </row>
    <row r="339" spans="1:1" x14ac:dyDescent="0.3">
      <c r="A339" s="2">
        <f>544.729476614997*(1/3.6)</f>
        <v>151.31374350416576</v>
      </c>
    </row>
    <row r="340" spans="1:1" x14ac:dyDescent="0.3">
      <c r="A340" s="2">
        <f>544.047284036248*(1/3.6)</f>
        <v>151.12424556562436</v>
      </c>
    </row>
    <row r="341" spans="1:1" x14ac:dyDescent="0.3">
      <c r="A341" s="2">
        <f>553.742873865482*(1/3.6)</f>
        <v>153.81746496263384</v>
      </c>
    </row>
    <row r="342" spans="1:1" x14ac:dyDescent="0.3">
      <c r="A342" s="2">
        <f>553.2251392817*(1/3.6)</f>
        <v>153.67364980047225</v>
      </c>
    </row>
    <row r="343" spans="1:1" x14ac:dyDescent="0.3">
      <c r="A343" s="2">
        <f>549.885986756639*(1/3.6)</f>
        <v>152.7461074323997</v>
      </c>
    </row>
    <row r="344" spans="1:1" x14ac:dyDescent="0.3">
      <c r="A344" s="2">
        <f>550.018592283616*(1/3.6)</f>
        <v>152.78294230100454</v>
      </c>
    </row>
    <row r="345" spans="1:1" x14ac:dyDescent="0.3">
      <c r="A345" s="2">
        <f>550.346548948773*(1/3.6)</f>
        <v>152.87404137465919</v>
      </c>
    </row>
    <row r="346" spans="1:1" x14ac:dyDescent="0.3">
      <c r="A346" s="2">
        <f>552.511269554962*(1/3.6)</f>
        <v>153.47535265415627</v>
      </c>
    </row>
    <row r="347" spans="1:1" x14ac:dyDescent="0.3">
      <c r="A347" s="2">
        <f>551.603629901914*(1/3.6)</f>
        <v>153.22323052830959</v>
      </c>
    </row>
    <row r="348" spans="1:1" x14ac:dyDescent="0.3">
      <c r="A348" s="2">
        <f>551.443278053157*(1/3.6)</f>
        <v>153.1786883480992</v>
      </c>
    </row>
    <row r="349" spans="1:1" x14ac:dyDescent="0.3">
      <c r="A349" s="2">
        <f>548.4697726499*(1/3.6)</f>
        <v>152.35271462497229</v>
      </c>
    </row>
    <row r="350" spans="1:1" x14ac:dyDescent="0.3">
      <c r="A350" s="2">
        <f>548.157254004101*(1/3.6)</f>
        <v>152.26590389002808</v>
      </c>
    </row>
    <row r="351" spans="1:1" x14ac:dyDescent="0.3">
      <c r="A351" s="2">
        <f>549.655584828397*(1/3.6)</f>
        <v>152.68210689677699</v>
      </c>
    </row>
    <row r="352" spans="1:1" x14ac:dyDescent="0.3">
      <c r="A352" s="2">
        <f>549.402784051319*(1/3.6)</f>
        <v>152.61188445869979</v>
      </c>
    </row>
    <row r="353" spans="1:1" x14ac:dyDescent="0.3">
      <c r="A353" s="2">
        <f>547.181488399398*(1/3.6)</f>
        <v>151.99485788872155</v>
      </c>
    </row>
    <row r="354" spans="1:1" x14ac:dyDescent="0.3">
      <c r="A354" s="2">
        <f>547.410851086612*(1/3.6)</f>
        <v>152.05856974628111</v>
      </c>
    </row>
    <row r="355" spans="1:1" x14ac:dyDescent="0.3">
      <c r="A355" s="2">
        <f>537.313701522939*(1/3.6)</f>
        <v>149.25380597859404</v>
      </c>
    </row>
    <row r="356" spans="1:1" x14ac:dyDescent="0.3">
      <c r="A356" s="2">
        <f>527.436201633196*(1/3.6)</f>
        <v>146.51005600922105</v>
      </c>
    </row>
    <row r="357" spans="1:1" x14ac:dyDescent="0.3">
      <c r="A357" s="2">
        <f>529.609606542253*(1/3.6)</f>
        <v>147.11377959507016</v>
      </c>
    </row>
    <row r="358" spans="1:1" x14ac:dyDescent="0.3">
      <c r="A358" s="2">
        <f>528.820521539503*(1/3.6)</f>
        <v>146.89458931652857</v>
      </c>
    </row>
    <row r="359" spans="1:1" x14ac:dyDescent="0.3">
      <c r="A359" s="2">
        <f>531.342772914032*(1/3.6)</f>
        <v>147.59521469834237</v>
      </c>
    </row>
    <row r="360" spans="1:1" x14ac:dyDescent="0.3">
      <c r="A360" s="2">
        <f>530.880314487368*(1/3.6)</f>
        <v>147.46675402426894</v>
      </c>
    </row>
    <row r="361" spans="1:1" x14ac:dyDescent="0.3">
      <c r="A361" s="2">
        <f>523.006139351608*(1/3.6)</f>
        <v>145.27948315322459</v>
      </c>
    </row>
    <row r="362" spans="1:1" x14ac:dyDescent="0.3">
      <c r="A362" s="2">
        <f>534.895611278678*(1/3.6)</f>
        <v>148.58211424407722</v>
      </c>
    </row>
    <row r="363" spans="1:1" x14ac:dyDescent="0.3">
      <c r="A363" s="2">
        <f>521.966788164354*(1/3.6)</f>
        <v>144.99077449009826</v>
      </c>
    </row>
    <row r="364" spans="1:1" x14ac:dyDescent="0.3">
      <c r="A364" s="2">
        <f>531.209064635923*(1/3.6)</f>
        <v>147.55807350997853</v>
      </c>
    </row>
    <row r="365" spans="1:1" x14ac:dyDescent="0.3">
      <c r="A365" s="2">
        <f>534.682387567186*(1/3.6)</f>
        <v>148.52288543532933</v>
      </c>
    </row>
    <row r="366" spans="1:1" x14ac:dyDescent="0.3">
      <c r="A366" s="2">
        <f>530.498016149216*(1/3.6)</f>
        <v>147.36056004144891</v>
      </c>
    </row>
    <row r="367" spans="1:1" x14ac:dyDescent="0.3">
      <c r="A367" s="2">
        <f>534.885006883401*(1/3.6)</f>
        <v>148.57916857872246</v>
      </c>
    </row>
    <row r="368" spans="1:1" x14ac:dyDescent="0.3">
      <c r="A368" s="2">
        <f>523.385920011038*(1/3.6)</f>
        <v>145.38497778084403</v>
      </c>
    </row>
    <row r="369" spans="1:1" x14ac:dyDescent="0.3">
      <c r="A369" s="2">
        <f>531.075079637547*(1/3.6)</f>
        <v>147.52085545487409</v>
      </c>
    </row>
    <row r="370" spans="1:1" x14ac:dyDescent="0.3">
      <c r="A370" s="2">
        <f>528.429944563093*(1/3.6)</f>
        <v>146.78609571197043</v>
      </c>
    </row>
    <row r="371" spans="1:1" x14ac:dyDescent="0.3">
      <c r="A371" s="2">
        <f>527.899829557702*(1/3.6)</f>
        <v>146.63884154380622</v>
      </c>
    </row>
    <row r="372" spans="1:1" x14ac:dyDescent="0.3">
      <c r="A372" s="2">
        <f>525.128026071079*(1/3.6)</f>
        <v>145.86889613085535</v>
      </c>
    </row>
    <row r="373" spans="1:1" x14ac:dyDescent="0.3">
      <c r="A373" s="2">
        <f>524.089012600954*(1/3.6)</f>
        <v>145.58028127804272</v>
      </c>
    </row>
    <row r="374" spans="1:1" x14ac:dyDescent="0.3">
      <c r="A374" s="2">
        <f>521.361502652486*(1/3.6)</f>
        <v>144.8226396256905</v>
      </c>
    </row>
    <row r="375" spans="1:1" x14ac:dyDescent="0.3">
      <c r="A375" s="2">
        <f>527.305779107437*(1/3.6)</f>
        <v>146.47382752984367</v>
      </c>
    </row>
    <row r="376" spans="1:1" x14ac:dyDescent="0.3">
      <c r="A376" s="2">
        <f>527.564828161374*(1/3.6)</f>
        <v>146.54578560038178</v>
      </c>
    </row>
    <row r="377" spans="1:1" x14ac:dyDescent="0.3">
      <c r="A377" s="2">
        <f>528.145030216361*(1/3.6)</f>
        <v>146.70695283787794</v>
      </c>
    </row>
    <row r="378" spans="1:1" x14ac:dyDescent="0.3">
      <c r="A378" s="2">
        <f>528.635736428771*(1/3.6)</f>
        <v>146.84326011910312</v>
      </c>
    </row>
    <row r="379" spans="1:1" x14ac:dyDescent="0.3">
      <c r="A379" s="2">
        <f>532.373997689502*(1/3.6)</f>
        <v>147.88166602486172</v>
      </c>
    </row>
    <row r="380" spans="1:1" x14ac:dyDescent="0.3">
      <c r="A380" s="2">
        <f>532.771089159337*(1/3.6)</f>
        <v>147.99196921092687</v>
      </c>
    </row>
    <row r="381" spans="1:1" x14ac:dyDescent="0.3">
      <c r="A381" s="2">
        <f>530.240445178421*(1/3.6)</f>
        <v>147.28901254956133</v>
      </c>
    </row>
    <row r="382" spans="1:1" x14ac:dyDescent="0.3">
      <c r="A382" s="2">
        <f>523.41844045732*(1/3.6)</f>
        <v>145.39401123814443</v>
      </c>
    </row>
    <row r="383" spans="1:1" x14ac:dyDescent="0.3">
      <c r="A383" s="2">
        <f>528.435973914126*(1/3.6)</f>
        <v>146.78777053170171</v>
      </c>
    </row>
    <row r="384" spans="1:1" x14ac:dyDescent="0.3">
      <c r="A384" s="2">
        <f>520.09752836246*(1/3.6)</f>
        <v>144.47153565623898</v>
      </c>
    </row>
    <row r="385" spans="1:1" x14ac:dyDescent="0.3">
      <c r="A385" s="2">
        <f>623.607508982675*(1/3.6)</f>
        <v>173.22430805074319</v>
      </c>
    </row>
    <row r="386" spans="1:1" x14ac:dyDescent="0.3">
      <c r="A386" s="2">
        <f>634.291382644919*(1/3.6)</f>
        <v>176.19205073469962</v>
      </c>
    </row>
    <row r="387" spans="1:1" x14ac:dyDescent="0.3">
      <c r="A387" s="2">
        <f>633.862562214632*(1/3.6)</f>
        <v>176.07293394850885</v>
      </c>
    </row>
    <row r="388" spans="1:1" x14ac:dyDescent="0.3">
      <c r="A388" s="2">
        <f>632.438310714718*(1/3.6)</f>
        <v>175.67730853186623</v>
      </c>
    </row>
    <row r="389" spans="1:1" x14ac:dyDescent="0.3">
      <c r="A389" s="2">
        <f>629.622288517921*(1/3.6)</f>
        <v>174.89508014386692</v>
      </c>
    </row>
    <row r="390" spans="1:1" x14ac:dyDescent="0.3">
      <c r="A390" s="2">
        <f>624.480489713179*(1/3.6)</f>
        <v>173.4668026981052</v>
      </c>
    </row>
    <row r="391" spans="1:1" x14ac:dyDescent="0.3">
      <c r="A391" s="2">
        <f>650.940755327819*(1/3.6)</f>
        <v>180.81687647994971</v>
      </c>
    </row>
    <row r="392" spans="1:1" x14ac:dyDescent="0.3">
      <c r="A392" s="2">
        <f>631.833075761449*(1/3.6)</f>
        <v>175.50918771151373</v>
      </c>
    </row>
    <row r="393" spans="1:1" x14ac:dyDescent="0.3">
      <c r="A393" s="2">
        <f>629.818220170106*(1/3.6)</f>
        <v>174.94950560280731</v>
      </c>
    </row>
    <row r="394" spans="1:1" x14ac:dyDescent="0.3">
      <c r="A394" s="2">
        <f>628.579558908283*(1/3.6)</f>
        <v>174.60543303007856</v>
      </c>
    </row>
    <row r="395" spans="1:1" x14ac:dyDescent="0.3">
      <c r="A395" s="2">
        <f>630.727583411603*(1/3.6)</f>
        <v>175.20210650322318</v>
      </c>
    </row>
    <row r="396" spans="1:1" x14ac:dyDescent="0.3">
      <c r="A396" s="2">
        <f>628.49213053119*(1/3.6)</f>
        <v>174.5811473697751</v>
      </c>
    </row>
    <row r="397" spans="1:1" x14ac:dyDescent="0.3">
      <c r="A397" s="2">
        <f>636.918774571958*(1/3.6)</f>
        <v>176.92188182554403</v>
      </c>
    </row>
    <row r="398" spans="1:1" x14ac:dyDescent="0.3">
      <c r="A398" s="2">
        <f>630.485410948272*(1/3.6)</f>
        <v>175.13483637452012</v>
      </c>
    </row>
    <row r="399" spans="1:1" x14ac:dyDescent="0.3">
      <c r="A399" s="2">
        <f>628.395620770082*(1/3.6)</f>
        <v>174.55433910280064</v>
      </c>
    </row>
    <row r="400" spans="1:1" x14ac:dyDescent="0.3">
      <c r="A400" s="2">
        <f>628.042767059506*(1/3.6)</f>
        <v>174.45632418319624</v>
      </c>
    </row>
    <row r="401" spans="1:1" x14ac:dyDescent="0.3">
      <c r="A401" s="2">
        <f>627.406120078927*(1/3.6)</f>
        <v>174.27947779970188</v>
      </c>
    </row>
    <row r="402" spans="1:1" x14ac:dyDescent="0.3">
      <c r="A402" s="2">
        <f>630.411191888755*(1/3.6)</f>
        <v>175.11421996909854</v>
      </c>
    </row>
    <row r="403" spans="1:1" x14ac:dyDescent="0.3">
      <c r="A403" s="2">
        <f>629.196941136761*(1/3.6)</f>
        <v>174.7769280935446</v>
      </c>
    </row>
    <row r="404" spans="1:1" x14ac:dyDescent="0.3">
      <c r="A404" s="2">
        <f>628.414814136048*(1/3.6)</f>
        <v>174.55967059334657</v>
      </c>
    </row>
    <row r="405" spans="1:1" x14ac:dyDescent="0.3">
      <c r="A405" s="2">
        <f>622.74837082563*(1/3.6)</f>
        <v>172.98565856267487</v>
      </c>
    </row>
    <row r="406" spans="1:1" x14ac:dyDescent="0.3">
      <c r="A406" s="2">
        <f>649.122531514093*(1/3.6)</f>
        <v>180.31181430947015</v>
      </c>
    </row>
    <row r="407" spans="1:1" x14ac:dyDescent="0.3">
      <c r="A407" s="2">
        <f>627.848214249379*(1/3.6)</f>
        <v>174.40228173593854</v>
      </c>
    </row>
    <row r="408" spans="1:1" x14ac:dyDescent="0.3">
      <c r="A408" s="2">
        <f>629.917639340994*(1/3.6)</f>
        <v>174.97712203916498</v>
      </c>
    </row>
    <row r="409" spans="1:1" x14ac:dyDescent="0.3">
      <c r="A409" s="2">
        <f>625.539653523888*(1/3.6)</f>
        <v>173.76101486774664</v>
      </c>
    </row>
    <row r="410" spans="1:1" x14ac:dyDescent="0.3">
      <c r="A410" s="2">
        <f>626.770961757727*(1/3.6)</f>
        <v>174.10304493270195</v>
      </c>
    </row>
    <row r="411" spans="1:1" x14ac:dyDescent="0.3">
      <c r="A411" s="2">
        <f>623.783292676366*(1/3.6)</f>
        <v>173.27313685454624</v>
      </c>
    </row>
    <row r="412" spans="1:1" x14ac:dyDescent="0.3">
      <c r="A412" s="2">
        <f>626.726238606417*(1/3.6)</f>
        <v>174.09062183511577</v>
      </c>
    </row>
    <row r="413" spans="1:1" x14ac:dyDescent="0.3">
      <c r="A413" s="2">
        <f>619.567478290568*(1/3.6)</f>
        <v>172.10207730293544</v>
      </c>
    </row>
    <row r="414" spans="1:1" x14ac:dyDescent="0.3">
      <c r="A414" s="2">
        <f>620.389077648828*(1/3.6)</f>
        <v>172.33029934689679</v>
      </c>
    </row>
    <row r="415" spans="1:1" x14ac:dyDescent="0.3">
      <c r="A415" s="2">
        <f>623.086342937106*(1/3.6)</f>
        <v>173.07953970475154</v>
      </c>
    </row>
    <row r="416" spans="1:1" x14ac:dyDescent="0.3">
      <c r="A416" s="2">
        <f>621.687747344638*(1/3.6)</f>
        <v>172.69104092906605</v>
      </c>
    </row>
    <row r="417" spans="1:1" x14ac:dyDescent="0.3">
      <c r="A417" s="2">
        <f>623.690893322113*(1/3.6)</f>
        <v>173.24747036725358</v>
      </c>
    </row>
    <row r="418" spans="1:1" x14ac:dyDescent="0.3">
      <c r="A418" s="2">
        <f>623.401419425566*(1/3.6)</f>
        <v>173.16706095154626</v>
      </c>
    </row>
    <row r="419" spans="1:1" x14ac:dyDescent="0.3">
      <c r="A419" s="2">
        <f>618.9505990649*(1/3.6)</f>
        <v>171.93072196247218</v>
      </c>
    </row>
    <row r="420" spans="1:1" x14ac:dyDescent="0.3">
      <c r="A420" s="2">
        <f>622.401898556305*(1/3.6)</f>
        <v>172.88941626564016</v>
      </c>
    </row>
    <row r="421" spans="1:1" x14ac:dyDescent="0.3">
      <c r="A421" s="2">
        <f>624.749580156152*(1/3.6)</f>
        <v>173.54155004337557</v>
      </c>
    </row>
    <row r="422" spans="1:1" x14ac:dyDescent="0.3">
      <c r="A422" s="2">
        <f>619.015585957748*(1/3.6)</f>
        <v>171.94877387715229</v>
      </c>
    </row>
    <row r="423" spans="1:1" x14ac:dyDescent="0.3">
      <c r="A423" s="2">
        <f>620.805203357168*(1/3.6)</f>
        <v>172.44588982143563</v>
      </c>
    </row>
    <row r="424" spans="1:1" x14ac:dyDescent="0.3">
      <c r="A424" s="2">
        <f>622.637614400543*(1/3.6)</f>
        <v>172.95489288903985</v>
      </c>
    </row>
    <row r="425" spans="1:1" x14ac:dyDescent="0.3">
      <c r="A425" s="2">
        <f>617.78430895305*(1/3.6)</f>
        <v>171.60675248695833</v>
      </c>
    </row>
    <row r="426" spans="1:1" x14ac:dyDescent="0.3">
      <c r="A426" s="2">
        <f>619.747263535599*(1/3.6)</f>
        <v>172.15201764877759</v>
      </c>
    </row>
    <row r="427" spans="1:1" x14ac:dyDescent="0.3">
      <c r="A427" s="2">
        <f>616.038992994584*(1/3.6)</f>
        <v>171.12194249849549</v>
      </c>
    </row>
    <row r="428" spans="1:1" x14ac:dyDescent="0.3">
      <c r="A428" s="2">
        <f>632.929731817424*(1/3.6)</f>
        <v>175.81381439372879</v>
      </c>
    </row>
    <row r="429" spans="1:1" x14ac:dyDescent="0.3">
      <c r="A429" s="2">
        <f>615.559617880518*(1/3.6)</f>
        <v>170.98878274458841</v>
      </c>
    </row>
    <row r="430" spans="1:1" x14ac:dyDescent="0.3">
      <c r="A430" s="2">
        <f>616.712765372655*(1/3.6)</f>
        <v>171.3091014924043</v>
      </c>
    </row>
    <row r="431" spans="1:1" x14ac:dyDescent="0.3">
      <c r="A431" s="2">
        <f>620.832627625533*(1/3.6)</f>
        <v>172.45350767375908</v>
      </c>
    </row>
    <row r="432" spans="1:1" x14ac:dyDescent="0.3">
      <c r="A432" s="2">
        <f>621.244412486564*(1/3.6)</f>
        <v>172.56789235737881</v>
      </c>
    </row>
    <row r="433" spans="1:1" x14ac:dyDescent="0.3">
      <c r="A433" s="2">
        <f>617.392003071081*(1/3.6)</f>
        <v>171.49777863085592</v>
      </c>
    </row>
    <row r="434" spans="1:1" x14ac:dyDescent="0.3">
      <c r="A434" s="2">
        <f>619.10983936895*(1/3.6)</f>
        <v>171.97495538026394</v>
      </c>
    </row>
    <row r="435" spans="1:1" x14ac:dyDescent="0.3">
      <c r="A435" s="2">
        <f>615.322420849246*(1/3.6)</f>
        <v>170.92289468034605</v>
      </c>
    </row>
    <row r="436" spans="1:1" x14ac:dyDescent="0.3">
      <c r="A436" s="2">
        <f>616.837064644605*(1/3.6)</f>
        <v>171.3436290679459</v>
      </c>
    </row>
    <row r="437" spans="1:1" x14ac:dyDescent="0.3">
      <c r="A437" s="2">
        <f>624.558448811435*(1/3.6)</f>
        <v>173.48845800317645</v>
      </c>
    </row>
    <row r="438" spans="1:1" x14ac:dyDescent="0.3">
      <c r="A438" s="2">
        <f>634.781060821658*(1/3.6)</f>
        <v>176.32807245046067</v>
      </c>
    </row>
    <row r="439" spans="1:1" x14ac:dyDescent="0.3">
      <c r="A439" s="2">
        <f>602.99458145631*(1/3.6)</f>
        <v>167.49849484897513</v>
      </c>
    </row>
    <row r="440" spans="1:1" x14ac:dyDescent="0.3">
      <c r="A440" s="2">
        <f>614.039890044388*(1/3.6)</f>
        <v>170.56663612344116</v>
      </c>
    </row>
    <row r="441" spans="1:1" x14ac:dyDescent="0.3">
      <c r="A441" s="2">
        <f>609.633846305502*(1/3.6)</f>
        <v>169.3427350848616</v>
      </c>
    </row>
    <row r="442" spans="1:1" x14ac:dyDescent="0.3">
      <c r="A442" s="2">
        <f>607.693294317848*(1/3.6)</f>
        <v>168.80369286606876</v>
      </c>
    </row>
    <row r="443" spans="1:1" x14ac:dyDescent="0.3">
      <c r="A443" s="2">
        <f>612.9034781015*(1/3.6)</f>
        <v>170.2509661393056</v>
      </c>
    </row>
    <row r="444" spans="1:1" x14ac:dyDescent="0.3">
      <c r="A444" s="2">
        <f>605.895863635339*(1/3.6)</f>
        <v>168.30440656537183</v>
      </c>
    </row>
    <row r="445" spans="1:1" x14ac:dyDescent="0.3">
      <c r="A445" s="2">
        <f>607.645518734129*(1/3.6)</f>
        <v>168.7904218705915</v>
      </c>
    </row>
    <row r="446" spans="1:1" x14ac:dyDescent="0.3">
      <c r="A446" s="2">
        <f>612.969913983469*(1/3.6)</f>
        <v>170.26942055096353</v>
      </c>
    </row>
    <row r="447" spans="1:1" x14ac:dyDescent="0.3">
      <c r="A447" s="2">
        <f>615.894598334886*(1/3.6)</f>
        <v>171.08183287080169</v>
      </c>
    </row>
    <row r="448" spans="1:1" x14ac:dyDescent="0.3">
      <c r="A448" s="2">
        <f>612.946598042672*(1/3.6)</f>
        <v>170.26294390074227</v>
      </c>
    </row>
    <row r="449" spans="1:1" x14ac:dyDescent="0.3">
      <c r="A449" s="2">
        <f>610.674665904301*(1/3.6)</f>
        <v>169.63185164008371</v>
      </c>
    </row>
    <row r="450" spans="1:1" x14ac:dyDescent="0.3">
      <c r="A450" s="2">
        <f>612.692845241273*(1/3.6)</f>
        <v>170.19245701146477</v>
      </c>
    </row>
    <row r="451" spans="1:1" x14ac:dyDescent="0.3">
      <c r="A451" s="2">
        <f>607.549256764411*(1/3.6)</f>
        <v>168.76368243455849</v>
      </c>
    </row>
    <row r="452" spans="1:1" x14ac:dyDescent="0.3">
      <c r="A452" s="2">
        <f>606.385477973936*(1/3.6)</f>
        <v>168.44041054831547</v>
      </c>
    </row>
    <row r="453" spans="1:1" x14ac:dyDescent="0.3">
      <c r="A453" s="2">
        <f>611.106643919715*(1/3.6)</f>
        <v>169.75184553325417</v>
      </c>
    </row>
    <row r="454" spans="1:1" x14ac:dyDescent="0.3">
      <c r="A454" s="2">
        <f>606.674763912851*(1/3.6)</f>
        <v>168.52076775356977</v>
      </c>
    </row>
    <row r="455" spans="1:1" x14ac:dyDescent="0.3">
      <c r="A455" s="2">
        <f>606.706725281434*(1/3.6)</f>
        <v>168.52964591150933</v>
      </c>
    </row>
    <row r="456" spans="1:1" x14ac:dyDescent="0.3">
      <c r="A456" s="2">
        <f>606.645023603808*(1/3.6)</f>
        <v>168.5125065566132</v>
      </c>
    </row>
    <row r="457" spans="1:1" x14ac:dyDescent="0.3">
      <c r="A457" s="2">
        <f>610.701357267686*(1/3.6)</f>
        <v>169.63926590769051</v>
      </c>
    </row>
    <row r="458" spans="1:1" x14ac:dyDescent="0.3">
      <c r="A458" s="2">
        <f>668.414101849517*(1/3.6)</f>
        <v>185.67058384708798</v>
      </c>
    </row>
    <row r="459" spans="1:1" x14ac:dyDescent="0.3">
      <c r="A459" s="2">
        <f>614.225536781564*(1/3.6)</f>
        <v>170.61820466154558</v>
      </c>
    </row>
    <row r="460" spans="1:1" x14ac:dyDescent="0.3">
      <c r="A460" s="2">
        <f>635.881808812631*(1/3.6)</f>
        <v>176.63383578128639</v>
      </c>
    </row>
    <row r="461" spans="1:1" x14ac:dyDescent="0.3">
      <c r="A461" s="2">
        <f>635.303925578666*(1/3.6)</f>
        <v>176.47331266074045</v>
      </c>
    </row>
    <row r="462" spans="1:1" x14ac:dyDescent="0.3">
      <c r="A462" s="2">
        <f>632.123674600347*(1/3.6)</f>
        <v>175.58990961120753</v>
      </c>
    </row>
    <row r="463" spans="1:1" x14ac:dyDescent="0.3">
      <c r="A463" s="2">
        <f>636.803418678462*(1/3.6)</f>
        <v>176.8898385217951</v>
      </c>
    </row>
    <row r="464" spans="1:1" x14ac:dyDescent="0.3">
      <c r="A464" s="2">
        <f>614.2036998997*(1/3.6)</f>
        <v>170.61213886102783</v>
      </c>
    </row>
    <row r="465" spans="1:1" x14ac:dyDescent="0.3">
      <c r="A465" s="2">
        <f>638.845648938705*(1/3.6)</f>
        <v>177.45712470519578</v>
      </c>
    </row>
    <row r="466" spans="1:1" x14ac:dyDescent="0.3">
      <c r="A466" s="2">
        <f>638.415161624566*(1/3.6)</f>
        <v>177.33754489571277</v>
      </c>
    </row>
    <row r="467" spans="1:1" x14ac:dyDescent="0.3">
      <c r="A467" s="2">
        <f>636.510530958623*(1/3.6)</f>
        <v>176.80848082183971</v>
      </c>
    </row>
    <row r="468" spans="1:1" x14ac:dyDescent="0.3">
      <c r="A468" s="2">
        <f>634.302597659443*(1/3.6)</f>
        <v>176.19516601651205</v>
      </c>
    </row>
    <row r="469" spans="1:1" x14ac:dyDescent="0.3">
      <c r="A469" s="2">
        <f>637.277579365195*(1/3.6)</f>
        <v>177.02154982366537</v>
      </c>
    </row>
    <row r="470" spans="1:1" x14ac:dyDescent="0.3">
      <c r="A470" s="2">
        <f>636.933458122074*(1/3.6)</f>
        <v>176.92596058946495</v>
      </c>
    </row>
    <row r="471" spans="1:1" x14ac:dyDescent="0.3">
      <c r="A471" s="2">
        <f>633.347483207421*(1/3.6)</f>
        <v>175.92985644650582</v>
      </c>
    </row>
    <row r="472" spans="1:1" x14ac:dyDescent="0.3">
      <c r="A472" s="2">
        <f>633.045152654783*(1/3.6)</f>
        <v>175.84587573743977</v>
      </c>
    </row>
    <row r="473" spans="1:1" x14ac:dyDescent="0.3">
      <c r="A473" s="2">
        <f>633.441655000889*(1/3.6)</f>
        <v>175.95601527802484</v>
      </c>
    </row>
    <row r="474" spans="1:1" x14ac:dyDescent="0.3">
      <c r="A474" s="2">
        <f>633.999486865249*(1/3.6)</f>
        <v>176.11096857368037</v>
      </c>
    </row>
    <row r="475" spans="1:1" x14ac:dyDescent="0.3">
      <c r="A475" s="2">
        <f>631.981461738116*(1/3.6)</f>
        <v>175.55040603836557</v>
      </c>
    </row>
    <row r="476" spans="1:1" x14ac:dyDescent="0.3">
      <c r="A476" s="2">
        <f>622.004950835169*(1/3.6)</f>
        <v>172.77915300976929</v>
      </c>
    </row>
    <row r="477" spans="1:1" x14ac:dyDescent="0.3">
      <c r="A477" s="2">
        <f>600.93826611922*(1/3.6)</f>
        <v>166.92729614422777</v>
      </c>
    </row>
    <row r="478" spans="1:1" x14ac:dyDescent="0.3">
      <c r="A478" s="2">
        <f>602.615088455261*(1/3.6)</f>
        <v>167.39308012646143</v>
      </c>
    </row>
    <row r="479" spans="1:1" x14ac:dyDescent="0.3">
      <c r="A479" s="2">
        <f>600.507691260966*(1/3.6)</f>
        <v>166.80769201693491</v>
      </c>
    </row>
    <row r="480" spans="1:1" x14ac:dyDescent="0.3">
      <c r="A480" s="2">
        <f>600.217633742092*(1/3.6)</f>
        <v>166.72712048391446</v>
      </c>
    </row>
    <row r="481" spans="1:1" x14ac:dyDescent="0.3">
      <c r="A481" s="2">
        <f>601.078225897631*(1/3.6)</f>
        <v>166.96617386045318</v>
      </c>
    </row>
    <row r="482" spans="1:1" x14ac:dyDescent="0.3">
      <c r="A482" s="2">
        <f>604.956153556694*(1/3.6)</f>
        <v>168.04337598797048</v>
      </c>
    </row>
    <row r="483" spans="1:1" x14ac:dyDescent="0.3">
      <c r="A483" s="2">
        <f>604.138964370104*(1/3.6)</f>
        <v>167.81637899169564</v>
      </c>
    </row>
    <row r="484" spans="1:1" x14ac:dyDescent="0.3">
      <c r="A484" s="2">
        <f>602.916186691366*(1/3.6)</f>
        <v>167.47671852537931</v>
      </c>
    </row>
    <row r="485" spans="1:1" x14ac:dyDescent="0.3">
      <c r="A485" s="2">
        <f>354.105847239921*(1/3.6)</f>
        <v>98.362735344422603</v>
      </c>
    </row>
    <row r="486" spans="1:1" x14ac:dyDescent="0.3">
      <c r="A486" s="2">
        <f>352.871256633559*(1/3.6)</f>
        <v>98.019793509322085</v>
      </c>
    </row>
    <row r="487" spans="1:1" x14ac:dyDescent="0.3">
      <c r="A487" s="2">
        <f>352.02753854645*(1/3.6)</f>
        <v>97.785427374013821</v>
      </c>
    </row>
    <row r="488" spans="1:1" x14ac:dyDescent="0.3">
      <c r="A488" s="2">
        <f>351.044456450326*(1/3.6)</f>
        <v>97.512349013979559</v>
      </c>
    </row>
    <row r="489" spans="1:1" x14ac:dyDescent="0.3">
      <c r="A489" s="2">
        <f>502.107733220372*(1/3.6)</f>
        <v>139.47437033899212</v>
      </c>
    </row>
    <row r="490" spans="1:1" x14ac:dyDescent="0.3">
      <c r="A490" s="2">
        <f>501.521123397054*(1/3.6)</f>
        <v>139.31142316584825</v>
      </c>
    </row>
    <row r="491" spans="1:1" x14ac:dyDescent="0.3">
      <c r="A491" s="2">
        <f>500.235334674576*(1/3.6)</f>
        <v>138.95425963182657</v>
      </c>
    </row>
    <row r="492" spans="1:1" x14ac:dyDescent="0.3">
      <c r="A492" s="2">
        <f>499.275123209019*(1/3.6)</f>
        <v>138.68753422472753</v>
      </c>
    </row>
    <row r="493" spans="1:1" x14ac:dyDescent="0.3">
      <c r="A493" s="2">
        <f>502.946348281142*(1/3.6)</f>
        <v>139.70731896698385</v>
      </c>
    </row>
    <row r="494" spans="1:1" x14ac:dyDescent="0.3">
      <c r="A494" s="2">
        <f>501.746700002979*(1/3.6)</f>
        <v>139.37408333416093</v>
      </c>
    </row>
    <row r="495" spans="1:1" x14ac:dyDescent="0.3">
      <c r="A495" s="2">
        <f>500.980908058372*(1/3.6)</f>
        <v>139.16136334954791</v>
      </c>
    </row>
    <row r="496" spans="1:1" x14ac:dyDescent="0.3">
      <c r="A496" s="2">
        <f>500.397576474676*(1/3.6)</f>
        <v>138.9993267985212</v>
      </c>
    </row>
    <row r="497" spans="1:1" x14ac:dyDescent="0.3">
      <c r="A497" s="2">
        <f>501.502406776391*(1/3.6)</f>
        <v>139.30622410455319</v>
      </c>
    </row>
    <row r="498" spans="1:1" x14ac:dyDescent="0.3">
      <c r="A498" s="2">
        <f>500.496484630884*(1/3.6)</f>
        <v>139.02680128635666</v>
      </c>
    </row>
    <row r="499" spans="1:1" x14ac:dyDescent="0.3">
      <c r="A499" s="2">
        <f>502.452413652328*(1/3.6)</f>
        <v>139.57011490342438</v>
      </c>
    </row>
    <row r="500" spans="1:1" x14ac:dyDescent="0.3">
      <c r="A500" s="2">
        <f>501.062302558694*(1/3.6)</f>
        <v>139.18397293297065</v>
      </c>
    </row>
    <row r="501" spans="1:1" x14ac:dyDescent="0.3">
      <c r="A501" s="2">
        <f>501.129317861818*(1/3.6)</f>
        <v>139.20258829494955</v>
      </c>
    </row>
    <row r="502" spans="1:1" x14ac:dyDescent="0.3">
      <c r="A502" s="2">
        <f>501.950116164809*(1/3.6)</f>
        <v>139.43058782355808</v>
      </c>
    </row>
    <row r="503" spans="1:1" x14ac:dyDescent="0.3">
      <c r="A503" s="2">
        <f>479.96180972445*(1/3.6)</f>
        <v>133.32272492345842</v>
      </c>
    </row>
    <row r="504" spans="1:1" x14ac:dyDescent="0.3">
      <c r="A504" s="2">
        <f>478.94372340216*(1/3.6)</f>
        <v>133.03992316726658</v>
      </c>
    </row>
    <row r="505" spans="1:1" x14ac:dyDescent="0.3">
      <c r="A505" s="2">
        <f>477.50618214435*(1/3.6)</f>
        <v>132.64060615120832</v>
      </c>
    </row>
    <row r="506" spans="1:1" x14ac:dyDescent="0.3">
      <c r="A506" s="2">
        <f>477.317717985968*(1/3.6)</f>
        <v>132.58825499610231</v>
      </c>
    </row>
    <row r="507" spans="1:1" x14ac:dyDescent="0.3">
      <c r="A507" s="2">
        <f>476.646633262429*(1/3.6)</f>
        <v>132.40184257289704</v>
      </c>
    </row>
    <row r="508" spans="1:1" x14ac:dyDescent="0.3">
      <c r="A508" s="2">
        <f>476.840439515393*(1/3.6)</f>
        <v>132.45567764316459</v>
      </c>
    </row>
    <row r="509" spans="1:1" x14ac:dyDescent="0.3">
      <c r="A509" s="2">
        <f>475.924452125792*(1/3.6)</f>
        <v>132.20123670160902</v>
      </c>
    </row>
    <row r="510" spans="1:1" x14ac:dyDescent="0.3">
      <c r="A510" s="2">
        <f>475.655217814899*(1/3.6)</f>
        <v>132.1264493930276</v>
      </c>
    </row>
    <row r="511" spans="1:1" x14ac:dyDescent="0.3">
      <c r="A511" s="2">
        <f>476.093114124064*(1/3.6)</f>
        <v>132.24808725668444</v>
      </c>
    </row>
    <row r="512" spans="1:1" x14ac:dyDescent="0.3">
      <c r="A512" s="2">
        <f>476.45948727563*(1/3.6)</f>
        <v>132.34985757656381</v>
      </c>
    </row>
    <row r="513" spans="1:1" x14ac:dyDescent="0.3">
      <c r="A513" s="2">
        <f>475.950621010245*(1/3.6)</f>
        <v>132.20850583617906</v>
      </c>
    </row>
    <row r="514" spans="1:1" x14ac:dyDescent="0.3">
      <c r="A514" s="2">
        <f>475.941592298402*(1/3.6)</f>
        <v>132.20599786066734</v>
      </c>
    </row>
    <row r="515" spans="1:1" x14ac:dyDescent="0.3">
      <c r="A515" s="2">
        <f>476.03994746095*(1/3.6)</f>
        <v>132.23331873915276</v>
      </c>
    </row>
    <row r="516" spans="1:1" x14ac:dyDescent="0.3">
      <c r="A516" s="2">
        <f>476.079057388176*(1/3.6)</f>
        <v>132.24418260782662</v>
      </c>
    </row>
    <row r="517" spans="1:1" x14ac:dyDescent="0.3">
      <c r="A517" s="2">
        <f>475.253237066122*(1/3.6)</f>
        <v>132.01478807392277</v>
      </c>
    </row>
    <row r="518" spans="1:1" x14ac:dyDescent="0.3">
      <c r="A518" s="2">
        <f>474.677121759422*(1/3.6)</f>
        <v>131.8547560442839</v>
      </c>
    </row>
    <row r="519" spans="1:1" x14ac:dyDescent="0.3">
      <c r="A519" s="2">
        <f>474.111108189444*(1/3.6)</f>
        <v>131.69753005262322</v>
      </c>
    </row>
    <row r="520" spans="1:1" x14ac:dyDescent="0.3">
      <c r="A520" s="2">
        <f>474.312129697413*(1/3.6)</f>
        <v>131.75336936039244</v>
      </c>
    </row>
    <row r="521" spans="1:1" x14ac:dyDescent="0.3">
      <c r="A521" s="2">
        <f>474.792149980935*(1/3.6)</f>
        <v>131.88670832803763</v>
      </c>
    </row>
    <row r="522" spans="1:1" x14ac:dyDescent="0.3">
      <c r="A522" s="2">
        <f>475.414245102251*(1/3.6)</f>
        <v>132.05951252840305</v>
      </c>
    </row>
    <row r="523" spans="1:1" x14ac:dyDescent="0.3">
      <c r="A523" s="2">
        <f>474.500780031951*(1/3.6)</f>
        <v>131.80577223109759</v>
      </c>
    </row>
    <row r="524" spans="1:1" x14ac:dyDescent="0.3">
      <c r="A524" s="2">
        <f>482.778069599162*(1/3.6)</f>
        <v>134.1050193331005</v>
      </c>
    </row>
    <row r="525" spans="1:1" x14ac:dyDescent="0.3">
      <c r="A525" s="2">
        <f>490.91849357933*(1/3.6)</f>
        <v>136.36624821648056</v>
      </c>
    </row>
    <row r="526" spans="1:1" x14ac:dyDescent="0.3">
      <c r="A526" s="2">
        <f>490.328269204454*(1/3.6)</f>
        <v>136.20229700123713</v>
      </c>
    </row>
    <row r="527" spans="1:1" x14ac:dyDescent="0.3">
      <c r="A527" s="2">
        <f>474.517360120961*(1/3.6)</f>
        <v>131.81037781137809</v>
      </c>
    </row>
    <row r="528" spans="1:1" x14ac:dyDescent="0.3">
      <c r="A528" s="2">
        <f>473.739381493786*(1/3.6)</f>
        <v>131.5942726371627</v>
      </c>
    </row>
    <row r="529" spans="1:1" x14ac:dyDescent="0.3">
      <c r="A529" s="2">
        <f>474.66678195777*(1/3.6)</f>
        <v>131.85188387715834</v>
      </c>
    </row>
    <row r="530" spans="1:1" x14ac:dyDescent="0.3">
      <c r="A530" s="2">
        <f>473.865887396769*(1/3.6)</f>
        <v>131.62941316576919</v>
      </c>
    </row>
    <row r="531" spans="1:1" x14ac:dyDescent="0.3">
      <c r="A531" s="2">
        <f>473.053201668926*(1/3.6)</f>
        <v>131.40366713025719</v>
      </c>
    </row>
    <row r="532" spans="1:1" x14ac:dyDescent="0.3">
      <c r="A532" s="2">
        <f>472.355873848466*(1/3.6)</f>
        <v>131.20996495790723</v>
      </c>
    </row>
    <row r="533" spans="1:1" x14ac:dyDescent="0.3">
      <c r="A533" s="2">
        <f>471.816901062232*(1/3.6)</f>
        <v>131.06025029506438</v>
      </c>
    </row>
    <row r="534" spans="1:1" x14ac:dyDescent="0.3">
      <c r="A534" s="2">
        <f>471.191651338713*(1/3.6)</f>
        <v>130.88656981630913</v>
      </c>
    </row>
    <row r="535" spans="1:1" x14ac:dyDescent="0.3">
      <c r="A535" s="2">
        <f>469.508759045173*(1/3.6)</f>
        <v>130.41909973477038</v>
      </c>
    </row>
    <row r="536" spans="1:1" x14ac:dyDescent="0.3">
      <c r="A536" s="2">
        <f>468.572317145885*(1/3.6)</f>
        <v>130.15897698496818</v>
      </c>
    </row>
    <row r="537" spans="1:1" x14ac:dyDescent="0.3">
      <c r="A537" s="2">
        <f>469.232625223324*(1/3.6)</f>
        <v>130.34239589536784</v>
      </c>
    </row>
    <row r="538" spans="1:1" x14ac:dyDescent="0.3">
      <c r="A538" s="2">
        <f>469.873745672352*(1/3.6)</f>
        <v>130.52048490898656</v>
      </c>
    </row>
    <row r="539" spans="1:1" x14ac:dyDescent="0.3">
      <c r="A539" s="2">
        <f>468.543884975266*(1/3.6)</f>
        <v>130.15107915979621</v>
      </c>
    </row>
    <row r="540" spans="1:1" x14ac:dyDescent="0.3">
      <c r="A540" s="2">
        <f>469.263732535262*(1/3.6)</f>
        <v>130.35103681535048</v>
      </c>
    </row>
    <row r="541" spans="1:1" x14ac:dyDescent="0.3">
      <c r="A541" s="2">
        <f>467.266687548019*(1/3.6)</f>
        <v>129.79630209667204</v>
      </c>
    </row>
    <row r="542" spans="1:1" x14ac:dyDescent="0.3">
      <c r="A542" s="2">
        <f>468.850753004766*(1/3.6)</f>
        <v>130.23632027910165</v>
      </c>
    </row>
    <row r="543" spans="1:1" x14ac:dyDescent="0.3">
      <c r="A543" s="2">
        <f>469.372571174184*(1/3.6)</f>
        <v>130.38126977060662</v>
      </c>
    </row>
    <row r="544" spans="1:1" x14ac:dyDescent="0.3">
      <c r="A544" s="2">
        <f>468.57232622944*(1/3.6)</f>
        <v>130.15897950817777</v>
      </c>
    </row>
    <row r="545" spans="1:1" x14ac:dyDescent="0.3">
      <c r="A545" s="2">
        <f>467.144067676891*(1/3.6)</f>
        <v>129.76224102135873</v>
      </c>
    </row>
    <row r="546" spans="1:1" x14ac:dyDescent="0.3">
      <c r="A546" s="2">
        <f>468.46458870287*(1/3.6)</f>
        <v>130.12905241746401</v>
      </c>
    </row>
    <row r="547" spans="1:1" x14ac:dyDescent="0.3">
      <c r="A547" s="2">
        <f>467.619103485352*(1/3.6)</f>
        <v>129.89419541259792</v>
      </c>
    </row>
    <row r="548" spans="1:1" x14ac:dyDescent="0.3">
      <c r="A548" s="2">
        <f>467.452867577334*(1/3.6)</f>
        <v>129.8480187714818</v>
      </c>
    </row>
    <row r="549" spans="1:1" x14ac:dyDescent="0.3">
      <c r="A549" s="2">
        <f>467.982430032938*(1/3.6)</f>
        <v>129.99511945359387</v>
      </c>
    </row>
    <row r="550" spans="1:1" x14ac:dyDescent="0.3">
      <c r="A550" s="2">
        <f>468.003860976648*(1/3.6)</f>
        <v>130.00107249351319</v>
      </c>
    </row>
    <row r="551" spans="1:1" x14ac:dyDescent="0.3">
      <c r="A551" s="2">
        <f>465.706713212038*(1/3.6)</f>
        <v>129.36297589223284</v>
      </c>
    </row>
    <row r="552" spans="1:1" x14ac:dyDescent="0.3">
      <c r="A552" s="2">
        <f>466.849526773202*(1/3.6)</f>
        <v>129.68042410366709</v>
      </c>
    </row>
    <row r="553" spans="1:1" x14ac:dyDescent="0.3">
      <c r="A553" s="2">
        <f>466.709937571136*(1/3.6)</f>
        <v>129.64164932531571</v>
      </c>
    </row>
    <row r="554" spans="1:1" x14ac:dyDescent="0.3">
      <c r="A554" s="2">
        <f>466.149625673102*(1/3.6)</f>
        <v>129.48600713141718</v>
      </c>
    </row>
    <row r="555" spans="1:1" x14ac:dyDescent="0.3">
      <c r="A555" s="2">
        <f>465.695799433226*(1/3.6)</f>
        <v>129.35994428700729</v>
      </c>
    </row>
    <row r="556" spans="1:1" x14ac:dyDescent="0.3">
      <c r="A556" s="2">
        <f>465.731463944642*(1/3.6)</f>
        <v>129.36985109573402</v>
      </c>
    </row>
    <row r="557" spans="1:1" x14ac:dyDescent="0.3">
      <c r="A557" s="2">
        <f>465.023499436016*(1/3.6)</f>
        <v>129.17319428778234</v>
      </c>
    </row>
    <row r="558" spans="1:1" x14ac:dyDescent="0.3">
      <c r="A558" s="2">
        <f>465.050667580196*(1/3.6)</f>
        <v>129.18074099449896</v>
      </c>
    </row>
    <row r="559" spans="1:1" x14ac:dyDescent="0.3">
      <c r="A559" s="2">
        <f>464.48469751648*(1/3.6)</f>
        <v>129.02352708791108</v>
      </c>
    </row>
    <row r="560" spans="1:1" x14ac:dyDescent="0.3">
      <c r="A560" s="2">
        <f>464.676012712937*(1/3.6)</f>
        <v>129.07667019803819</v>
      </c>
    </row>
    <row r="561" spans="1:1" x14ac:dyDescent="0.3">
      <c r="A561" s="2">
        <f>463.895422783527*(1/3.6)</f>
        <v>128.85983966209085</v>
      </c>
    </row>
    <row r="562" spans="1:1" x14ac:dyDescent="0.3">
      <c r="A562" s="2">
        <f>463.596147314977*(1/3.6)</f>
        <v>128.77670758749358</v>
      </c>
    </row>
    <row r="563" spans="1:1" x14ac:dyDescent="0.3">
      <c r="A563" s="2">
        <f>464.039108640529*(1/3.6)</f>
        <v>128.89975240014689</v>
      </c>
    </row>
    <row r="564" spans="1:1" x14ac:dyDescent="0.3">
      <c r="A564" s="2">
        <f>463.721507241821*(1/3.6)</f>
        <v>128.81152978939468</v>
      </c>
    </row>
    <row r="565" spans="1:1" x14ac:dyDescent="0.3">
      <c r="A565" s="2">
        <f>463.571574112341*(1/3.6)</f>
        <v>128.76988169787242</v>
      </c>
    </row>
    <row r="566" spans="1:1" x14ac:dyDescent="0.3">
      <c r="A566" s="2">
        <f>464.17976751286*(1/3.6)</f>
        <v>128.93882430912785</v>
      </c>
    </row>
    <row r="567" spans="1:1" x14ac:dyDescent="0.3">
      <c r="A567" s="2">
        <f>463.623771491948*(1/3.6)</f>
        <v>128.78438096998565</v>
      </c>
    </row>
    <row r="568" spans="1:1" x14ac:dyDescent="0.3">
      <c r="A568" s="2">
        <f>464.000914049973*(1/3.6)</f>
        <v>128.88914279165928</v>
      </c>
    </row>
    <row r="569" spans="1:1" x14ac:dyDescent="0.3">
      <c r="A569" s="2">
        <f>462.342297714418*(1/3.6)</f>
        <v>128.42841603178266</v>
      </c>
    </row>
    <row r="570" spans="1:1" x14ac:dyDescent="0.3">
      <c r="A570" s="2">
        <f>462.918303477067*(1/3.6)</f>
        <v>128.58841763251863</v>
      </c>
    </row>
    <row r="571" spans="1:1" x14ac:dyDescent="0.3">
      <c r="A571" s="2">
        <f>462.568179385521*(1/3.6)</f>
        <v>128.49116094042242</v>
      </c>
    </row>
    <row r="572" spans="1:1" x14ac:dyDescent="0.3">
      <c r="A572" s="2">
        <f>462.824120000598*(1/3.6)</f>
        <v>128.56225555572161</v>
      </c>
    </row>
    <row r="573" spans="1:1" x14ac:dyDescent="0.3">
      <c r="A573" s="2">
        <f>461.617925365122*(1/3.6)</f>
        <v>128.22720149031161</v>
      </c>
    </row>
    <row r="574" spans="1:1" x14ac:dyDescent="0.3">
      <c r="A574" s="2">
        <f>461.362454221952*(1/3.6)</f>
        <v>128.15623728387553</v>
      </c>
    </row>
    <row r="575" spans="1:1" x14ac:dyDescent="0.3">
      <c r="A575" s="2">
        <f>461.915587457436*(1/3.6)</f>
        <v>128.30988540484336</v>
      </c>
    </row>
    <row r="576" spans="1:1" x14ac:dyDescent="0.3">
      <c r="A576" s="2">
        <f>461.755536741784*(1/3.6)</f>
        <v>128.26542687271771</v>
      </c>
    </row>
    <row r="577" spans="1:1" x14ac:dyDescent="0.3">
      <c r="A577" s="2">
        <f>459.247103731743*(1/3.6)</f>
        <v>127.56863992548423</v>
      </c>
    </row>
    <row r="578" spans="1:1" x14ac:dyDescent="0.3">
      <c r="A578" s="2">
        <f>459.135723109834*(1/3.6)</f>
        <v>127.53770086384284</v>
      </c>
    </row>
    <row r="579" spans="1:1" x14ac:dyDescent="0.3">
      <c r="A579" s="2">
        <f>459.06923172782*(1/3.6)</f>
        <v>127.51923103550557</v>
      </c>
    </row>
    <row r="580" spans="1:1" x14ac:dyDescent="0.3">
      <c r="A580" s="2">
        <f>459.045890821172*(1/3.6)</f>
        <v>127.51274745032569</v>
      </c>
    </row>
    <row r="581" spans="1:1" x14ac:dyDescent="0.3">
      <c r="A581" s="2">
        <f>459.11988465672*(1/3.6)</f>
        <v>127.53330129353338</v>
      </c>
    </row>
    <row r="582" spans="1:1" x14ac:dyDescent="0.3">
      <c r="A582" s="2">
        <f>459.253010837224*(1/3.6)</f>
        <v>127.57028078811783</v>
      </c>
    </row>
    <row r="583" spans="1:1" x14ac:dyDescent="0.3">
      <c r="A583" s="2">
        <f>460.040680862257*(1/3.6)</f>
        <v>127.78907801729368</v>
      </c>
    </row>
    <row r="584" spans="1:1" x14ac:dyDescent="0.3">
      <c r="A584" s="2">
        <f>459.714481657185*(1/3.6)</f>
        <v>127.69846712699579</v>
      </c>
    </row>
    <row r="585" spans="1:1" x14ac:dyDescent="0.3">
      <c r="A585" s="2">
        <f>459.048905691911*(1/3.6)</f>
        <v>127.51358491441974</v>
      </c>
    </row>
    <row r="586" spans="1:1" x14ac:dyDescent="0.3">
      <c r="A586" s="2">
        <f>459.159777701222*(1/3.6)</f>
        <v>127.54438269478395</v>
      </c>
    </row>
    <row r="587" spans="1:1" x14ac:dyDescent="0.3">
      <c r="A587" s="2">
        <f>458.628879366483*(1/3.6)</f>
        <v>127.39691093513414</v>
      </c>
    </row>
    <row r="588" spans="1:1" x14ac:dyDescent="0.3">
      <c r="A588" s="2">
        <f>459.022869256618*(1/3.6)</f>
        <v>127.5063525712827</v>
      </c>
    </row>
    <row r="589" spans="1:1" x14ac:dyDescent="0.3">
      <c r="A589" s="2">
        <f>454.866990955353*(1/3.6)</f>
        <v>126.35194193204261</v>
      </c>
    </row>
    <row r="590" spans="1:1" x14ac:dyDescent="0.3">
      <c r="A590" s="2">
        <f>571.011466406188*(1/3.6)</f>
        <v>158.61429622394124</v>
      </c>
    </row>
    <row r="591" spans="1:1" x14ac:dyDescent="0.3">
      <c r="A591" s="2">
        <f>570.090896506243*(1/3.6)</f>
        <v>158.3585823628454</v>
      </c>
    </row>
    <row r="592" spans="1:1" x14ac:dyDescent="0.3">
      <c r="A592" s="2">
        <f>571.175882474676*(1/3.6)</f>
        <v>158.6599673540766</v>
      </c>
    </row>
    <row r="593" spans="1:1" x14ac:dyDescent="0.3">
      <c r="A593" s="2">
        <f>569.494236620542*(1/3.6)</f>
        <v>158.19284350570609</v>
      </c>
    </row>
    <row r="594" spans="1:1" x14ac:dyDescent="0.3">
      <c r="A594" s="2">
        <f>569.020768587827*(1/3.6)</f>
        <v>158.06132460772966</v>
      </c>
    </row>
    <row r="595" spans="1:1" x14ac:dyDescent="0.3">
      <c r="A595" s="2">
        <f>569.174925609567*(1/3.6)</f>
        <v>158.1041460026575</v>
      </c>
    </row>
    <row r="596" spans="1:1" x14ac:dyDescent="0.3">
      <c r="A596" s="2">
        <f>568.341144243166*(1/3.6)</f>
        <v>157.87254006754603</v>
      </c>
    </row>
    <row r="597" spans="1:1" x14ac:dyDescent="0.3">
      <c r="A597" s="2">
        <f>568.116691243142*(1/3.6)</f>
        <v>157.81019201198379</v>
      </c>
    </row>
    <row r="598" spans="1:1" x14ac:dyDescent="0.3">
      <c r="A598" s="2">
        <f>568.030367573489*(1/3.6)</f>
        <v>157.78621321485815</v>
      </c>
    </row>
    <row r="599" spans="1:1" x14ac:dyDescent="0.3">
      <c r="A599" s="2">
        <f>568.693332757847*(1/3.6)</f>
        <v>157.97037021051293</v>
      </c>
    </row>
    <row r="600" spans="1:1" x14ac:dyDescent="0.3">
      <c r="A600" s="2">
        <f>569.909102667937*(1/3.6)</f>
        <v>158.30808407442694</v>
      </c>
    </row>
    <row r="601" spans="1:1" x14ac:dyDescent="0.3">
      <c r="A601" s="2">
        <f>568.93812105137*(1/3.6)</f>
        <v>158.03836695871382</v>
      </c>
    </row>
    <row r="602" spans="1:1" x14ac:dyDescent="0.3">
      <c r="A602" s="2">
        <f>567.068710193365*(1/3.6)</f>
        <v>157.51908616482365</v>
      </c>
    </row>
    <row r="603" spans="1:1" x14ac:dyDescent="0.3">
      <c r="A603" s="2">
        <f>568.583288671239*(1/3.6)</f>
        <v>157.93980240867737</v>
      </c>
    </row>
    <row r="604" spans="1:1" x14ac:dyDescent="0.3">
      <c r="A604" s="2">
        <f>567.382997104983*(1/3.6)</f>
        <v>157.60638808471757</v>
      </c>
    </row>
    <row r="605" spans="1:1" x14ac:dyDescent="0.3">
      <c r="A605" s="2">
        <f>568.558504003797*(1/3.6)</f>
        <v>157.93291777883238</v>
      </c>
    </row>
    <row r="606" spans="1:1" x14ac:dyDescent="0.3">
      <c r="A606" s="2">
        <f>567.579528502601*(1/3.6)</f>
        <v>157.66098013961141</v>
      </c>
    </row>
    <row r="607" spans="1:1" x14ac:dyDescent="0.3">
      <c r="A607" s="2">
        <f>567.531093995378*(1/3.6)</f>
        <v>157.64752610982725</v>
      </c>
    </row>
    <row r="608" spans="1:1" x14ac:dyDescent="0.3">
      <c r="A608" s="2">
        <f>567.048792105923*(1/3.6)</f>
        <v>157.51355336275651</v>
      </c>
    </row>
    <row r="609" spans="1:1" x14ac:dyDescent="0.3">
      <c r="A609" s="2">
        <f>567.091356756529*(1/3.6)</f>
        <v>157.5253768768136</v>
      </c>
    </row>
    <row r="610" spans="1:1" x14ac:dyDescent="0.3">
      <c r="A610" s="2">
        <f>566.670857033846*(1/3.6)</f>
        <v>157.40857139829049</v>
      </c>
    </row>
    <row r="611" spans="1:1" x14ac:dyDescent="0.3">
      <c r="A611" s="2">
        <f>566.65826462749*(1/3.6)</f>
        <v>157.40507350763613</v>
      </c>
    </row>
    <row r="612" spans="1:1" x14ac:dyDescent="0.3">
      <c r="A612" s="2">
        <f>567.54602199425*(1/3.6)</f>
        <v>157.65167277618059</v>
      </c>
    </row>
    <row r="613" spans="1:1" x14ac:dyDescent="0.3">
      <c r="A613" s="2">
        <f>567.44569879918*(1/3.6)</f>
        <v>157.62380522199439</v>
      </c>
    </row>
    <row r="614" spans="1:1" x14ac:dyDescent="0.3">
      <c r="A614" s="2">
        <f>568.624031257699*(1/3.6)</f>
        <v>157.95111979380516</v>
      </c>
    </row>
    <row r="615" spans="1:1" x14ac:dyDescent="0.3">
      <c r="A615" s="2">
        <f>567.950337913494*(1/3.6)</f>
        <v>157.76398275374819</v>
      </c>
    </row>
    <row r="616" spans="1:1" x14ac:dyDescent="0.3">
      <c r="A616" s="2">
        <f>570.38029532666*(1/3.6)</f>
        <v>158.43897092407209</v>
      </c>
    </row>
    <row r="617" spans="1:1" x14ac:dyDescent="0.3">
      <c r="A617" s="2">
        <f>577.718810034015*(1/3.6)</f>
        <v>160.47744723167074</v>
      </c>
    </row>
    <row r="618" spans="1:1" x14ac:dyDescent="0.3">
      <c r="A618" s="2">
        <f>578.078045520103*(1/3.6)</f>
        <v>160.57723486669533</v>
      </c>
    </row>
    <row r="619" spans="1:1" x14ac:dyDescent="0.3">
      <c r="A619" s="2">
        <f>562.696518018132*(1/3.6)</f>
        <v>156.30458833836997</v>
      </c>
    </row>
    <row r="620" spans="1:1" x14ac:dyDescent="0.3">
      <c r="A620" s="2">
        <f>563.883162380388*(1/3.6)</f>
        <v>156.63421177233008</v>
      </c>
    </row>
    <row r="621" spans="1:1" x14ac:dyDescent="0.3">
      <c r="A621" s="2">
        <f>558.919036983908*(1/3.6)</f>
        <v>155.25528805108561</v>
      </c>
    </row>
    <row r="622" spans="1:1" x14ac:dyDescent="0.3">
      <c r="A622" s="2">
        <f>566.549296048551*(1/3.6)</f>
        <v>157.37480445793074</v>
      </c>
    </row>
    <row r="623" spans="1:1" x14ac:dyDescent="0.3">
      <c r="A623" s="2">
        <f>565.953404139374*(1/3.6)</f>
        <v>157.20927892760378</v>
      </c>
    </row>
    <row r="624" spans="1:1" x14ac:dyDescent="0.3">
      <c r="A624" s="2">
        <f>568.099428561285*(1/3.6)</f>
        <v>157.80539682257924</v>
      </c>
    </row>
    <row r="625" spans="1:1" x14ac:dyDescent="0.3">
      <c r="A625" s="2">
        <f>569.250422802303*(1/3.6)</f>
        <v>158.12511744508419</v>
      </c>
    </row>
    <row r="626" spans="1:1" x14ac:dyDescent="0.3">
      <c r="A626" s="2">
        <f>569.226146784399*(1/3.6)</f>
        <v>158.11837410677751</v>
      </c>
    </row>
    <row r="627" spans="1:1" x14ac:dyDescent="0.3">
      <c r="A627" s="2">
        <f>569.826057229165*(1/3.6)</f>
        <v>158.28501589699036</v>
      </c>
    </row>
    <row r="628" spans="1:1" x14ac:dyDescent="0.3">
      <c r="A628" s="2">
        <f>571.146676520707*(1/3.6)</f>
        <v>158.65185458908516</v>
      </c>
    </row>
    <row r="629" spans="1:1" x14ac:dyDescent="0.3">
      <c r="A629" s="2">
        <f>573.031260154866*(1/3.6)</f>
        <v>159.17535004301834</v>
      </c>
    </row>
    <row r="630" spans="1:1" x14ac:dyDescent="0.3">
      <c r="A630" s="2">
        <f>573.016209285372*(1/3.6)</f>
        <v>159.17116924593677</v>
      </c>
    </row>
    <row r="631" spans="1:1" x14ac:dyDescent="0.3">
      <c r="A631" s="2">
        <f>574.064599268836*(1/3.6)</f>
        <v>159.46238868578772</v>
      </c>
    </row>
    <row r="632" spans="1:1" x14ac:dyDescent="0.3">
      <c r="A632" s="2">
        <f>577.765694782304*(1/3.6)</f>
        <v>160.49047077286212</v>
      </c>
    </row>
    <row r="633" spans="1:1" x14ac:dyDescent="0.3">
      <c r="A633" s="2">
        <f>580.626032662661*(1/3.6)</f>
        <v>161.28500907296132</v>
      </c>
    </row>
    <row r="634" spans="1:1" x14ac:dyDescent="0.3">
      <c r="A634" s="2">
        <f>569.840094496403*(1/3.6)</f>
        <v>158.2889151378898</v>
      </c>
    </row>
    <row r="635" spans="1:1" x14ac:dyDescent="0.3">
      <c r="A635" s="2">
        <f>569.902851008941*(1/3.6)</f>
        <v>158.30634750248367</v>
      </c>
    </row>
    <row r="636" spans="1:1" x14ac:dyDescent="0.3">
      <c r="A636" s="2">
        <f>570.515012872654*(1/3.6)</f>
        <v>158.47639246462606</v>
      </c>
    </row>
    <row r="637" spans="1:1" x14ac:dyDescent="0.3">
      <c r="A637" s="2">
        <f>572.307832275616*(1/3.6)</f>
        <v>158.97439785433787</v>
      </c>
    </row>
    <row r="638" spans="1:1" x14ac:dyDescent="0.3">
      <c r="A638" s="2">
        <f>575.375753074664*(1/3.6)</f>
        <v>159.82659807629551</v>
      </c>
    </row>
    <row r="639" spans="1:1" x14ac:dyDescent="0.3">
      <c r="A639" s="2">
        <f>577.674251000922*(1/3.6)</f>
        <v>160.46506972247846</v>
      </c>
    </row>
    <row r="640" spans="1:1" x14ac:dyDescent="0.3">
      <c r="A640" s="2">
        <f>581.410826908718*(1/3.6)</f>
        <v>161.50300747464388</v>
      </c>
    </row>
    <row r="641" spans="1:1" x14ac:dyDescent="0.3">
      <c r="A641" s="2">
        <f>585.130425737274*(1/3.6)</f>
        <v>162.53622937146514</v>
      </c>
    </row>
    <row r="642" spans="1:1" x14ac:dyDescent="0.3">
      <c r="A642" s="2">
        <f>586.869494103634*(1/3.6)</f>
        <v>163.01930391767624</v>
      </c>
    </row>
    <row r="643" spans="1:1" x14ac:dyDescent="0.3">
      <c r="A643" s="2">
        <f>587.710925384588*(1/3.6)</f>
        <v>163.25303482905213</v>
      </c>
    </row>
    <row r="644" spans="1:1" x14ac:dyDescent="0.3">
      <c r="A644" s="2">
        <f>567.81612043291*(1/3.6)</f>
        <v>157.72670012025284</v>
      </c>
    </row>
    <row r="645" spans="1:1" x14ac:dyDescent="0.3">
      <c r="A645" s="2">
        <f>567.677758417575*(1/3.6)</f>
        <v>157.68826622710404</v>
      </c>
    </row>
    <row r="646" spans="1:1" x14ac:dyDescent="0.3">
      <c r="A646" s="2">
        <f>567.866957116298*(1/3.6)</f>
        <v>157.74082142119397</v>
      </c>
    </row>
    <row r="647" spans="1:1" x14ac:dyDescent="0.3">
      <c r="A647" s="2">
        <f>570.458200222578*(1/3.6)</f>
        <v>158.46061117293823</v>
      </c>
    </row>
    <row r="648" spans="1:1" x14ac:dyDescent="0.3">
      <c r="A648" s="2">
        <f>574.100088632255*(1/3.6)</f>
        <v>159.47224684229312</v>
      </c>
    </row>
    <row r="649" spans="1:1" x14ac:dyDescent="0.3">
      <c r="A649" s="2">
        <f>576.391106327826*(1/3.6)</f>
        <v>160.10864064661834</v>
      </c>
    </row>
    <row r="650" spans="1:1" x14ac:dyDescent="0.3">
      <c r="A650" s="2">
        <f>574.669169922097*(1/3.6)</f>
        <v>159.63032497836016</v>
      </c>
    </row>
    <row r="651" spans="1:1" x14ac:dyDescent="0.3">
      <c r="A651" s="2">
        <f>577.441814565368*(1/3.6)</f>
        <v>160.40050404593543</v>
      </c>
    </row>
    <row r="652" spans="1:1" x14ac:dyDescent="0.3">
      <c r="A652" s="2">
        <f>578.258677471284*(1/3.6)</f>
        <v>160.62741040868988</v>
      </c>
    </row>
    <row r="653" spans="1:1" x14ac:dyDescent="0.3">
      <c r="A653" s="2">
        <f>579.680367867991*(1/3.6)</f>
        <v>161.02232440777541</v>
      </c>
    </row>
    <row r="654" spans="1:1" x14ac:dyDescent="0.3">
      <c r="A654" s="2">
        <f>582.948531746795*(1/3.6)</f>
        <v>161.93014770744313</v>
      </c>
    </row>
    <row r="655" spans="1:1" x14ac:dyDescent="0.3">
      <c r="A655" s="2">
        <f>584.282640806785*(1/3.6)</f>
        <v>162.3007335574404</v>
      </c>
    </row>
    <row r="656" spans="1:1" x14ac:dyDescent="0.3">
      <c r="A656" s="2">
        <f>582.562132654953*(1/3.6)</f>
        <v>161.8228146263759</v>
      </c>
    </row>
    <row r="657" spans="1:1" x14ac:dyDescent="0.3">
      <c r="A657" s="2">
        <f>584.520558408863*(1/3.6)</f>
        <v>162.36682178023975</v>
      </c>
    </row>
    <row r="658" spans="1:1" x14ac:dyDescent="0.3">
      <c r="A658" s="2">
        <f>304.939926080385*(1/3.6)</f>
        <v>84.705535022329158</v>
      </c>
    </row>
    <row r="659" spans="1:1" x14ac:dyDescent="0.3">
      <c r="A659" s="2">
        <f>305.224039239394*(1/3.6)</f>
        <v>84.784455344276012</v>
      </c>
    </row>
    <row r="660" spans="1:1" x14ac:dyDescent="0.3">
      <c r="A660" s="2">
        <f>304.545866681975*(1/3.6)</f>
        <v>84.596074078326311</v>
      </c>
    </row>
    <row r="661" spans="1:1" x14ac:dyDescent="0.3">
      <c r="A661" s="2">
        <f>303.312424574735*(1/3.6)</f>
        <v>84.25345127075974</v>
      </c>
    </row>
    <row r="662" spans="1:1" x14ac:dyDescent="0.3">
      <c r="A662" s="2">
        <f>303.120103829844*(1/3.6)</f>
        <v>84.200028841623322</v>
      </c>
    </row>
    <row r="663" spans="1:1" x14ac:dyDescent="0.3">
      <c r="A663" s="2">
        <f>303.447601733709*(1/3.6)</f>
        <v>84.291000481585854</v>
      </c>
    </row>
    <row r="664" spans="1:1" x14ac:dyDescent="0.3">
      <c r="A664" s="2">
        <f>303.203758217809*(1/3.6)</f>
        <v>84.22326617161373</v>
      </c>
    </row>
    <row r="665" spans="1:1" x14ac:dyDescent="0.3">
      <c r="A665" s="2">
        <f>303.076821861567*(1/3.6)</f>
        <v>84.188006072657458</v>
      </c>
    </row>
    <row r="666" spans="1:1" x14ac:dyDescent="0.3">
      <c r="A666" s="2">
        <f>293.882720601386*(1/3.6)</f>
        <v>81.634089055940422</v>
      </c>
    </row>
    <row r="667" spans="1:1" x14ac:dyDescent="0.3">
      <c r="A667" s="2">
        <f>292.274383669732*(1/3.6)</f>
        <v>81.187328797147728</v>
      </c>
    </row>
    <row r="668" spans="1:1" x14ac:dyDescent="0.3">
      <c r="A668" s="2">
        <f>295.760354741993*(1/3.6)</f>
        <v>82.155654094998098</v>
      </c>
    </row>
    <row r="669" spans="1:1" x14ac:dyDescent="0.3">
      <c r="A669" s="2">
        <f>296.164670169358*(1/3.6)</f>
        <v>82.267963935932855</v>
      </c>
    </row>
    <row r="670" spans="1:1" x14ac:dyDescent="0.3">
      <c r="A670" s="2">
        <f>296.753186644767*(1/3.6)</f>
        <v>82.431440734657485</v>
      </c>
    </row>
    <row r="671" spans="1:1" x14ac:dyDescent="0.3">
      <c r="A671" s="2">
        <f>297.885923052887*(1/3.6)</f>
        <v>82.746089736913021</v>
      </c>
    </row>
    <row r="672" spans="1:1" x14ac:dyDescent="0.3">
      <c r="A672" s="2">
        <f>311.09574881949*(1/3.6)</f>
        <v>86.415485783191585</v>
      </c>
    </row>
    <row r="673" spans="1:1" x14ac:dyDescent="0.3">
      <c r="A673" s="2">
        <f>310.447186340325*(1/3.6)</f>
        <v>86.235329538979173</v>
      </c>
    </row>
    <row r="674" spans="1:1" x14ac:dyDescent="0.3">
      <c r="A674" s="2">
        <f>309.950152918255*(1/3.6)</f>
        <v>86.097264699515136</v>
      </c>
    </row>
    <row r="675" spans="1:1" x14ac:dyDescent="0.3">
      <c r="A675" s="2">
        <f>310.117380193377*(1/3.6)</f>
        <v>86.143716720382443</v>
      </c>
    </row>
    <row r="676" spans="1:1" x14ac:dyDescent="0.3">
      <c r="A676" s="2">
        <f>310.868752158772*(1/3.6)</f>
        <v>86.35243115521439</v>
      </c>
    </row>
    <row r="677" spans="1:1" x14ac:dyDescent="0.3">
      <c r="A677" s="2">
        <f>310.233928613199*(1/3.6)</f>
        <v>86.176091281444144</v>
      </c>
    </row>
    <row r="678" spans="1:1" x14ac:dyDescent="0.3">
      <c r="A678" s="2">
        <f>310.031602515388*(1/3.6)</f>
        <v>86.119889587607844</v>
      </c>
    </row>
    <row r="679" spans="1:1" x14ac:dyDescent="0.3">
      <c r="A679" s="2">
        <f>310.236198619233*(1/3.6)</f>
        <v>86.176721838675931</v>
      </c>
    </row>
    <row r="680" spans="1:1" x14ac:dyDescent="0.3">
      <c r="A680" s="2">
        <f>310.641755498054*(1/3.6)</f>
        <v>86.289376527237167</v>
      </c>
    </row>
    <row r="681" spans="1:1" x14ac:dyDescent="0.3">
      <c r="A681" s="2">
        <f>309.949638273357*(1/3.6)</f>
        <v>86.097121742599214</v>
      </c>
    </row>
    <row r="682" spans="1:1" x14ac:dyDescent="0.3">
      <c r="A682" s="2">
        <f>308.519792218628*(1/3.6)</f>
        <v>85.699942282952293</v>
      </c>
    </row>
    <row r="683" spans="1:1" x14ac:dyDescent="0.3">
      <c r="A683" s="2">
        <f>309.126031740793*(1/3.6)</f>
        <v>85.868342150220244</v>
      </c>
    </row>
    <row r="684" spans="1:1" x14ac:dyDescent="0.3">
      <c r="A684" s="2">
        <f>308.967475929007*(1/3.6)</f>
        <v>85.824298869168615</v>
      </c>
    </row>
    <row r="685" spans="1:1" x14ac:dyDescent="0.3">
      <c r="A685" s="2">
        <f>308.839021550837*(1/3.6)</f>
        <v>85.788617097454804</v>
      </c>
    </row>
    <row r="686" spans="1:1" x14ac:dyDescent="0.3">
      <c r="A686" s="2">
        <f>309.276104845647*(1/3.6)</f>
        <v>85.910029123790693</v>
      </c>
    </row>
    <row r="687" spans="1:1" x14ac:dyDescent="0.3">
      <c r="A687" s="2">
        <f>308.804518894757*(1/3.6)</f>
        <v>85.779033026321258</v>
      </c>
    </row>
    <row r="688" spans="1:1" x14ac:dyDescent="0.3">
      <c r="A688" s="2">
        <f>308.247941408651*(1/3.6)</f>
        <v>85.624428169069674</v>
      </c>
    </row>
    <row r="689" spans="1:1" x14ac:dyDescent="0.3">
      <c r="A689" s="2">
        <f>308.649976763486*(1/3.6)</f>
        <v>85.736104656523992</v>
      </c>
    </row>
    <row r="690" spans="1:1" x14ac:dyDescent="0.3">
      <c r="A690" s="2">
        <f>308.91308831728*(1/3.6)</f>
        <v>85.809191199244395</v>
      </c>
    </row>
    <row r="691" spans="1:1" x14ac:dyDescent="0.3">
      <c r="A691" s="2">
        <f>309.178983891014*(1/3.6)</f>
        <v>85.883051080837305</v>
      </c>
    </row>
    <row r="692" spans="1:1" x14ac:dyDescent="0.3">
      <c r="A692" s="2">
        <f>326.008511094299*(1/3.6)</f>
        <v>90.557919748416339</v>
      </c>
    </row>
    <row r="693" spans="1:1" x14ac:dyDescent="0.3">
      <c r="A693" s="2">
        <f>326.864106053055*(1/3.6)</f>
        <v>90.79558501473764</v>
      </c>
    </row>
    <row r="694" spans="1:1" x14ac:dyDescent="0.3">
      <c r="A694" s="2">
        <f>326.310781038806*(1/3.6)</f>
        <v>90.641883621890429</v>
      </c>
    </row>
    <row r="695" spans="1:1" x14ac:dyDescent="0.3">
      <c r="A695" s="2">
        <f>325.815885542775*(1/3.6)</f>
        <v>90.504412650770846</v>
      </c>
    </row>
    <row r="696" spans="1:1" x14ac:dyDescent="0.3">
      <c r="A696" s="2">
        <f>330.123767811571*(1/3.6)</f>
        <v>91.701046614325193</v>
      </c>
    </row>
    <row r="697" spans="1:1" x14ac:dyDescent="0.3">
      <c r="A697" s="2">
        <f>327.852991422819*(1/3.6)</f>
        <v>91.070275395227455</v>
      </c>
    </row>
    <row r="698" spans="1:1" x14ac:dyDescent="0.3">
      <c r="A698" s="2">
        <f>327.63249780898*(1/3.6)</f>
        <v>91.009027169161158</v>
      </c>
    </row>
    <row r="699" spans="1:1" x14ac:dyDescent="0.3">
      <c r="A699" s="2">
        <f>330.302805082569*(1/3.6)</f>
        <v>91.750779189602426</v>
      </c>
    </row>
    <row r="700" spans="1:1" x14ac:dyDescent="0.3">
      <c r="A700" s="2">
        <f>330.529220222623*(1/3.6)</f>
        <v>91.813672284062079</v>
      </c>
    </row>
    <row r="701" spans="1:1" x14ac:dyDescent="0.3">
      <c r="A701" s="2">
        <f>330.537268247628*(1/3.6)</f>
        <v>91.815907846563292</v>
      </c>
    </row>
    <row r="702" spans="1:1" x14ac:dyDescent="0.3">
      <c r="A702" s="2">
        <f>304.446320095714*(1/3.6)</f>
        <v>84.568422248809568</v>
      </c>
    </row>
    <row r="703" spans="1:1" x14ac:dyDescent="0.3">
      <c r="A703" s="2">
        <f>304.014146719148*(1/3.6)</f>
        <v>84.44837408865223</v>
      </c>
    </row>
    <row r="704" spans="1:1" x14ac:dyDescent="0.3">
      <c r="A704" s="2">
        <f>305.138765841343*(1/3.6)</f>
        <v>84.760768289261847</v>
      </c>
    </row>
    <row r="705" spans="1:1" x14ac:dyDescent="0.3">
      <c r="A705" s="2">
        <f>305.199749413637*(1/3.6)</f>
        <v>84.777708170454773</v>
      </c>
    </row>
    <row r="706" spans="1:1" x14ac:dyDescent="0.3">
      <c r="A706" s="2">
        <f>304.915165219771*(1/3.6)</f>
        <v>84.698657005491995</v>
      </c>
    </row>
    <row r="707" spans="1:1" x14ac:dyDescent="0.3">
      <c r="A707" s="2">
        <f>306.397842367477*(1/3.6)</f>
        <v>85.110511768743706</v>
      </c>
    </row>
    <row r="708" spans="1:1" x14ac:dyDescent="0.3">
      <c r="A708" s="2">
        <f>306.661614939543*(1/3.6)</f>
        <v>85.183781927650784</v>
      </c>
    </row>
    <row r="709" spans="1:1" x14ac:dyDescent="0.3">
      <c r="A709" s="2">
        <f>306.967805346605*(1/3.6)</f>
        <v>85.268834818501276</v>
      </c>
    </row>
    <row r="710" spans="1:1" x14ac:dyDescent="0.3">
      <c r="A710" s="2">
        <f>307.318855043693*(1/3.6)</f>
        <v>85.366348623248058</v>
      </c>
    </row>
    <row r="711" spans="1:1" x14ac:dyDescent="0.3">
      <c r="A711" s="2">
        <f>307.404609603376*(1/3.6)</f>
        <v>85.390169334270993</v>
      </c>
    </row>
    <row r="712" spans="1:1" x14ac:dyDescent="0.3">
      <c r="A712" s="2">
        <f>307.855503715726*(1/3.6)</f>
        <v>85.515417698812769</v>
      </c>
    </row>
    <row r="713" spans="1:1" x14ac:dyDescent="0.3">
      <c r="A713" s="2">
        <f>307.504863984552*(1/3.6)</f>
        <v>85.418017773486653</v>
      </c>
    </row>
    <row r="714" spans="1:1" x14ac:dyDescent="0.3">
      <c r="A714" s="2">
        <f>307.861477651503*(1/3.6)</f>
        <v>85.517077125417558</v>
      </c>
    </row>
    <row r="715" spans="1:1" x14ac:dyDescent="0.3">
      <c r="A715" s="2">
        <f>307.438258893869*(1/3.6)</f>
        <v>85.399516359408125</v>
      </c>
    </row>
    <row r="716" spans="1:1" x14ac:dyDescent="0.3">
      <c r="A716" s="2">
        <f>301.459082402804*(1/3.6)</f>
        <v>83.738634000779001</v>
      </c>
    </row>
    <row r="717" spans="1:1" x14ac:dyDescent="0.3">
      <c r="A717" s="2">
        <f>301.427425571363*(1/3.6)</f>
        <v>83.729840436489681</v>
      </c>
    </row>
    <row r="718" spans="1:1" x14ac:dyDescent="0.3">
      <c r="A718" s="2">
        <f>301.354096258835*(1/3.6)</f>
        <v>83.709471183009754</v>
      </c>
    </row>
    <row r="719" spans="1:1" x14ac:dyDescent="0.3">
      <c r="A719" s="2">
        <f>301.225567792167*(1/3.6)</f>
        <v>83.673768831157403</v>
      </c>
    </row>
    <row r="720" spans="1:1" x14ac:dyDescent="0.3">
      <c r="A720" s="2">
        <f>301.574815931093*(1/3.6)</f>
        <v>83.770782203081268</v>
      </c>
    </row>
    <row r="721" spans="1:1" x14ac:dyDescent="0.3">
      <c r="A721" s="2">
        <f>286.43910177035*(1/3.6)</f>
        <v>79.566417158430681</v>
      </c>
    </row>
    <row r="722" spans="1:1" x14ac:dyDescent="0.3">
      <c r="A722" s="2">
        <f>540.622007966252*(1/3.6)</f>
        <v>150.17277999062554</v>
      </c>
    </row>
    <row r="723" spans="1:1" x14ac:dyDescent="0.3">
      <c r="A723" s="2">
        <f>544.664480884163*(1/3.6)</f>
        <v>151.29568913448983</v>
      </c>
    </row>
    <row r="724" spans="1:1" x14ac:dyDescent="0.3">
      <c r="A724" s="2">
        <f>544.680064636382*(1/3.6)</f>
        <v>151.3000179545505</v>
      </c>
    </row>
    <row r="725" spans="1:1" x14ac:dyDescent="0.3">
      <c r="A725" s="2">
        <f>541.894786047576*(1/3.6)</f>
        <v>150.52632945765998</v>
      </c>
    </row>
    <row r="726" spans="1:1" x14ac:dyDescent="0.3">
      <c r="A726" s="2">
        <f>540.921527509477*(1/3.6)</f>
        <v>150.25597986374351</v>
      </c>
    </row>
    <row r="727" spans="1:1" x14ac:dyDescent="0.3">
      <c r="A727" s="2">
        <f>538.18545060602*(1/3.6)</f>
        <v>149.49595850167233</v>
      </c>
    </row>
    <row r="728" spans="1:1" x14ac:dyDescent="0.3">
      <c r="A728" s="2">
        <f>542.321313247384*(1/3.6)</f>
        <v>150.64480923538437</v>
      </c>
    </row>
    <row r="729" spans="1:1" x14ac:dyDescent="0.3">
      <c r="A729" s="2">
        <f>543.560270643493*(1/3.6)</f>
        <v>150.98896406763689</v>
      </c>
    </row>
    <row r="730" spans="1:1" x14ac:dyDescent="0.3">
      <c r="A730" s="2">
        <f>542.709602367187*(1/3.6)</f>
        <v>150.75266732421866</v>
      </c>
    </row>
    <row r="731" spans="1:1" x14ac:dyDescent="0.3">
      <c r="A731" s="2">
        <f>539.431012856724*(1/3.6)</f>
        <v>149.84194801575671</v>
      </c>
    </row>
    <row r="732" spans="1:1" x14ac:dyDescent="0.3">
      <c r="A732" s="2">
        <f>538.096075004896*(1/3.6)</f>
        <v>149.47113194580439</v>
      </c>
    </row>
    <row r="733" spans="1:1" x14ac:dyDescent="0.3">
      <c r="A733" s="2">
        <f>541.443570430756*(1/3.6)</f>
        <v>150.40099178632116</v>
      </c>
    </row>
    <row r="734" spans="1:1" x14ac:dyDescent="0.3">
      <c r="A734" s="2">
        <f>540.448805031801*(1/3.6)</f>
        <v>150.12466806438911</v>
      </c>
    </row>
    <row r="735" spans="1:1" x14ac:dyDescent="0.3">
      <c r="A735" s="2">
        <f>539.707530578921*(1/3.6)</f>
        <v>149.91875849414473</v>
      </c>
    </row>
    <row r="736" spans="1:1" x14ac:dyDescent="0.3">
      <c r="A736" s="2">
        <f>538.261683448509*(1/3.6)</f>
        <v>149.51713429125252</v>
      </c>
    </row>
    <row r="737" spans="1:1" x14ac:dyDescent="0.3">
      <c r="A737" s="2">
        <f>538.320635786961*(1/3.6)</f>
        <v>149.53350994082263</v>
      </c>
    </row>
    <row r="738" spans="1:1" x14ac:dyDescent="0.3">
      <c r="A738" s="2">
        <f>541.422244150399*(1/3.6)</f>
        <v>150.39506781955527</v>
      </c>
    </row>
    <row r="739" spans="1:1" x14ac:dyDescent="0.3">
      <c r="A739" s="2">
        <f>540.891065432042*(1/3.6)</f>
        <v>150.24751817556731</v>
      </c>
    </row>
    <row r="740" spans="1:1" x14ac:dyDescent="0.3">
      <c r="A740" s="2">
        <f>543.103257734223*(1/3.6)</f>
        <v>150.86201603728421</v>
      </c>
    </row>
    <row r="741" spans="1:1" x14ac:dyDescent="0.3">
      <c r="A741" s="2">
        <f>537.856059503812*(1/3.6)</f>
        <v>149.404460973281</v>
      </c>
    </row>
    <row r="742" spans="1:1" x14ac:dyDescent="0.3">
      <c r="A742" s="2">
        <f>538.303488147287*(1/3.6)</f>
        <v>149.52874670757976</v>
      </c>
    </row>
    <row r="743" spans="1:1" x14ac:dyDescent="0.3">
      <c r="A743" s="2">
        <f>540.264100577696*(1/3.6)</f>
        <v>150.07336127158237</v>
      </c>
    </row>
    <row r="744" spans="1:1" x14ac:dyDescent="0.3">
      <c r="A744" s="2">
        <f>537.547800589332*(1/3.6)</f>
        <v>149.31883349703656</v>
      </c>
    </row>
    <row r="745" spans="1:1" x14ac:dyDescent="0.3">
      <c r="A745" s="2">
        <f>539.67266696728*(1/3.6)</f>
        <v>149.90907415757775</v>
      </c>
    </row>
    <row r="746" spans="1:1" x14ac:dyDescent="0.3">
      <c r="A746" s="2">
        <f>539.655979261539*(1/3.6)</f>
        <v>149.90443868376087</v>
      </c>
    </row>
    <row r="747" spans="1:1" x14ac:dyDescent="0.3">
      <c r="A747" s="2">
        <f>539.536716463215*(1/3.6)</f>
        <v>149.87131012867073</v>
      </c>
    </row>
    <row r="748" spans="1:1" x14ac:dyDescent="0.3">
      <c r="A748" s="2">
        <f>539.243799872108*(1/3.6)</f>
        <v>149.78994440891887</v>
      </c>
    </row>
    <row r="749" spans="1:1" x14ac:dyDescent="0.3">
      <c r="A749" s="2">
        <f>499.113624847378*(1/3.6)</f>
        <v>138.64267356871613</v>
      </c>
    </row>
    <row r="750" spans="1:1" x14ac:dyDescent="0.3">
      <c r="A750" s="2">
        <f>539.329736413864*(1/3.6)</f>
        <v>149.81381567051778</v>
      </c>
    </row>
    <row r="751" spans="1:1" x14ac:dyDescent="0.3">
      <c r="A751" s="2">
        <f>538.515011670898*(1/3.6)</f>
        <v>149.58750324191604</v>
      </c>
    </row>
    <row r="752" spans="1:1" x14ac:dyDescent="0.3">
      <c r="A752" s="2">
        <f>542.107641965855*(1/3.6)</f>
        <v>150.58545610162653</v>
      </c>
    </row>
    <row r="753" spans="1:1" x14ac:dyDescent="0.3">
      <c r="A753" s="2">
        <f>537.613371556034*(1/3.6)</f>
        <v>149.3370476544539</v>
      </c>
    </row>
    <row r="754" spans="1:1" x14ac:dyDescent="0.3">
      <c r="A754" s="2">
        <f>536.369864117035*(1/3.6)</f>
        <v>148.99162892139873</v>
      </c>
    </row>
    <row r="755" spans="1:1" x14ac:dyDescent="0.3">
      <c r="A755" s="2">
        <f>536.184120171527*(1/3.6)</f>
        <v>148.94003338097963</v>
      </c>
    </row>
    <row r="756" spans="1:1" x14ac:dyDescent="0.3">
      <c r="A756" s="2">
        <f>533.907829351312*(1/3.6)</f>
        <v>148.30773037536446</v>
      </c>
    </row>
    <row r="757" spans="1:1" x14ac:dyDescent="0.3">
      <c r="A757" s="2">
        <f>539.45849023319*(1/3.6)</f>
        <v>149.84958062033047</v>
      </c>
    </row>
    <row r="758" spans="1:1" x14ac:dyDescent="0.3">
      <c r="A758" s="2">
        <f>535.559978707539*(1/3.6)</f>
        <v>148.76666075209411</v>
      </c>
    </row>
    <row r="759" spans="1:1" x14ac:dyDescent="0.3">
      <c r="A759" s="2">
        <f>537.528259346957*(1/3.6)</f>
        <v>149.31340537415477</v>
      </c>
    </row>
    <row r="760" spans="1:1" x14ac:dyDescent="0.3">
      <c r="A760" s="2">
        <f>536.146902248059*(1/3.6)</f>
        <v>148.92969506890523</v>
      </c>
    </row>
    <row r="761" spans="1:1" x14ac:dyDescent="0.3">
      <c r="A761" s="2">
        <f>535.459702593902*(1/3.6)</f>
        <v>148.73880627608386</v>
      </c>
    </row>
    <row r="762" spans="1:1" x14ac:dyDescent="0.3">
      <c r="A762" s="2">
        <f>535.074969950808*(1/3.6)</f>
        <v>148.63193609744673</v>
      </c>
    </row>
    <row r="763" spans="1:1" x14ac:dyDescent="0.3">
      <c r="A763" s="2">
        <f>534.536426907319*(1/3.6)</f>
        <v>148.48234080758871</v>
      </c>
    </row>
    <row r="764" spans="1:1" x14ac:dyDescent="0.3">
      <c r="A764" s="2">
        <f>533.544538433042*(1/3.6)</f>
        <v>148.20681623140064</v>
      </c>
    </row>
    <row r="765" spans="1:1" x14ac:dyDescent="0.3">
      <c r="A765" s="2">
        <f>537.605379277568*(1/3.6)</f>
        <v>149.3348275771022</v>
      </c>
    </row>
    <row r="766" spans="1:1" x14ac:dyDescent="0.3">
      <c r="A766" s="2">
        <f>536.029109622485*(1/3.6)</f>
        <v>148.8969748951348</v>
      </c>
    </row>
    <row r="767" spans="1:1" x14ac:dyDescent="0.3">
      <c r="A767" s="2">
        <f>538.026004302291*(1/3.6)</f>
        <v>149.45166786174738</v>
      </c>
    </row>
    <row r="768" spans="1:1" x14ac:dyDescent="0.3">
      <c r="A768" s="2">
        <f>534.39239676634*(1/3.6)</f>
        <v>148.44233243509456</v>
      </c>
    </row>
    <row r="769" spans="1:1" x14ac:dyDescent="0.3">
      <c r="A769" s="2">
        <f>533.28576265936*(1/3.6)</f>
        <v>148.13493407204459</v>
      </c>
    </row>
    <row r="770" spans="1:1" x14ac:dyDescent="0.3">
      <c r="A770" s="2">
        <f>533.133907035079*(1/3.6)</f>
        <v>148.09275195418866</v>
      </c>
    </row>
    <row r="771" spans="1:1" x14ac:dyDescent="0.3">
      <c r="A771" s="2">
        <f>535.281310295809*(1/3.6)</f>
        <v>148.68925285994692</v>
      </c>
    </row>
    <row r="772" spans="1:1" x14ac:dyDescent="0.3">
      <c r="A772" s="2">
        <f>534.348538611259*(1/3.6)</f>
        <v>148.43014961423864</v>
      </c>
    </row>
    <row r="773" spans="1:1" x14ac:dyDescent="0.3">
      <c r="A773" s="2">
        <f>535.92132008591*(1/3.6)</f>
        <v>148.86703335719733</v>
      </c>
    </row>
    <row r="774" spans="1:1" x14ac:dyDescent="0.3">
      <c r="A774" s="2">
        <f>534.402904235591*(1/3.6)</f>
        <v>148.44525117655311</v>
      </c>
    </row>
    <row r="775" spans="1:1" x14ac:dyDescent="0.3">
      <c r="A775" s="2">
        <f>534.496503346458*(1/3.6)</f>
        <v>148.47125092957154</v>
      </c>
    </row>
    <row r="776" spans="1:1" x14ac:dyDescent="0.3">
      <c r="A776" s="2">
        <f>532.691668924037*(1/3.6)</f>
        <v>147.96990803445459</v>
      </c>
    </row>
    <row r="777" spans="1:1" x14ac:dyDescent="0.3">
      <c r="A777" s="2">
        <f>533.524682376443*(1/3.6)</f>
        <v>148.20130066012314</v>
      </c>
    </row>
    <row r="778" spans="1:1" x14ac:dyDescent="0.3">
      <c r="A778" s="2">
        <f>536.127913769811*(1/3.6)</f>
        <v>148.92442049161431</v>
      </c>
    </row>
    <row r="779" spans="1:1" x14ac:dyDescent="0.3">
      <c r="A779" s="2">
        <f>533.635663803523*(1/3.6)</f>
        <v>148.23212883431199</v>
      </c>
    </row>
    <row r="780" spans="1:1" x14ac:dyDescent="0.3">
      <c r="A780" s="2">
        <f>569.5935461671*(1/3.6)</f>
        <v>158.22042949086108</v>
      </c>
    </row>
    <row r="781" spans="1:1" x14ac:dyDescent="0.3">
      <c r="A781" s="2">
        <f>566.006960040206*(1/3.6)</f>
        <v>157.22415556672379</v>
      </c>
    </row>
    <row r="782" spans="1:1" x14ac:dyDescent="0.3">
      <c r="A782" s="2">
        <f>569.544295698058*(1/3.6)</f>
        <v>158.20674880501599</v>
      </c>
    </row>
    <row r="783" spans="1:1" x14ac:dyDescent="0.3">
      <c r="A783" s="2">
        <f>573.457466717138*(1/3.6)</f>
        <v>159.29374075476045</v>
      </c>
    </row>
    <row r="784" spans="1:1" x14ac:dyDescent="0.3">
      <c r="A784" s="2">
        <f>571.966313137787*(1/3.6)</f>
        <v>158.87953142716293</v>
      </c>
    </row>
    <row r="785" spans="1:1" x14ac:dyDescent="0.3">
      <c r="A785" s="2">
        <f>371.090437686859*(1/3.6)</f>
        <v>103.0806771352387</v>
      </c>
    </row>
    <row r="786" spans="1:1" x14ac:dyDescent="0.3">
      <c r="A786" s="2">
        <f>369.229536279889*(1/3.6)</f>
        <v>102.56376007774706</v>
      </c>
    </row>
    <row r="787" spans="1:1" x14ac:dyDescent="0.3">
      <c r="A787" s="2">
        <f>369.702989025135*(1/3.6)</f>
        <v>102.69527472920417</v>
      </c>
    </row>
    <row r="788" spans="1:1" x14ac:dyDescent="0.3">
      <c r="A788" s="2">
        <f>369.800775886761*(1/3.6)</f>
        <v>102.7224377463226</v>
      </c>
    </row>
    <row r="789" spans="1:1" x14ac:dyDescent="0.3">
      <c r="A789" s="2">
        <f>367.504004500067*(1/3.6)</f>
        <v>102.08444569446318</v>
      </c>
    </row>
    <row r="790" spans="1:1" x14ac:dyDescent="0.3">
      <c r="A790" s="2">
        <f>370.525607567639*(1/3.6)</f>
        <v>102.92377987989973</v>
      </c>
    </row>
    <row r="791" spans="1:1" x14ac:dyDescent="0.3">
      <c r="A791" s="2">
        <f>366.535729181792*(1/3.6)</f>
        <v>101.8154803282756</v>
      </c>
    </row>
    <row r="792" spans="1:1" x14ac:dyDescent="0.3">
      <c r="A792" s="2">
        <f>368.817222217574*(1/3.6)</f>
        <v>102.44922839377044</v>
      </c>
    </row>
    <row r="793" spans="1:1" x14ac:dyDescent="0.3">
      <c r="A793" s="2">
        <f>368.458323648441*(1/3.6)</f>
        <v>102.34953434678924</v>
      </c>
    </row>
    <row r="794" spans="1:1" x14ac:dyDescent="0.3">
      <c r="A794" s="2">
        <f>369.548721937721*(1/3.6)</f>
        <v>102.65242276047805</v>
      </c>
    </row>
    <row r="795" spans="1:1" x14ac:dyDescent="0.3">
      <c r="A795" s="2">
        <f>372.059274096572*(1/3.6)</f>
        <v>103.34979836015899</v>
      </c>
    </row>
    <row r="796" spans="1:1" x14ac:dyDescent="0.3">
      <c r="A796" s="2">
        <f>369.337931581487*(1/3.6)</f>
        <v>102.59386988374627</v>
      </c>
    </row>
    <row r="797" spans="1:1" x14ac:dyDescent="0.3">
      <c r="A797" s="2">
        <f>367.259864832071*(1/3.6)</f>
        <v>102.0166291200196</v>
      </c>
    </row>
    <row r="798" spans="1:1" x14ac:dyDescent="0.3">
      <c r="A798" s="2">
        <f>367.966615178621*(1/3.6)</f>
        <v>102.21294866072793</v>
      </c>
    </row>
    <row r="799" spans="1:1" x14ac:dyDescent="0.3">
      <c r="A799" s="2">
        <f>366.780784349561*(1/3.6)</f>
        <v>101.88355120821153</v>
      </c>
    </row>
    <row r="800" spans="1:1" x14ac:dyDescent="0.3">
      <c r="A800" s="2">
        <f>366.937172883882*(1/3.6)</f>
        <v>101.92699246774501</v>
      </c>
    </row>
    <row r="801" spans="1:1" x14ac:dyDescent="0.3">
      <c r="A801" s="2">
        <f>368.071112046574*(1/3.6)</f>
        <v>102.24197556849273</v>
      </c>
    </row>
    <row r="802" spans="1:1" x14ac:dyDescent="0.3">
      <c r="A802" s="2">
        <f>365.419919020831*(1/3.6)</f>
        <v>101.50553306134189</v>
      </c>
    </row>
    <row r="803" spans="1:1" x14ac:dyDescent="0.3">
      <c r="A803" s="2">
        <f>368.184899647341*(1/3.6)</f>
        <v>102.27358323537253</v>
      </c>
    </row>
    <row r="804" spans="1:1" x14ac:dyDescent="0.3">
      <c r="A804" s="2">
        <f>367.501284689018*(1/3.6)</f>
        <v>102.0836901913939</v>
      </c>
    </row>
    <row r="805" spans="1:1" x14ac:dyDescent="0.3">
      <c r="A805" s="2">
        <f>368.420922084901*(1/3.6)</f>
        <v>102.33914502358358</v>
      </c>
    </row>
    <row r="806" spans="1:1" x14ac:dyDescent="0.3">
      <c r="A806" s="2">
        <f>400.330100731337*(1/3.6)</f>
        <v>111.2028057587046</v>
      </c>
    </row>
    <row r="807" spans="1:1" x14ac:dyDescent="0.3">
      <c r="A807" s="2">
        <f>400.94427002047*(1/3.6)</f>
        <v>111.37340833901938</v>
      </c>
    </row>
    <row r="808" spans="1:1" x14ac:dyDescent="0.3">
      <c r="A808" s="2">
        <f>400.623235182939*(1/3.6)</f>
        <v>111.2842319952607</v>
      </c>
    </row>
    <row r="809" spans="1:1" x14ac:dyDescent="0.3">
      <c r="A809" s="2">
        <f>401.221145659561*(1/3.6)</f>
        <v>111.45031823876698</v>
      </c>
    </row>
    <row r="810" spans="1:1" x14ac:dyDescent="0.3">
      <c r="A810" s="2">
        <f>400.21252296945*(1/3.6)</f>
        <v>111.17014526929165</v>
      </c>
    </row>
    <row r="811" spans="1:1" x14ac:dyDescent="0.3">
      <c r="A811" s="2">
        <f>400.314819245759*(1/3.6)</f>
        <v>111.19856090159985</v>
      </c>
    </row>
    <row r="812" spans="1:1" x14ac:dyDescent="0.3">
      <c r="A812" s="2">
        <f>399.895420735898*(1/3.6)</f>
        <v>111.08206131552713</v>
      </c>
    </row>
    <row r="813" spans="1:1" x14ac:dyDescent="0.3">
      <c r="A813" s="2">
        <f>399.280606218327*(1/3.6)</f>
        <v>110.91127950509089</v>
      </c>
    </row>
    <row r="814" spans="1:1" x14ac:dyDescent="0.3">
      <c r="A814" s="2">
        <f>399.701652852671*(1/3.6)</f>
        <v>111.02823690351981</v>
      </c>
    </row>
    <row r="815" spans="1:1" x14ac:dyDescent="0.3">
      <c r="A815" s="2">
        <f>398.20790880447*(1/3.6)</f>
        <v>110.61330800124165</v>
      </c>
    </row>
    <row r="816" spans="1:1" x14ac:dyDescent="0.3">
      <c r="A816" s="2">
        <f>398.046487060597*(1/3.6)</f>
        <v>110.5684686279437</v>
      </c>
    </row>
    <row r="817" spans="1:1" x14ac:dyDescent="0.3">
      <c r="A817" s="2">
        <f>398.172371875009*(1/3.6)</f>
        <v>110.60343663194706</v>
      </c>
    </row>
    <row r="818" spans="1:1" x14ac:dyDescent="0.3">
      <c r="A818" s="2">
        <f>397.566623339903*(1/3.6)</f>
        <v>110.43517314997314</v>
      </c>
    </row>
    <row r="819" spans="1:1" x14ac:dyDescent="0.3">
      <c r="A819" s="2">
        <f>398.560009634896*(1/3.6)</f>
        <v>110.71111378747115</v>
      </c>
    </row>
    <row r="820" spans="1:1" x14ac:dyDescent="0.3">
      <c r="A820" s="2">
        <f>397.533004558917*(1/3.6)</f>
        <v>110.42583459969927</v>
      </c>
    </row>
    <row r="821" spans="1:1" x14ac:dyDescent="0.3">
      <c r="A821" s="2">
        <f>398.019133494161*(1/3.6)</f>
        <v>110.56087041504468</v>
      </c>
    </row>
    <row r="822" spans="1:1" x14ac:dyDescent="0.3">
      <c r="A822" s="2">
        <f>396.729576247004*(1/3.6)</f>
        <v>110.2026600686123</v>
      </c>
    </row>
    <row r="823" spans="1:1" x14ac:dyDescent="0.3">
      <c r="A823" s="2">
        <f>397.123421957347*(1/3.6)</f>
        <v>110.31206165481854</v>
      </c>
    </row>
    <row r="824" spans="1:1" x14ac:dyDescent="0.3">
      <c r="A824" s="2">
        <f>396.000540988237*(1/3.6)</f>
        <v>110.0001502745104</v>
      </c>
    </row>
    <row r="825" spans="1:1" x14ac:dyDescent="0.3">
      <c r="A825" s="2">
        <f>395.801239318513*(1/3.6)</f>
        <v>109.94478869958702</v>
      </c>
    </row>
    <row r="826" spans="1:1" x14ac:dyDescent="0.3">
      <c r="A826" s="2">
        <f>395.637225135102*(1/3.6)</f>
        <v>109.899229204195</v>
      </c>
    </row>
    <row r="827" spans="1:1" x14ac:dyDescent="0.3">
      <c r="A827" s="2">
        <f>372.140696275149*(1/3.6)</f>
        <v>103.37241563198579</v>
      </c>
    </row>
    <row r="828" spans="1:1" x14ac:dyDescent="0.3">
      <c r="A828" s="2">
        <f>372.342322654712*(1/3.6)</f>
        <v>103.42842295964229</v>
      </c>
    </row>
    <row r="829" spans="1:1" x14ac:dyDescent="0.3">
      <c r="A829" s="2">
        <f>372.492462136584*(1/3.6)</f>
        <v>103.47012837127343</v>
      </c>
    </row>
    <row r="830" spans="1:1" x14ac:dyDescent="0.3">
      <c r="A830" s="2">
        <f>372.292138052044*(1/3.6)</f>
        <v>103.41448279223437</v>
      </c>
    </row>
    <row r="831" spans="1:1" x14ac:dyDescent="0.3">
      <c r="A831" s="2">
        <f>371.616656668868*(1/3.6)</f>
        <v>103.22684907468548</v>
      </c>
    </row>
    <row r="832" spans="1:1" x14ac:dyDescent="0.3">
      <c r="A832" s="2">
        <f>371.984379800992*(1/3.6)</f>
        <v>103.32899438916435</v>
      </c>
    </row>
    <row r="833" spans="1:1" x14ac:dyDescent="0.3">
      <c r="A833" s="2">
        <f>371.919238056757*(1/3.6)</f>
        <v>103.31089946021036</v>
      </c>
    </row>
    <row r="834" spans="1:1" x14ac:dyDescent="0.3">
      <c r="A834" s="2">
        <f>369.694955510521*(1/3.6)</f>
        <v>102.69304319736682</v>
      </c>
    </row>
    <row r="835" spans="1:1" x14ac:dyDescent="0.3">
      <c r="A835" s="2">
        <f>370.471793579359*(1/3.6)</f>
        <v>102.90883154982193</v>
      </c>
    </row>
    <row r="836" spans="1:1" x14ac:dyDescent="0.3">
      <c r="A836" s="2">
        <f>371.232432787917*(1/3.6)</f>
        <v>103.12012021886594</v>
      </c>
    </row>
    <row r="837" spans="1:1" x14ac:dyDescent="0.3">
      <c r="A837" s="2">
        <f>371.362205699723*(1/3.6)</f>
        <v>103.15616824992296</v>
      </c>
    </row>
    <row r="838" spans="1:1" x14ac:dyDescent="0.3">
      <c r="A838" s="2">
        <f>370.98462636532*(1/3.6)</f>
        <v>103.05128510147789</v>
      </c>
    </row>
    <row r="839" spans="1:1" x14ac:dyDescent="0.3">
      <c r="A839" s="2">
        <f>368.644995593037*(1/3.6)</f>
        <v>102.40138766473261</v>
      </c>
    </row>
    <row r="840" spans="1:1" x14ac:dyDescent="0.3">
      <c r="A840" s="2">
        <f>370.756974250369*(1/3.6)</f>
        <v>102.98804840288038</v>
      </c>
    </row>
    <row r="841" spans="1:1" x14ac:dyDescent="0.3">
      <c r="A841" s="2">
        <f>370.07375966518*(1/3.6)</f>
        <v>102.79826657366121</v>
      </c>
    </row>
    <row r="842" spans="1:1" x14ac:dyDescent="0.3">
      <c r="A842" s="2">
        <f>368.791518885837*(1/3.6)</f>
        <v>102.4420885793991</v>
      </c>
    </row>
    <row r="843" spans="1:1" x14ac:dyDescent="0.3">
      <c r="A843" s="2">
        <f>370.161703044959*(1/3.6)</f>
        <v>102.82269529026634</v>
      </c>
    </row>
    <row r="844" spans="1:1" x14ac:dyDescent="0.3">
      <c r="A844" s="2">
        <f>369.765273947194*(1/3.6)</f>
        <v>102.71257609644272</v>
      </c>
    </row>
    <row r="845" spans="1:1" x14ac:dyDescent="0.3">
      <c r="A845" s="2">
        <f>367.800592233047*(1/3.6)</f>
        <v>102.16683117584653</v>
      </c>
    </row>
    <row r="846" spans="1:1" x14ac:dyDescent="0.3">
      <c r="A846" s="2">
        <f>369.554841690667*(1/3.6)</f>
        <v>102.65412269185198</v>
      </c>
    </row>
    <row r="847" spans="1:1" x14ac:dyDescent="0.3">
      <c r="A847" s="2">
        <f>368.817239425618*(1/3.6)</f>
        <v>102.44923317378264</v>
      </c>
    </row>
    <row r="848" spans="1:1" x14ac:dyDescent="0.3">
      <c r="A848" s="2">
        <f>368.499843165243*(1/3.6)</f>
        <v>102.36106754590075</v>
      </c>
    </row>
    <row r="849" spans="1:1" x14ac:dyDescent="0.3">
      <c r="A849" s="2">
        <f>366.963869545493*(1/3.6)</f>
        <v>101.93440820708138</v>
      </c>
    </row>
    <row r="850" spans="1:1" x14ac:dyDescent="0.3">
      <c r="A850" s="2">
        <f>368.746534686527*(1/3.6)</f>
        <v>102.42959296847982</v>
      </c>
    </row>
    <row r="851" spans="1:1" x14ac:dyDescent="0.3">
      <c r="A851" s="2">
        <f>368.874957843018*(1/3.6)</f>
        <v>102.46526606750504</v>
      </c>
    </row>
    <row r="852" spans="1:1" x14ac:dyDescent="0.3">
      <c r="A852" s="2">
        <f>331.436403436187*(1/3.6)</f>
        <v>92.065667621163001</v>
      </c>
    </row>
    <row r="853" spans="1:1" x14ac:dyDescent="0.3">
      <c r="A853" s="2">
        <f>428.922009022548*(1/3.6)</f>
        <v>119.14500250626328</v>
      </c>
    </row>
    <row r="854" spans="1:1" x14ac:dyDescent="0.3">
      <c r="A854" s="2">
        <f>259.749582229148*(1/3.6)</f>
        <v>72.152661730318925</v>
      </c>
    </row>
    <row r="855" spans="1:1" x14ac:dyDescent="0.3">
      <c r="A855" s="2">
        <f t="shared" ref="A855:A863" si="0">0*(1/3.6)</f>
        <v>0</v>
      </c>
    </row>
    <row r="856" spans="1:1" x14ac:dyDescent="0.3">
      <c r="A856" s="2">
        <f t="shared" si="0"/>
        <v>0</v>
      </c>
    </row>
    <row r="857" spans="1:1" x14ac:dyDescent="0.3">
      <c r="A857" s="2">
        <f t="shared" si="0"/>
        <v>0</v>
      </c>
    </row>
    <row r="858" spans="1:1" x14ac:dyDescent="0.3">
      <c r="A858" s="2">
        <f t="shared" si="0"/>
        <v>0</v>
      </c>
    </row>
    <row r="859" spans="1:1" x14ac:dyDescent="0.3">
      <c r="A859" s="2">
        <f t="shared" si="0"/>
        <v>0</v>
      </c>
    </row>
    <row r="860" spans="1:1" x14ac:dyDescent="0.3">
      <c r="A860" s="2">
        <f t="shared" si="0"/>
        <v>0</v>
      </c>
    </row>
    <row r="861" spans="1:1" x14ac:dyDescent="0.3">
      <c r="A861" s="2">
        <f t="shared" si="0"/>
        <v>0</v>
      </c>
    </row>
    <row r="862" spans="1:1" x14ac:dyDescent="0.3">
      <c r="A862" s="2">
        <f t="shared" si="0"/>
        <v>0</v>
      </c>
    </row>
    <row r="863" spans="1:1" x14ac:dyDescent="0.3">
      <c r="A863" s="2">
        <f t="shared" si="0"/>
        <v>0</v>
      </c>
    </row>
    <row r="864" spans="1:1" x14ac:dyDescent="0.3">
      <c r="A864" s="2">
        <f>394.633247665183*(1/3.6)</f>
        <v>109.62034657366186</v>
      </c>
    </row>
    <row r="865" spans="1:1" x14ac:dyDescent="0.3">
      <c r="A865" s="2">
        <f>394.477621793789*(1/3.6)</f>
        <v>109.57711716494153</v>
      </c>
    </row>
    <row r="866" spans="1:1" x14ac:dyDescent="0.3">
      <c r="A866" s="2">
        <f>394.630802168352*(1/3.6)</f>
        <v>109.61966726898675</v>
      </c>
    </row>
    <row r="867" spans="1:1" x14ac:dyDescent="0.3">
      <c r="A867" s="2">
        <f>394.396230979029*(1/3.6)</f>
        <v>109.55450860528592</v>
      </c>
    </row>
    <row r="868" spans="1:1" x14ac:dyDescent="0.3">
      <c r="A868" s="2">
        <f>394.322973654377*(1/3.6)</f>
        <v>109.534159348438</v>
      </c>
    </row>
    <row r="869" spans="1:1" x14ac:dyDescent="0.3">
      <c r="A869" s="2">
        <f>409.290598115825*(1/3.6)</f>
        <v>113.69183280995129</v>
      </c>
    </row>
    <row r="870" spans="1:1" x14ac:dyDescent="0.3">
      <c r="A870" s="2">
        <f>409.814383160561*(1/3.6)</f>
        <v>113.83732865571152</v>
      </c>
    </row>
    <row r="871" spans="1:1" x14ac:dyDescent="0.3">
      <c r="A871" s="2">
        <f>375.896503193182*(1/3.6)</f>
        <v>104.41569533143942</v>
      </c>
    </row>
    <row r="872" spans="1:1" x14ac:dyDescent="0.3">
      <c r="A872" s="2">
        <f>378.99286619858*(1/3.6)</f>
        <v>105.2757961662723</v>
      </c>
    </row>
    <row r="873" spans="1:1" x14ac:dyDescent="0.3">
      <c r="A873" s="2">
        <f>375.420278844055*(1/3.6)</f>
        <v>104.28341079001525</v>
      </c>
    </row>
    <row r="874" spans="1:1" x14ac:dyDescent="0.3">
      <c r="A874" s="2">
        <f>378.315412246554*(1/3.6)</f>
        <v>105.08761451293165</v>
      </c>
    </row>
    <row r="875" spans="1:1" x14ac:dyDescent="0.3">
      <c r="A875" s="2">
        <f>377.10295475382*(1/3.6)</f>
        <v>104.75082076495012</v>
      </c>
    </row>
    <row r="876" spans="1:1" x14ac:dyDescent="0.3">
      <c r="A876" s="2">
        <f>378.031528958199*(1/3.6)</f>
        <v>105.00875804394411</v>
      </c>
    </row>
    <row r="877" spans="1:1" x14ac:dyDescent="0.3">
      <c r="A877" s="2">
        <f>377.566658186828*(1/3.6)</f>
        <v>104.87962727411902</v>
      </c>
    </row>
    <row r="878" spans="1:1" x14ac:dyDescent="0.3">
      <c r="A878" s="2">
        <f>377.450424788096*(1/3.6)</f>
        <v>104.84734021891566</v>
      </c>
    </row>
    <row r="879" spans="1:1" x14ac:dyDescent="0.3">
      <c r="A879" s="2">
        <f>376.423019935718*(1/3.6)</f>
        <v>104.56194998214391</v>
      </c>
    </row>
    <row r="880" spans="1:1" x14ac:dyDescent="0.3">
      <c r="A880" s="2">
        <f>374.560780278843*(1/3.6)</f>
        <v>104.0446611885675</v>
      </c>
    </row>
    <row r="881" spans="1:1" x14ac:dyDescent="0.3">
      <c r="A881" s="2">
        <f>373.978740547355*(1/3.6)</f>
        <v>103.88298348537644</v>
      </c>
    </row>
    <row r="882" spans="1:1" x14ac:dyDescent="0.3">
      <c r="A882" s="2">
        <f>375.373436755933*(1/3.6)</f>
        <v>104.27039909887027</v>
      </c>
    </row>
    <row r="883" spans="1:1" x14ac:dyDescent="0.3">
      <c r="A883" s="2">
        <f>374.127179310353*(1/3.6)</f>
        <v>103.92421647509804</v>
      </c>
    </row>
    <row r="884" spans="1:1" x14ac:dyDescent="0.3">
      <c r="A884" s="2">
        <f>395.169546702255*(1/3.6)</f>
        <v>109.76931852840424</v>
      </c>
    </row>
    <row r="885" spans="1:1" x14ac:dyDescent="0.3">
      <c r="A885" s="2">
        <f>378.67888046267*(1/3.6)</f>
        <v>105.18857790629714</v>
      </c>
    </row>
    <row r="886" spans="1:1" x14ac:dyDescent="0.3">
      <c r="A886" s="2">
        <f>378.990407998521*(1/3.6)</f>
        <v>105.27511333292257</v>
      </c>
    </row>
    <row r="887" spans="1:1" x14ac:dyDescent="0.3">
      <c r="A887" s="2">
        <f>376.3249392159*(1/3.6)</f>
        <v>104.53470533775011</v>
      </c>
    </row>
    <row r="888" spans="1:1" x14ac:dyDescent="0.3">
      <c r="A888" s="2">
        <f>379.521972145689*(1/3.6)</f>
        <v>105.4227700404691</v>
      </c>
    </row>
    <row r="889" spans="1:1" x14ac:dyDescent="0.3">
      <c r="A889" s="2">
        <f>396.613894894983*(1/3.6)</f>
        <v>110.17052635971761</v>
      </c>
    </row>
    <row r="890" spans="1:1" x14ac:dyDescent="0.3">
      <c r="A890" s="2">
        <f>396.289533075447*(1/3.6)</f>
        <v>110.08042585429071</v>
      </c>
    </row>
    <row r="891" spans="1:1" x14ac:dyDescent="0.3">
      <c r="A891" s="2">
        <f>395.688579901221*(1/3.6)</f>
        <v>109.91349441700584</v>
      </c>
    </row>
    <row r="892" spans="1:1" x14ac:dyDescent="0.3">
      <c r="A892" s="2">
        <f>395.500194245248*(1/3.6)</f>
        <v>109.86116506812452</v>
      </c>
    </row>
    <row r="893" spans="1:1" x14ac:dyDescent="0.3">
      <c r="A893" s="2">
        <f>395.413520547424*(1/3.6)</f>
        <v>109.83708904095116</v>
      </c>
    </row>
    <row r="894" spans="1:1" x14ac:dyDescent="0.3">
      <c r="A894" s="2">
        <f>394.766270777186*(1/3.6)</f>
        <v>109.65729743810724</v>
      </c>
    </row>
    <row r="895" spans="1:1" x14ac:dyDescent="0.3">
      <c r="A895" s="2">
        <f>394.415093763661*(1/3.6)</f>
        <v>109.55974826768367</v>
      </c>
    </row>
    <row r="896" spans="1:1" x14ac:dyDescent="0.3">
      <c r="A896" s="2">
        <f>394.521580538154*(1/3.6)</f>
        <v>109.5893279272651</v>
      </c>
    </row>
    <row r="897" spans="1:1" x14ac:dyDescent="0.3">
      <c r="A897" s="2">
        <f>394.443641383808*(1/3.6)</f>
        <v>109.56767816216892</v>
      </c>
    </row>
    <row r="898" spans="1:1" x14ac:dyDescent="0.3">
      <c r="A898" s="2">
        <f>394.297715070493*(1/3.6)</f>
        <v>109.52714307513709</v>
      </c>
    </row>
    <row r="899" spans="1:1" x14ac:dyDescent="0.3">
      <c r="A899" s="2">
        <f>393.939194467726*(1/3.6)</f>
        <v>109.4275540188129</v>
      </c>
    </row>
    <row r="900" spans="1:1" x14ac:dyDescent="0.3">
      <c r="A900" s="2">
        <f>393.740402115536*(1/3.6)</f>
        <v>109.37233392098211</v>
      </c>
    </row>
    <row r="901" spans="1:1" x14ac:dyDescent="0.3">
      <c r="A901" s="2">
        <f>394.923671989238*(1/3.6)</f>
        <v>109.70101999701055</v>
      </c>
    </row>
    <row r="902" spans="1:1" x14ac:dyDescent="0.3">
      <c r="A902" s="2">
        <f>393.248787929394*(1/3.6)</f>
        <v>109.23577442483175</v>
      </c>
    </row>
    <row r="903" spans="1:1" x14ac:dyDescent="0.3">
      <c r="A903" s="2">
        <f>393.78887949869*(1/3.6)</f>
        <v>109.38579986074728</v>
      </c>
    </row>
    <row r="904" spans="1:1" x14ac:dyDescent="0.3">
      <c r="A904" s="2">
        <f>392.830161402447*(1/3.6)</f>
        <v>109.11948927845742</v>
      </c>
    </row>
    <row r="905" spans="1:1" x14ac:dyDescent="0.3">
      <c r="A905" s="2">
        <f>392.81862791673*(1/3.6)</f>
        <v>109.11628553242512</v>
      </c>
    </row>
    <row r="906" spans="1:1" x14ac:dyDescent="0.3">
      <c r="A906" s="2">
        <f>392.431569425037*(1/3.6)</f>
        <v>109.00876928473259</v>
      </c>
    </row>
    <row r="907" spans="1:1" x14ac:dyDescent="0.3">
      <c r="A907" s="2">
        <f>392.706822137527*(1/3.6)</f>
        <v>109.08522837153519</v>
      </c>
    </row>
    <row r="908" spans="1:1" x14ac:dyDescent="0.3">
      <c r="A908" s="2">
        <f>392.343609610955*(1/3.6)</f>
        <v>108.98433600304311</v>
      </c>
    </row>
    <row r="909" spans="1:1" x14ac:dyDescent="0.3">
      <c r="A909" s="2">
        <f>392.680139386615*(1/3.6)</f>
        <v>109.07781649628203</v>
      </c>
    </row>
    <row r="910" spans="1:1" x14ac:dyDescent="0.3">
      <c r="A910" s="2">
        <f>391.564658249926*(1/3.6)</f>
        <v>108.76796062497958</v>
      </c>
    </row>
    <row r="911" spans="1:1" x14ac:dyDescent="0.3">
      <c r="A911" s="2">
        <f>391.73467169797*(1/3.6)</f>
        <v>108.81518658276953</v>
      </c>
    </row>
    <row r="912" spans="1:1" x14ac:dyDescent="0.3">
      <c r="A912" s="2">
        <f>392.030189508478*(1/3.6)</f>
        <v>108.89727486346614</v>
      </c>
    </row>
    <row r="913" spans="1:1" x14ac:dyDescent="0.3">
      <c r="A913" s="2">
        <f>390.97103324818*(1/3.6)</f>
        <v>108.60306479116115</v>
      </c>
    </row>
    <row r="914" spans="1:1" x14ac:dyDescent="0.3">
      <c r="A914" s="2">
        <f>391.02625324878*(1/3.6)</f>
        <v>108.6184036802167</v>
      </c>
    </row>
    <row r="915" spans="1:1" x14ac:dyDescent="0.3">
      <c r="A915" s="2">
        <f>391.258786252777*(1/3.6)</f>
        <v>108.68299618132701</v>
      </c>
    </row>
    <row r="916" spans="1:1" x14ac:dyDescent="0.3">
      <c r="A916" s="2">
        <f>390.497358113862*(1/3.6)</f>
        <v>108.47148836496159</v>
      </c>
    </row>
    <row r="917" spans="1:1" x14ac:dyDescent="0.3">
      <c r="A917" s="2">
        <f>390.447645459681*(1/3.6)</f>
        <v>108.45767929435571</v>
      </c>
    </row>
    <row r="918" spans="1:1" x14ac:dyDescent="0.3">
      <c r="A918" s="2">
        <f>389.985953380481*(1/3.6)</f>
        <v>108.32943149457817</v>
      </c>
    </row>
    <row r="919" spans="1:1" x14ac:dyDescent="0.3">
      <c r="A919" s="2">
        <f>390.149184104728*(1/3.6)</f>
        <v>108.37477336242434</v>
      </c>
    </row>
    <row r="920" spans="1:1" x14ac:dyDescent="0.3">
      <c r="A920" s="2">
        <f>389.414760486112*(1/3.6)</f>
        <v>108.17076680169789</v>
      </c>
    </row>
    <row r="921" spans="1:1" x14ac:dyDescent="0.3">
      <c r="A921" s="2">
        <f>389.753891848541*(1/3.6)</f>
        <v>108.26496995792806</v>
      </c>
    </row>
    <row r="922" spans="1:1" x14ac:dyDescent="0.3">
      <c r="A922" s="2">
        <f>388.95767504607*(1/3.6)</f>
        <v>108.04379862390822</v>
      </c>
    </row>
    <row r="923" spans="1:1" x14ac:dyDescent="0.3">
      <c r="A923" s="2">
        <f>389.269007446363*(1/3.6)</f>
        <v>108.13027984621202</v>
      </c>
    </row>
    <row r="924" spans="1:1" x14ac:dyDescent="0.3">
      <c r="A924" s="2">
        <f>388.961247688793*(1/3.6)</f>
        <v>108.04479102466468</v>
      </c>
    </row>
    <row r="925" spans="1:1" x14ac:dyDescent="0.3">
      <c r="A925" s="2">
        <f>388.527040348351*(1/3.6)</f>
        <v>107.92417787454191</v>
      </c>
    </row>
    <row r="926" spans="1:1" x14ac:dyDescent="0.3">
      <c r="A926" s="2">
        <f>388.347113114366*(1/3.6)</f>
        <v>107.87419808732378</v>
      </c>
    </row>
    <row r="927" spans="1:1" x14ac:dyDescent="0.3">
      <c r="A927" s="2">
        <f>388.645386416473*(1/3.6)</f>
        <v>107.95705178235364</v>
      </c>
    </row>
    <row r="928" spans="1:1" x14ac:dyDescent="0.3">
      <c r="A928" s="2">
        <f>388.207575194899*(1/3.6)</f>
        <v>107.83543755413854</v>
      </c>
    </row>
    <row r="929" spans="1:1" x14ac:dyDescent="0.3">
      <c r="A929" s="2">
        <f>387.401200031072*(1/3.6)</f>
        <v>107.61144445307569</v>
      </c>
    </row>
    <row r="930" spans="1:1" x14ac:dyDescent="0.3">
      <c r="A930" s="2">
        <f>387.685714142257*(1/3.6)</f>
        <v>107.69047615062688</v>
      </c>
    </row>
    <row r="931" spans="1:1" x14ac:dyDescent="0.3">
      <c r="A931" s="2">
        <f>366.216324817089*(1/3.6)</f>
        <v>101.72675689363582</v>
      </c>
    </row>
    <row r="932" spans="1:1" x14ac:dyDescent="0.3">
      <c r="A932" s="2">
        <f>386.72059718612*(1/3.6)</f>
        <v>107.4223881072555</v>
      </c>
    </row>
    <row r="933" spans="1:1" x14ac:dyDescent="0.3">
      <c r="A933" s="2">
        <f>386.719887435804*(1/3.6)</f>
        <v>107.42219095438989</v>
      </c>
    </row>
    <row r="934" spans="1:1" x14ac:dyDescent="0.3">
      <c r="A934" s="2">
        <f>386.840943590946*(1/3.6)</f>
        <v>107.45581766415165</v>
      </c>
    </row>
    <row r="935" spans="1:1" x14ac:dyDescent="0.3">
      <c r="A935" s="2">
        <f>386.784682669174*(1/3.6)</f>
        <v>107.44018963032607</v>
      </c>
    </row>
    <row r="936" spans="1:1" x14ac:dyDescent="0.3">
      <c r="A936" s="2">
        <f>387.04299472387*(1/3.6)</f>
        <v>107.51194297885273</v>
      </c>
    </row>
    <row r="937" spans="1:1" x14ac:dyDescent="0.3">
      <c r="A937" s="2">
        <f>386.457984499767*(1/3.6)</f>
        <v>107.34944013882431</v>
      </c>
    </row>
    <row r="938" spans="1:1" x14ac:dyDescent="0.3">
      <c r="A938" s="2">
        <f>386.531379691955*(1/3.6)</f>
        <v>107.36982769220968</v>
      </c>
    </row>
    <row r="939" spans="1:1" x14ac:dyDescent="0.3">
      <c r="A939" s="2">
        <f>386.409040793802*(1/3.6)</f>
        <v>107.3358446649451</v>
      </c>
    </row>
    <row r="940" spans="1:1" x14ac:dyDescent="0.3">
      <c r="A940" s="2">
        <f>386.163752091632*(1/3.6)</f>
        <v>107.26770891434228</v>
      </c>
    </row>
    <row r="941" spans="1:1" x14ac:dyDescent="0.3">
      <c r="A941" s="2">
        <f>386.214570712813*(1/3.6)</f>
        <v>107.28182519800363</v>
      </c>
    </row>
    <row r="942" spans="1:1" x14ac:dyDescent="0.3">
      <c r="A942" s="2">
        <f>386.987871010702*(1/3.6)</f>
        <v>107.49663083630617</v>
      </c>
    </row>
    <row r="943" spans="1:1" x14ac:dyDescent="0.3">
      <c r="A943" s="2">
        <f>385.347774849816*(1/3.6)</f>
        <v>107.04104856939324</v>
      </c>
    </row>
    <row r="944" spans="1:1" x14ac:dyDescent="0.3">
      <c r="A944" s="2">
        <f>385.581449546745*(1/3.6)</f>
        <v>107.10595820742925</v>
      </c>
    </row>
    <row r="945" spans="1:1" x14ac:dyDescent="0.3">
      <c r="A945" s="2">
        <f>395.246868752581*(1/3.6)</f>
        <v>109.79079687571692</v>
      </c>
    </row>
    <row r="946" spans="1:1" x14ac:dyDescent="0.3">
      <c r="A946" s="2">
        <f>396.460669862147*(1/3.6)</f>
        <v>110.12796385059644</v>
      </c>
    </row>
    <row r="947" spans="1:1" x14ac:dyDescent="0.3">
      <c r="A947" s="2">
        <f>393.996306998594*(1/3.6)</f>
        <v>109.44341861072067</v>
      </c>
    </row>
    <row r="948" spans="1:1" x14ac:dyDescent="0.3">
      <c r="A948" s="2">
        <f>394.3719243239*(1/3.6)</f>
        <v>109.54775675663879</v>
      </c>
    </row>
    <row r="949" spans="1:1" x14ac:dyDescent="0.3">
      <c r="A949" s="2">
        <f>393.791305234178*(1/3.6)</f>
        <v>109.38647367616066</v>
      </c>
    </row>
    <row r="950" spans="1:1" x14ac:dyDescent="0.3">
      <c r="A950" s="2">
        <f>393.462215029603*(1/3.6)</f>
        <v>109.29505973044533</v>
      </c>
    </row>
    <row r="951" spans="1:1" x14ac:dyDescent="0.3">
      <c r="A951" s="2">
        <f>393.806091947389*(1/3.6)</f>
        <v>109.39058109649707</v>
      </c>
    </row>
    <row r="952" spans="1:1" x14ac:dyDescent="0.3">
      <c r="A952" s="2">
        <f>393.41441078734*(1/3.6)</f>
        <v>109.28178077426109</v>
      </c>
    </row>
    <row r="953" spans="1:1" x14ac:dyDescent="0.3">
      <c r="A953" s="2">
        <f>393.385254208182*(1/3.6)</f>
        <v>109.27368172449502</v>
      </c>
    </row>
    <row r="954" spans="1:1" x14ac:dyDescent="0.3">
      <c r="A954" s="2">
        <f>393.155527765279*(1/3.6)</f>
        <v>109.20986882368861</v>
      </c>
    </row>
    <row r="955" spans="1:1" x14ac:dyDescent="0.3">
      <c r="A955" s="2">
        <f>392.682708101462*(1/3.6)</f>
        <v>109.07853002818381</v>
      </c>
    </row>
    <row r="956" spans="1:1" x14ac:dyDescent="0.3">
      <c r="A956" s="2">
        <f>392.417957984096*(1/3.6)</f>
        <v>109.00498832891554</v>
      </c>
    </row>
    <row r="957" spans="1:1" x14ac:dyDescent="0.3">
      <c r="A957" s="2">
        <f>392.6000448294*(1/3.6)</f>
        <v>109.05556800816673</v>
      </c>
    </row>
    <row r="958" spans="1:1" x14ac:dyDescent="0.3">
      <c r="A958" s="2">
        <f>392.174872788513*(1/3.6)</f>
        <v>108.93746466347581</v>
      </c>
    </row>
    <row r="959" spans="1:1" x14ac:dyDescent="0.3">
      <c r="A959" s="2">
        <f>392.388381578002*(1/3.6)</f>
        <v>108.99677266055613</v>
      </c>
    </row>
    <row r="960" spans="1:1" x14ac:dyDescent="0.3">
      <c r="A960" s="2">
        <f>506.28446221054*(1/3.6)</f>
        <v>140.63457283626099</v>
      </c>
    </row>
    <row r="961" spans="1:1" x14ac:dyDescent="0.3">
      <c r="A961" s="2">
        <f>508.005289026639*(1/3.6)</f>
        <v>141.11258028517753</v>
      </c>
    </row>
    <row r="962" spans="1:1" x14ac:dyDescent="0.3">
      <c r="A962" s="2">
        <f>514.514626804596*(1/3.6)</f>
        <v>142.92072966794348</v>
      </c>
    </row>
    <row r="963" spans="1:1" x14ac:dyDescent="0.3">
      <c r="A963" s="2">
        <f>513.90309582611*(1/3.6)</f>
        <v>142.75085995169712</v>
      </c>
    </row>
    <row r="964" spans="1:1" x14ac:dyDescent="0.3">
      <c r="A964" s="2">
        <f>513.055299641785*(1/3.6)</f>
        <v>142.51536101160696</v>
      </c>
    </row>
    <row r="965" spans="1:1" x14ac:dyDescent="0.3">
      <c r="A965" s="2">
        <f>511.593391477314*(1/3.6)</f>
        <v>142.10927541036509</v>
      </c>
    </row>
    <row r="966" spans="1:1" x14ac:dyDescent="0.3">
      <c r="A966" s="2">
        <f>514.653490444345*(1/3.6)</f>
        <v>142.95930290120708</v>
      </c>
    </row>
    <row r="967" spans="1:1" x14ac:dyDescent="0.3">
      <c r="A967" s="2">
        <f>513.310826641019*(1/3.6)</f>
        <v>142.58634073361628</v>
      </c>
    </row>
    <row r="968" spans="1:1" x14ac:dyDescent="0.3">
      <c r="A968" s="2">
        <f>514.755544882268*(1/3.6)</f>
        <v>142.98765135618544</v>
      </c>
    </row>
    <row r="969" spans="1:1" x14ac:dyDescent="0.3">
      <c r="A969" s="2">
        <f>511.206417382634*(1/3.6)</f>
        <v>142.00178260628709</v>
      </c>
    </row>
    <row r="970" spans="1:1" x14ac:dyDescent="0.3">
      <c r="A970" s="2">
        <f>508.797112068659*(1/3.6)</f>
        <v>141.33253113018301</v>
      </c>
    </row>
    <row r="971" spans="1:1" x14ac:dyDescent="0.3">
      <c r="A971" s="2">
        <f>504.317762454666*(1/3.6)</f>
        <v>140.08826734851826</v>
      </c>
    </row>
    <row r="972" spans="1:1" x14ac:dyDescent="0.3">
      <c r="A972" s="2">
        <f>513.327354865551*(1/3.6)</f>
        <v>142.5909319070974</v>
      </c>
    </row>
    <row r="973" spans="1:1" x14ac:dyDescent="0.3">
      <c r="A973" s="2">
        <f>516.704682971429*(1/3.6)</f>
        <v>143.52907860317464</v>
      </c>
    </row>
    <row r="974" spans="1:1" x14ac:dyDescent="0.3">
      <c r="A974" s="2">
        <f>513.802682151296*(1/3.6)</f>
        <v>142.72296726424898</v>
      </c>
    </row>
    <row r="975" spans="1:1" x14ac:dyDescent="0.3">
      <c r="A975" s="2">
        <f>509.51179259471*(1/3.6)</f>
        <v>141.53105349853047</v>
      </c>
    </row>
    <row r="976" spans="1:1" x14ac:dyDescent="0.3">
      <c r="A976" s="2">
        <f>514.971352628195*(1/3.6)</f>
        <v>143.04759795227631</v>
      </c>
    </row>
    <row r="977" spans="1:1" x14ac:dyDescent="0.3">
      <c r="A977" s="2">
        <f>517.880243264234*(1/3.6)</f>
        <v>143.85562312895377</v>
      </c>
    </row>
    <row r="978" spans="1:1" x14ac:dyDescent="0.3">
      <c r="A978" s="2">
        <f>511.630675460209*(1/3.6)</f>
        <v>142.11963207228041</v>
      </c>
    </row>
    <row r="979" spans="1:1" x14ac:dyDescent="0.3">
      <c r="A979" s="2">
        <f>514.87640791363*(1/3.6)</f>
        <v>143.02122442045265</v>
      </c>
    </row>
    <row r="980" spans="1:1" x14ac:dyDescent="0.3">
      <c r="A980" s="2">
        <f>514.393676382648*(1/3.6)</f>
        <v>142.88713232851342</v>
      </c>
    </row>
    <row r="981" spans="1:1" x14ac:dyDescent="0.3">
      <c r="A981" s="2">
        <f>527.70075676154*(1/3.6)</f>
        <v>146.5835435448723</v>
      </c>
    </row>
    <row r="982" spans="1:1" x14ac:dyDescent="0.3">
      <c r="A982" s="2">
        <f>527.544098065243*(1/3.6)</f>
        <v>146.54002724034535</v>
      </c>
    </row>
    <row r="983" spans="1:1" x14ac:dyDescent="0.3">
      <c r="A983" s="2">
        <f>528.196937742614*(1/3.6)</f>
        <v>146.72137159517064</v>
      </c>
    </row>
    <row r="984" spans="1:1" x14ac:dyDescent="0.3">
      <c r="A984" s="2">
        <f>528.334399068609*(1/3.6)</f>
        <v>146.75955529683594</v>
      </c>
    </row>
    <row r="985" spans="1:1" x14ac:dyDescent="0.3">
      <c r="A985" s="2">
        <f>527.336328900875*(1/3.6)</f>
        <v>146.48231358357648</v>
      </c>
    </row>
    <row r="986" spans="1:1" x14ac:dyDescent="0.3">
      <c r="A986" s="2">
        <f>528.606167485505*(1/3.6)</f>
        <v>146.83504652375146</v>
      </c>
    </row>
    <row r="987" spans="1:1" x14ac:dyDescent="0.3">
      <c r="A987" s="2">
        <f>528.530474304108*(1/3.6)</f>
        <v>146.81402064002998</v>
      </c>
    </row>
    <row r="988" spans="1:1" x14ac:dyDescent="0.3">
      <c r="A988" s="2">
        <f>527.175064896303*(1/3.6)</f>
        <v>146.43751802675095</v>
      </c>
    </row>
    <row r="989" spans="1:1" x14ac:dyDescent="0.3">
      <c r="A989" s="2">
        <f>651.153766106099*(1/3.6)</f>
        <v>180.8760461405831</v>
      </c>
    </row>
    <row r="990" spans="1:1" x14ac:dyDescent="0.3">
      <c r="A990" s="2">
        <f>651.405344583982*(1/3.6)</f>
        <v>180.94592905110605</v>
      </c>
    </row>
    <row r="991" spans="1:1" x14ac:dyDescent="0.3">
      <c r="A991" s="2">
        <f>651.778514553193*(1/3.6)</f>
        <v>181.04958737588689</v>
      </c>
    </row>
    <row r="992" spans="1:1" x14ac:dyDescent="0.3">
      <c r="A992" s="2">
        <f>651.755188889219*(1/3.6)</f>
        <v>181.04310802478298</v>
      </c>
    </row>
    <row r="993" spans="1:1" x14ac:dyDescent="0.3">
      <c r="A993" s="2">
        <f>649.900218374605*(1/3.6)</f>
        <v>180.52783843739019</v>
      </c>
    </row>
    <row r="994" spans="1:1" x14ac:dyDescent="0.3">
      <c r="A994" s="2">
        <f>650.17036828473*(1/3.6)</f>
        <v>180.60288007909176</v>
      </c>
    </row>
    <row r="995" spans="1:1" x14ac:dyDescent="0.3">
      <c r="A995" s="2">
        <f>651.428405965522*(1/3.6)</f>
        <v>180.95233499042277</v>
      </c>
    </row>
    <row r="996" spans="1:1" x14ac:dyDescent="0.3">
      <c r="A996" s="2">
        <f>650.477444786379*(1/3.6)</f>
        <v>180.68817910732739</v>
      </c>
    </row>
    <row r="997" spans="1:1" x14ac:dyDescent="0.3">
      <c r="A997" s="2">
        <f>646.604176385472*(1/3.6)</f>
        <v>179.61227121818666</v>
      </c>
    </row>
    <row r="998" spans="1:1" x14ac:dyDescent="0.3">
      <c r="A998" s="2">
        <f>647.148111471113*(1/3.6)</f>
        <v>179.76336429753144</v>
      </c>
    </row>
    <row r="999" spans="1:1" x14ac:dyDescent="0.3">
      <c r="A999" s="2">
        <f>647.144579848912*(1/3.6)</f>
        <v>179.76238329136436</v>
      </c>
    </row>
    <row r="1000" spans="1:1" x14ac:dyDescent="0.3">
      <c r="A1000" s="2">
        <f>646.52733105979*(1/3.6)</f>
        <v>179.59092529438618</v>
      </c>
    </row>
    <row r="1001" spans="1:1" x14ac:dyDescent="0.3">
      <c r="A1001" s="2">
        <f>647.435372692087*(1/3.6)</f>
        <v>179.84315908113527</v>
      </c>
    </row>
    <row r="1002" spans="1:1" x14ac:dyDescent="0.3">
      <c r="A1002" s="2">
        <f>647.658912553777*(1/3.6)</f>
        <v>179.90525348716042</v>
      </c>
    </row>
    <row r="1003" spans="1:1" x14ac:dyDescent="0.3">
      <c r="A1003" s="2">
        <f>645.724746740111*(1/3.6)</f>
        <v>179.36798520558645</v>
      </c>
    </row>
    <row r="1004" spans="1:1" x14ac:dyDescent="0.3">
      <c r="A1004" s="2">
        <f>646.156342502885*(1/3.6)</f>
        <v>179.48787291746811</v>
      </c>
    </row>
    <row r="1005" spans="1:1" x14ac:dyDescent="0.3">
      <c r="A1005" s="2">
        <f>645.562436386271*(1/3.6)</f>
        <v>179.32289899618635</v>
      </c>
    </row>
    <row r="1006" spans="1:1" x14ac:dyDescent="0.3">
      <c r="A1006" s="2">
        <f>646.124229776015*(1/3.6)</f>
        <v>179.47895271555979</v>
      </c>
    </row>
    <row r="1007" spans="1:1" x14ac:dyDescent="0.3">
      <c r="A1007" s="2">
        <f>645.086560984287*(1/3.6)</f>
        <v>179.19071138452404</v>
      </c>
    </row>
    <row r="1008" spans="1:1" x14ac:dyDescent="0.3">
      <c r="A1008" s="2">
        <f>645.902992936158*(1/3.6)</f>
        <v>179.41749803782159</v>
      </c>
    </row>
    <row r="1009" spans="1:1" x14ac:dyDescent="0.3">
      <c r="A1009" s="2">
        <f>644.758379033279*(1/3.6)</f>
        <v>179.09954973146645</v>
      </c>
    </row>
    <row r="1010" spans="1:1" x14ac:dyDescent="0.3">
      <c r="A1010" s="2">
        <f>644.865859860885*(1/3.6)</f>
        <v>179.12940551691261</v>
      </c>
    </row>
    <row r="1011" spans="1:1" x14ac:dyDescent="0.3">
      <c r="A1011" s="2">
        <f>644.546023349847*(1/3.6)</f>
        <v>179.04056204162418</v>
      </c>
    </row>
    <row r="1012" spans="1:1" x14ac:dyDescent="0.3">
      <c r="A1012" s="2">
        <f>642.006247316868*(1/3.6)</f>
        <v>178.33506869913001</v>
      </c>
    </row>
    <row r="1013" spans="1:1" x14ac:dyDescent="0.3">
      <c r="A1013" s="2">
        <f>643.496390182964*(1/3.6)</f>
        <v>178.74899727304552</v>
      </c>
    </row>
    <row r="1014" spans="1:1" x14ac:dyDescent="0.3">
      <c r="A1014" s="2">
        <f>644.21823870375*(1/3.6)</f>
        <v>178.94951075104171</v>
      </c>
    </row>
    <row r="1015" spans="1:1" x14ac:dyDescent="0.3">
      <c r="A1015" s="2">
        <f>643.642387971328*(1/3.6)</f>
        <v>178.7895522142579</v>
      </c>
    </row>
    <row r="1016" spans="1:1" x14ac:dyDescent="0.3">
      <c r="A1016" s="2">
        <f>644.178815174461*(1/3.6)</f>
        <v>178.93855977068358</v>
      </c>
    </row>
    <row r="1017" spans="1:1" x14ac:dyDescent="0.3">
      <c r="A1017" s="2">
        <f>641.935519793772*(1/3.6)</f>
        <v>178.31542216493656</v>
      </c>
    </row>
    <row r="1018" spans="1:1" x14ac:dyDescent="0.3">
      <c r="A1018" s="2">
        <f>641.396455596794*(1/3.6)</f>
        <v>178.16568211022053</v>
      </c>
    </row>
    <row r="1019" spans="1:1" x14ac:dyDescent="0.3">
      <c r="A1019" s="2">
        <f>642.948609529473*(1/3.6)</f>
        <v>178.5968359804092</v>
      </c>
    </row>
    <row r="1020" spans="1:1" x14ac:dyDescent="0.3">
      <c r="A1020" s="2">
        <f>642.738680194378*(1/3.6)</f>
        <v>178.53852227621618</v>
      </c>
    </row>
    <row r="1021" spans="1:1" x14ac:dyDescent="0.3">
      <c r="A1021" s="2">
        <f>640.408371932252*(1/3.6)</f>
        <v>177.89121442562552</v>
      </c>
    </row>
    <row r="1022" spans="1:1" x14ac:dyDescent="0.3">
      <c r="A1022" s="2">
        <f>641.582948235741*(1/3.6)</f>
        <v>178.21748562103917</v>
      </c>
    </row>
    <row r="1023" spans="1:1" x14ac:dyDescent="0.3">
      <c r="A1023" s="2">
        <f>641.143635160883*(1/3.6)</f>
        <v>178.09545421135638</v>
      </c>
    </row>
    <row r="1024" spans="1:1" x14ac:dyDescent="0.3">
      <c r="A1024" s="2">
        <f>640.774226205801*(1/3.6)</f>
        <v>177.99284061272255</v>
      </c>
    </row>
    <row r="1025" spans="1:1" x14ac:dyDescent="0.3">
      <c r="A1025" s="2">
        <f>640.281000037392*(1/3.6)</f>
        <v>177.85583334371992</v>
      </c>
    </row>
    <row r="1026" spans="1:1" x14ac:dyDescent="0.3">
      <c r="A1026" s="2">
        <f>638.640919566029*(1/3.6)</f>
        <v>177.40025543500809</v>
      </c>
    </row>
    <row r="1027" spans="1:1" x14ac:dyDescent="0.3">
      <c r="A1027" s="2">
        <f>640.531716511862*(1/3.6)</f>
        <v>177.92547680885056</v>
      </c>
    </row>
    <row r="1028" spans="1:1" x14ac:dyDescent="0.3">
      <c r="A1028" s="2">
        <f>639.622555632621*(1/3.6)</f>
        <v>177.6729321201725</v>
      </c>
    </row>
    <row r="1029" spans="1:1" x14ac:dyDescent="0.3">
      <c r="A1029" s="2">
        <f>640.769997269905*(1/3.6)</f>
        <v>177.99166590830694</v>
      </c>
    </row>
    <row r="1030" spans="1:1" x14ac:dyDescent="0.3">
      <c r="A1030" s="2">
        <f>639.63756460038*(1/3.6)</f>
        <v>177.67710127788337</v>
      </c>
    </row>
    <row r="1031" spans="1:1" x14ac:dyDescent="0.3">
      <c r="A1031" s="2">
        <f>649.688690867482*(1/3.6)</f>
        <v>180.46908079652269</v>
      </c>
    </row>
    <row r="1032" spans="1:1" x14ac:dyDescent="0.3">
      <c r="A1032" s="2">
        <f>651.191434357434*(1/3.6)</f>
        <v>180.88650954373176</v>
      </c>
    </row>
    <row r="1033" spans="1:1" x14ac:dyDescent="0.3">
      <c r="A1033" s="2">
        <f>651.26131170042*(1/3.6)</f>
        <v>180.9059199167834</v>
      </c>
    </row>
    <row r="1034" spans="1:1" x14ac:dyDescent="0.3">
      <c r="A1034" s="2">
        <f>651.348870782375*(1/3.6)</f>
        <v>180.93024188399298</v>
      </c>
    </row>
    <row r="1035" spans="1:1" x14ac:dyDescent="0.3">
      <c r="A1035" s="2">
        <f>662.556244022241*(1/3.6)</f>
        <v>184.04340111728928</v>
      </c>
    </row>
    <row r="1036" spans="1:1" x14ac:dyDescent="0.3">
      <c r="A1036" s="2">
        <f>672.364205373689*(1/3.6)</f>
        <v>186.76783482602465</v>
      </c>
    </row>
    <row r="1037" spans="1:1" x14ac:dyDescent="0.3">
      <c r="A1037" s="2">
        <f>638.928983221512*(1/3.6)</f>
        <v>177.4802731170868</v>
      </c>
    </row>
    <row r="1038" spans="1:1" x14ac:dyDescent="0.3">
      <c r="A1038" s="2">
        <f>639.221266437173*(1/3.6)</f>
        <v>177.56146289921469</v>
      </c>
    </row>
    <row r="1039" spans="1:1" x14ac:dyDescent="0.3">
      <c r="A1039" s="2">
        <f>646.552991830886*(1/3.6)</f>
        <v>179.59805328635716</v>
      </c>
    </row>
    <row r="1040" spans="1:1" x14ac:dyDescent="0.3">
      <c r="A1040" s="2">
        <f>646.081605160922*(1/3.6)</f>
        <v>179.46711254470068</v>
      </c>
    </row>
    <row r="1041" spans="1:1" x14ac:dyDescent="0.3">
      <c r="A1041" s="2">
        <f>651.08280247537*(1/3.6)</f>
        <v>180.85633402093609</v>
      </c>
    </row>
    <row r="1042" spans="1:1" x14ac:dyDescent="0.3">
      <c r="A1042" s="2">
        <f>355.853597617857*(1/3.6)</f>
        <v>98.848221560515697</v>
      </c>
    </row>
    <row r="1043" spans="1:1" x14ac:dyDescent="0.3">
      <c r="A1043" s="2">
        <f>353.439979606778*(1/3.6)</f>
        <v>98.177772112993864</v>
      </c>
    </row>
    <row r="1044" spans="1:1" x14ac:dyDescent="0.3">
      <c r="A1044" s="2">
        <f>355.391856362834*(1/3.6)</f>
        <v>98.719960100787361</v>
      </c>
    </row>
    <row r="1045" spans="1:1" x14ac:dyDescent="0.3">
      <c r="A1045" s="2">
        <f>361.451276753859*(1/3.6)</f>
        <v>100.40313243162764</v>
      </c>
    </row>
    <row r="1046" spans="1:1" x14ac:dyDescent="0.3">
      <c r="A1046" s="2">
        <f>360.642955602643*(1/3.6)</f>
        <v>100.17859877851184</v>
      </c>
    </row>
    <row r="1047" spans="1:1" x14ac:dyDescent="0.3">
      <c r="A1047" s="2">
        <f>361.165114712598*(1/3.6)</f>
        <v>100.32364297572173</v>
      </c>
    </row>
    <row r="1048" spans="1:1" x14ac:dyDescent="0.3">
      <c r="A1048" s="2">
        <f>360.611464577723*(1/3.6)</f>
        <v>100.16985127158968</v>
      </c>
    </row>
    <row r="1049" spans="1:1" x14ac:dyDescent="0.3">
      <c r="A1049" s="2">
        <f>361.181413064562*(1/3.6)</f>
        <v>100.32817029571167</v>
      </c>
    </row>
    <row r="1050" spans="1:1" x14ac:dyDescent="0.3">
      <c r="A1050" s="2">
        <f>360.742057486564*(1/3.6)</f>
        <v>100.20612707960122</v>
      </c>
    </row>
    <row r="1051" spans="1:1" x14ac:dyDescent="0.3">
      <c r="A1051" s="2">
        <f>360.592336229439*(1/3.6)</f>
        <v>100.16453784151072</v>
      </c>
    </row>
    <row r="1052" spans="1:1" x14ac:dyDescent="0.3">
      <c r="A1052" s="2">
        <f>360.301045827625*(1/3.6)</f>
        <v>100.08362384100705</v>
      </c>
    </row>
    <row r="1053" spans="1:1" x14ac:dyDescent="0.3">
      <c r="A1053" s="2">
        <f>359.946831533326*(1/3.6)</f>
        <v>99.985230981479404</v>
      </c>
    </row>
    <row r="1054" spans="1:1" x14ac:dyDescent="0.3">
      <c r="A1054" s="2">
        <f>359.512497974665*(1/3.6)</f>
        <v>99.864582770740199</v>
      </c>
    </row>
    <row r="1055" spans="1:1" x14ac:dyDescent="0.3">
      <c r="A1055" s="2">
        <f>359.213943441016*(1/3.6)</f>
        <v>99.781650955837691</v>
      </c>
    </row>
    <row r="1056" spans="1:1" x14ac:dyDescent="0.3">
      <c r="A1056" s="2">
        <f>358.545256111289*(1/3.6)</f>
        <v>99.595904475358012</v>
      </c>
    </row>
    <row r="1057" spans="1:1" x14ac:dyDescent="0.3">
      <c r="A1057" s="2">
        <f>358.3035120486*(1/3.6)</f>
        <v>99.528753346833312</v>
      </c>
    </row>
    <row r="1058" spans="1:1" x14ac:dyDescent="0.3">
      <c r="A1058" s="2">
        <f>358.493154204268*(1/3.6)</f>
        <v>99.581431723407832</v>
      </c>
    </row>
    <row r="1059" spans="1:1" x14ac:dyDescent="0.3">
      <c r="A1059" s="2">
        <f>358.057687975175*(1/3.6)</f>
        <v>99.460468881993052</v>
      </c>
    </row>
    <row r="1060" spans="1:1" x14ac:dyDescent="0.3">
      <c r="A1060" s="2">
        <f>357.408056246231*(1/3.6)</f>
        <v>99.280015623953091</v>
      </c>
    </row>
    <row r="1061" spans="1:1" x14ac:dyDescent="0.3">
      <c r="A1061" s="2">
        <f>357.82663978671*(1/3.6)</f>
        <v>99.39628882964162</v>
      </c>
    </row>
    <row r="1062" spans="1:1" x14ac:dyDescent="0.3">
      <c r="A1062" s="2">
        <f>356.970709748484*(1/3.6)</f>
        <v>99.158530485690122</v>
      </c>
    </row>
    <row r="1063" spans="1:1" x14ac:dyDescent="0.3">
      <c r="A1063" s="2">
        <f>357.311218760978*(1/3.6)</f>
        <v>99.253116322493881</v>
      </c>
    </row>
    <row r="1064" spans="1:1" x14ac:dyDescent="0.3">
      <c r="A1064" s="2">
        <f>356.887025828513*(1/3.6)</f>
        <v>99.135284952364771</v>
      </c>
    </row>
    <row r="1065" spans="1:1" x14ac:dyDescent="0.3">
      <c r="A1065" s="2">
        <f>356.780646833085*(1/3.6)</f>
        <v>99.105735231412581</v>
      </c>
    </row>
    <row r="1066" spans="1:1" x14ac:dyDescent="0.3">
      <c r="A1066" s="2">
        <f>357.094637805304*(1/3.6)</f>
        <v>99.192954945917734</v>
      </c>
    </row>
    <row r="1067" spans="1:1" x14ac:dyDescent="0.3">
      <c r="A1067" s="2">
        <f>339.761965749714*(1/3.6)</f>
        <v>94.378323819364923</v>
      </c>
    </row>
    <row r="1068" spans="1:1" x14ac:dyDescent="0.3">
      <c r="A1068" s="2">
        <f>338.781588463321*(1/3.6)</f>
        <v>94.10599679536692</v>
      </c>
    </row>
    <row r="1069" spans="1:1" x14ac:dyDescent="0.3">
      <c r="A1069" s="2">
        <f>338.803614328861*(1/3.6)</f>
        <v>94.112115091350262</v>
      </c>
    </row>
    <row r="1070" spans="1:1" x14ac:dyDescent="0.3">
      <c r="A1070" s="2">
        <f>340.256466763988*(1/3.6)</f>
        <v>94.51568521221887</v>
      </c>
    </row>
    <row r="1071" spans="1:1" x14ac:dyDescent="0.3">
      <c r="A1071" s="2">
        <f>596.624224106184*(1/3.6)</f>
        <v>165.72895114060671</v>
      </c>
    </row>
    <row r="1072" spans="1:1" x14ac:dyDescent="0.3">
      <c r="A1072" s="2">
        <f>596.738924808967*(1/3.6)</f>
        <v>165.76081244693515</v>
      </c>
    </row>
    <row r="1073" spans="1:1" x14ac:dyDescent="0.3">
      <c r="A1073" s="2">
        <f>596.454895226679*(1/3.6)</f>
        <v>165.68191534074427</v>
      </c>
    </row>
    <row r="1074" spans="1:1" x14ac:dyDescent="0.3">
      <c r="A1074" s="2">
        <f>596.596995267797*(1/3.6)</f>
        <v>165.72138757438793</v>
      </c>
    </row>
    <row r="1075" spans="1:1" x14ac:dyDescent="0.3">
      <c r="A1075" s="2">
        <f>596.692062277857*(1/3.6)</f>
        <v>165.74779507718245</v>
      </c>
    </row>
    <row r="1076" spans="1:1" x14ac:dyDescent="0.3">
      <c r="A1076" s="2">
        <f>596.18153417853*(1/3.6)</f>
        <v>165.60598171625841</v>
      </c>
    </row>
    <row r="1077" spans="1:1" x14ac:dyDescent="0.3">
      <c r="A1077" s="2">
        <f>596.472624797951*(1/3.6)</f>
        <v>165.68684022165309</v>
      </c>
    </row>
    <row r="1078" spans="1:1" x14ac:dyDescent="0.3">
      <c r="A1078" s="2">
        <f>596.768435268618*(1/3.6)</f>
        <v>165.76900979683825</v>
      </c>
    </row>
    <row r="1079" spans="1:1" x14ac:dyDescent="0.3">
      <c r="A1079" s="2">
        <f>595.263689938378*(1/3.6)</f>
        <v>165.35102498288268</v>
      </c>
    </row>
    <row r="1080" spans="1:1" x14ac:dyDescent="0.3">
      <c r="A1080" s="2">
        <f>595.626193532491*(1/3.6)</f>
        <v>165.45172042569209</v>
      </c>
    </row>
    <row r="1081" spans="1:1" x14ac:dyDescent="0.3">
      <c r="A1081" s="2">
        <f>595.275652757524*(1/3.6)</f>
        <v>165.35434798820106</v>
      </c>
    </row>
    <row r="1082" spans="1:1" x14ac:dyDescent="0.3">
      <c r="A1082" s="2">
        <f>594.174048754908*(1/3.6)</f>
        <v>165.04834687636344</v>
      </c>
    </row>
    <row r="1083" spans="1:1" x14ac:dyDescent="0.3">
      <c r="A1083" s="2">
        <f>594.554310216743*(1/3.6)</f>
        <v>165.15397506020645</v>
      </c>
    </row>
    <row r="1084" spans="1:1" x14ac:dyDescent="0.3">
      <c r="A1084" s="2">
        <f>594.17735487102*(1/3.6)</f>
        <v>165.04926524195</v>
      </c>
    </row>
    <row r="1085" spans="1:1" x14ac:dyDescent="0.3">
      <c r="A1085" s="2">
        <f>594.114835416079*(1/3.6)</f>
        <v>165.03189872668867</v>
      </c>
    </row>
    <row r="1086" spans="1:1" x14ac:dyDescent="0.3">
      <c r="A1086" s="2">
        <f>593.601871361614*(1/3.6)</f>
        <v>164.88940871155947</v>
      </c>
    </row>
    <row r="1087" spans="1:1" x14ac:dyDescent="0.3">
      <c r="A1087" s="2">
        <f>593.880869059431*(1/3.6)</f>
        <v>164.96690807206426</v>
      </c>
    </row>
    <row r="1088" spans="1:1" x14ac:dyDescent="0.3">
      <c r="A1088" s="2">
        <f>593.947874779187*(1/3.6)</f>
        <v>164.98552077199648</v>
      </c>
    </row>
    <row r="1089" spans="1:1" x14ac:dyDescent="0.3">
      <c r="A1089" s="2">
        <f>593.179598031133*(1/3.6)</f>
        <v>164.77211056420362</v>
      </c>
    </row>
    <row r="1090" spans="1:1" x14ac:dyDescent="0.3">
      <c r="A1090" s="2">
        <f>593.113374567811*(1/3.6)</f>
        <v>164.75371515772531</v>
      </c>
    </row>
    <row r="1091" spans="1:1" x14ac:dyDescent="0.3">
      <c r="A1091" s="2">
        <f>592.041153043982*(1/3.6)</f>
        <v>164.45587584555068</v>
      </c>
    </row>
    <row r="1092" spans="1:1" x14ac:dyDescent="0.3">
      <c r="A1092" s="2">
        <f>592.955014394475*(1/3.6)</f>
        <v>164.70972622068757</v>
      </c>
    </row>
    <row r="1093" spans="1:1" x14ac:dyDescent="0.3">
      <c r="A1093" s="2">
        <f>592.456536526488*(1/3.6)</f>
        <v>164.57126014624674</v>
      </c>
    </row>
    <row r="1094" spans="1:1" x14ac:dyDescent="0.3">
      <c r="A1094" s="2">
        <f>591.544212648405*(1/3.6)</f>
        <v>164.3178368467791</v>
      </c>
    </row>
    <row r="1095" spans="1:1" x14ac:dyDescent="0.3">
      <c r="A1095" s="2">
        <f>591.46867495378*(1/3.6)</f>
        <v>164.29685415382789</v>
      </c>
    </row>
    <row r="1096" spans="1:1" x14ac:dyDescent="0.3">
      <c r="A1096" s="2">
        <f>591.271883781395*(1/3.6)</f>
        <v>164.24218993927636</v>
      </c>
    </row>
    <row r="1097" spans="1:1" x14ac:dyDescent="0.3">
      <c r="A1097" s="2">
        <f>590.683038726385*(1/3.6)</f>
        <v>164.07862186844025</v>
      </c>
    </row>
    <row r="1098" spans="1:1" x14ac:dyDescent="0.3">
      <c r="A1098" s="2">
        <f>590.228147185217*(1/3.6)</f>
        <v>163.9522631070048</v>
      </c>
    </row>
    <row r="1099" spans="1:1" x14ac:dyDescent="0.3">
      <c r="A1099" s="2">
        <f>590.54644389626*(1/3.6)</f>
        <v>164.04067886007221</v>
      </c>
    </row>
    <row r="1100" spans="1:1" x14ac:dyDescent="0.3">
      <c r="A1100" s="2">
        <f>590.262484442885*(1/3.6)</f>
        <v>163.9618012341347</v>
      </c>
    </row>
    <row r="1101" spans="1:1" x14ac:dyDescent="0.3">
      <c r="A1101" s="2">
        <f>589.915614253593*(1/3.6)</f>
        <v>163.86544840377579</v>
      </c>
    </row>
    <row r="1102" spans="1:1" x14ac:dyDescent="0.3">
      <c r="A1102" s="2">
        <f>589.750312520817*(1/3.6)</f>
        <v>163.81953125578241</v>
      </c>
    </row>
    <row r="1103" spans="1:1" x14ac:dyDescent="0.3">
      <c r="A1103" s="2">
        <f>589.482988163013*(1/3.6)</f>
        <v>163.74527448972597</v>
      </c>
    </row>
    <row r="1104" spans="1:1" x14ac:dyDescent="0.3">
      <c r="A1104" s="2">
        <f>588.375995497761*(1/3.6)</f>
        <v>163.43777652715596</v>
      </c>
    </row>
    <row r="1105" spans="1:1" x14ac:dyDescent="0.3">
      <c r="A1105" s="2">
        <f>587.801271773443*(1/3.6)</f>
        <v>163.27813104817875</v>
      </c>
    </row>
    <row r="1106" spans="1:1" x14ac:dyDescent="0.3">
      <c r="A1106" s="2">
        <f>587.558153992743*(1/3.6)</f>
        <v>163.21059833131761</v>
      </c>
    </row>
    <row r="1107" spans="1:1" x14ac:dyDescent="0.3">
      <c r="A1107" s="2">
        <f>587.075161935615*(1/3.6)</f>
        <v>163.07643387100424</v>
      </c>
    </row>
    <row r="1108" spans="1:1" x14ac:dyDescent="0.3">
      <c r="A1108" s="2">
        <f>586.830568577778*(1/3.6)</f>
        <v>163.00849127160487</v>
      </c>
    </row>
    <row r="1109" spans="1:1" x14ac:dyDescent="0.3">
      <c r="A1109" s="2">
        <f>586.568201205093*(1/3.6)</f>
        <v>162.93561144585922</v>
      </c>
    </row>
    <row r="1110" spans="1:1" x14ac:dyDescent="0.3">
      <c r="A1110" s="2">
        <f>585.378293455254*(1/3.6)</f>
        <v>162.60508151534825</v>
      </c>
    </row>
    <row r="1111" spans="1:1" x14ac:dyDescent="0.3">
      <c r="A1111" s="2">
        <f>585.325667344522*(1/3.6)</f>
        <v>162.59046315125619</v>
      </c>
    </row>
    <row r="1112" spans="1:1" x14ac:dyDescent="0.3">
      <c r="A1112" s="2">
        <f>584.389836656782*(1/3.6)</f>
        <v>162.33051018243935</v>
      </c>
    </row>
    <row r="1113" spans="1:1" x14ac:dyDescent="0.3">
      <c r="A1113" s="2">
        <f>584.398230937794*(1/3.6)</f>
        <v>162.33284192716502</v>
      </c>
    </row>
    <row r="1114" spans="1:1" x14ac:dyDescent="0.3">
      <c r="A1114" s="2">
        <f>584.886882789727*(1/3.6)</f>
        <v>162.46857855270196</v>
      </c>
    </row>
    <row r="1115" spans="1:1" x14ac:dyDescent="0.3">
      <c r="A1115" s="2">
        <f>583.343384255544*(1/3.6)</f>
        <v>162.03982895987332</v>
      </c>
    </row>
    <row r="1116" spans="1:1" x14ac:dyDescent="0.3">
      <c r="A1116" s="2">
        <f>583.335053956016*(1/3.6)</f>
        <v>162.03751498778215</v>
      </c>
    </row>
    <row r="1117" spans="1:1" x14ac:dyDescent="0.3">
      <c r="A1117" s="2">
        <f>583.096974310674*(1/3.6)</f>
        <v>161.97138175296499</v>
      </c>
    </row>
    <row r="1118" spans="1:1" x14ac:dyDescent="0.3">
      <c r="A1118" s="2">
        <f>582.007258016834*(1/3.6)</f>
        <v>161.66868278245389</v>
      </c>
    </row>
    <row r="1119" spans="1:1" x14ac:dyDescent="0.3">
      <c r="A1119" s="2">
        <f>582.887897624395*(1/3.6)</f>
        <v>161.91330489566531</v>
      </c>
    </row>
    <row r="1120" spans="1:1" x14ac:dyDescent="0.3">
      <c r="A1120" s="2">
        <f>583.239212893862*(1/3.6)</f>
        <v>162.01089247051721</v>
      </c>
    </row>
    <row r="1121" spans="1:1" x14ac:dyDescent="0.3">
      <c r="A1121" s="2">
        <f>581.734127086184*(1/3.6)</f>
        <v>161.59281307949558</v>
      </c>
    </row>
    <row r="1122" spans="1:1" x14ac:dyDescent="0.3">
      <c r="A1122" s="2">
        <f>580.305903418055*(1/3.6)</f>
        <v>161.19608428279309</v>
      </c>
    </row>
    <row r="1123" spans="1:1" x14ac:dyDescent="0.3">
      <c r="A1123" s="2">
        <f>580.019967887088*(1/3.6)</f>
        <v>161.1166577464133</v>
      </c>
    </row>
    <row r="1124" spans="1:1" x14ac:dyDescent="0.3">
      <c r="A1124" s="2">
        <f>580.517864714978*(1/3.6)</f>
        <v>161.25496242082718</v>
      </c>
    </row>
    <row r="1125" spans="1:1" x14ac:dyDescent="0.3">
      <c r="A1125" s="2">
        <f>579.855049598448*(1/3.6)</f>
        <v>161.07084711067995</v>
      </c>
    </row>
    <row r="1126" spans="1:1" x14ac:dyDescent="0.3">
      <c r="A1126" s="2">
        <f>579.432829624702*(1/3.6)</f>
        <v>160.95356378463947</v>
      </c>
    </row>
    <row r="1127" spans="1:1" x14ac:dyDescent="0.3">
      <c r="A1127" s="2">
        <f>579.636003912105*(1/3.6)</f>
        <v>161.01000108669598</v>
      </c>
    </row>
    <row r="1128" spans="1:1" x14ac:dyDescent="0.3">
      <c r="A1128" s="2">
        <f>578.407904018402*(1/3.6)</f>
        <v>160.66886222733393</v>
      </c>
    </row>
    <row r="1129" spans="1:1" x14ac:dyDescent="0.3">
      <c r="A1129" s="2">
        <f>578.10146504096*(1/3.6)</f>
        <v>160.58374028915551</v>
      </c>
    </row>
    <row r="1130" spans="1:1" x14ac:dyDescent="0.3">
      <c r="A1130" s="2">
        <f>558.811459080916*(1/3.6)</f>
        <v>155.22540530025441</v>
      </c>
    </row>
    <row r="1131" spans="1:1" x14ac:dyDescent="0.3">
      <c r="A1131" s="2">
        <f>553.912822958448*(1/3.6)</f>
        <v>153.86467304401341</v>
      </c>
    </row>
    <row r="1132" spans="1:1" x14ac:dyDescent="0.3">
      <c r="A1132" s="2">
        <f>557.972782737226*(1/3.6)</f>
        <v>154.99243964922951</v>
      </c>
    </row>
    <row r="1133" spans="1:1" x14ac:dyDescent="0.3">
      <c r="A1133" s="2">
        <f>554.789634142996*(1/3.6)</f>
        <v>154.10823170638784</v>
      </c>
    </row>
    <row r="1134" spans="1:1" x14ac:dyDescent="0.3">
      <c r="A1134" s="2">
        <f>557.177297276035*(1/3.6)</f>
        <v>154.77147146556536</v>
      </c>
    </row>
    <row r="1135" spans="1:1" x14ac:dyDescent="0.3">
      <c r="A1135" s="2">
        <f>575.595347774766*(1/3.6)</f>
        <v>159.88759660410159</v>
      </c>
    </row>
    <row r="1136" spans="1:1" x14ac:dyDescent="0.3">
      <c r="A1136" s="2">
        <f>576.697143673965*(1/3.6)</f>
        <v>160.1936510205457</v>
      </c>
    </row>
    <row r="1137" spans="1:1" x14ac:dyDescent="0.3">
      <c r="A1137" s="2">
        <f>576.850794994884*(1/3.6)</f>
        <v>160.23633194302334</v>
      </c>
    </row>
    <row r="1138" spans="1:1" x14ac:dyDescent="0.3">
      <c r="A1138" s="2">
        <f>577.747182308082*(1/3.6)</f>
        <v>160.48532841891176</v>
      </c>
    </row>
    <row r="1139" spans="1:1" x14ac:dyDescent="0.3">
      <c r="A1139" s="2">
        <f>577.526695305496*(1/3.6)</f>
        <v>160.42408202930443</v>
      </c>
    </row>
    <row r="1140" spans="1:1" x14ac:dyDescent="0.3">
      <c r="A1140" s="2">
        <f>576.990324769132*(1/3.6)</f>
        <v>160.27509021364793</v>
      </c>
    </row>
    <row r="1141" spans="1:1" x14ac:dyDescent="0.3">
      <c r="A1141" s="2">
        <f>615.548022745649*(1/3.6)</f>
        <v>170.98556187379148</v>
      </c>
    </row>
    <row r="1142" spans="1:1" x14ac:dyDescent="0.3">
      <c r="A1142" s="2">
        <f>571.061975845136*(1/3.6)</f>
        <v>158.62832662364889</v>
      </c>
    </row>
    <row r="1143" spans="1:1" x14ac:dyDescent="0.3">
      <c r="A1143" s="2">
        <f>570.991961735069*(1/3.6)</f>
        <v>158.60887825974137</v>
      </c>
    </row>
    <row r="1144" spans="1:1" x14ac:dyDescent="0.3">
      <c r="A1144" s="2">
        <f>570.329440391615*(1/3.6)</f>
        <v>158.42484455322651</v>
      </c>
    </row>
    <row r="1145" spans="1:1" x14ac:dyDescent="0.3">
      <c r="A1145" s="2">
        <f>569.692237862243*(1/3.6)</f>
        <v>158.24784385062318</v>
      </c>
    </row>
    <row r="1146" spans="1:1" x14ac:dyDescent="0.3">
      <c r="A1146" s="2">
        <f>568.114723130551*(1/3.6)</f>
        <v>157.80964531404183</v>
      </c>
    </row>
    <row r="1147" spans="1:1" x14ac:dyDescent="0.3">
      <c r="A1147" s="2">
        <f>568.601052951786*(1/3.6)</f>
        <v>157.94473693105178</v>
      </c>
    </row>
    <row r="1148" spans="1:1" x14ac:dyDescent="0.3">
      <c r="A1148" s="2">
        <f>567.778148135047*(1/3.6)</f>
        <v>157.71615225973528</v>
      </c>
    </row>
    <row r="1149" spans="1:1" x14ac:dyDescent="0.3">
      <c r="A1149" s="2">
        <f>569.146032356372*(1/3.6)</f>
        <v>158.09612009899223</v>
      </c>
    </row>
    <row r="1150" spans="1:1" x14ac:dyDescent="0.3">
      <c r="A1150" s="2">
        <f>568.441652898886*(1/3.6)</f>
        <v>157.90045913857955</v>
      </c>
    </row>
    <row r="1151" spans="1:1" x14ac:dyDescent="0.3">
      <c r="A1151" s="2">
        <f>567.991955587974*(1/3.6)</f>
        <v>157.77554321888172</v>
      </c>
    </row>
    <row r="1152" spans="1:1" x14ac:dyDescent="0.3">
      <c r="A1152" s="2">
        <f>568.819626162307*(1/3.6)</f>
        <v>158.0054517117519</v>
      </c>
    </row>
    <row r="1153" spans="1:1" x14ac:dyDescent="0.3">
      <c r="A1153" s="2">
        <f>568.121070697726*(1/3.6)</f>
        <v>157.81140852714617</v>
      </c>
    </row>
    <row r="1154" spans="1:1" x14ac:dyDescent="0.3">
      <c r="A1154" s="2">
        <f>570.761302828458*(1/3.6)</f>
        <v>158.54480634123843</v>
      </c>
    </row>
    <row r="1155" spans="1:1" x14ac:dyDescent="0.3">
      <c r="A1155" s="2">
        <f>570.481910142861*(1/3.6)</f>
        <v>158.46719726190574</v>
      </c>
    </row>
    <row r="1156" spans="1:1" x14ac:dyDescent="0.3">
      <c r="A1156" s="2">
        <f>570.271873827872*(1/3.6)</f>
        <v>158.40885384107557</v>
      </c>
    </row>
    <row r="1157" spans="1:1" x14ac:dyDescent="0.3">
      <c r="A1157" s="2">
        <f>569.979915822486*(1/3.6)</f>
        <v>158.32775439513486</v>
      </c>
    </row>
    <row r="1158" spans="1:1" x14ac:dyDescent="0.3">
      <c r="A1158" s="2">
        <f>569.347649877629*(1/3.6)</f>
        <v>158.1521249660081</v>
      </c>
    </row>
    <row r="1159" spans="1:1" x14ac:dyDescent="0.3">
      <c r="A1159" s="2">
        <f>569.47972417789*(1/3.6)</f>
        <v>158.18881227163607</v>
      </c>
    </row>
    <row r="1160" spans="1:1" x14ac:dyDescent="0.3">
      <c r="A1160" s="2">
        <f>568.980028872785*(1/3.6)</f>
        <v>158.05000802021794</v>
      </c>
    </row>
    <row r="1161" spans="1:1" x14ac:dyDescent="0.3">
      <c r="A1161" s="2">
        <f>568.488207291507*(1/3.6)</f>
        <v>157.91339091430751</v>
      </c>
    </row>
    <row r="1162" spans="1:1" x14ac:dyDescent="0.3">
      <c r="A1162" s="2">
        <f>567.714280876207*(1/3.6)</f>
        <v>157.69841135450201</v>
      </c>
    </row>
    <row r="1163" spans="1:1" x14ac:dyDescent="0.3">
      <c r="A1163" s="2">
        <f>567.338825611673*(1/3.6)</f>
        <v>157.59411822546465</v>
      </c>
    </row>
    <row r="1164" spans="1:1" x14ac:dyDescent="0.3">
      <c r="A1164" s="2">
        <f>565.700860871662*(1/3.6)</f>
        <v>157.1391280199062</v>
      </c>
    </row>
    <row r="1165" spans="1:1" x14ac:dyDescent="0.3">
      <c r="A1165" s="2">
        <f>566.127754941875*(1/3.6)</f>
        <v>157.2577097060763</v>
      </c>
    </row>
    <row r="1166" spans="1:1" x14ac:dyDescent="0.3">
      <c r="A1166" s="2">
        <f>565.158353271619*(1/3.6)</f>
        <v>156.98843146433856</v>
      </c>
    </row>
    <row r="1167" spans="1:1" x14ac:dyDescent="0.3">
      <c r="A1167" s="2">
        <f>563.465419609895*(1/3.6)</f>
        <v>156.51817211385978</v>
      </c>
    </row>
    <row r="1168" spans="1:1" x14ac:dyDescent="0.3">
      <c r="A1168" s="2">
        <f>564.161604721733*(1/3.6)</f>
        <v>156.71155686714795</v>
      </c>
    </row>
    <row r="1169" spans="1:1" x14ac:dyDescent="0.3">
      <c r="A1169" s="2">
        <f>563.38828224992*(1/3.6)</f>
        <v>156.49674506942227</v>
      </c>
    </row>
    <row r="1170" spans="1:1" x14ac:dyDescent="0.3">
      <c r="A1170" s="2">
        <f>563.272843003797*(1/3.6)</f>
        <v>156.46467861216578</v>
      </c>
    </row>
    <row r="1171" spans="1:1" x14ac:dyDescent="0.3">
      <c r="A1171" s="2">
        <f>562.573598897465*(1/3.6)</f>
        <v>156.27044413818464</v>
      </c>
    </row>
    <row r="1172" spans="1:1" x14ac:dyDescent="0.3">
      <c r="A1172" s="2">
        <f>562.154128680935*(1/3.6)</f>
        <v>156.15392463359311</v>
      </c>
    </row>
    <row r="1173" spans="1:1" x14ac:dyDescent="0.3">
      <c r="A1173" s="2">
        <f>561.938615905905*(1/3.6)</f>
        <v>156.09405997386247</v>
      </c>
    </row>
    <row r="1174" spans="1:1" x14ac:dyDescent="0.3">
      <c r="A1174" s="2">
        <f>561.150793501396*(1/3.6)</f>
        <v>155.87522041705444</v>
      </c>
    </row>
    <row r="1175" spans="1:1" x14ac:dyDescent="0.3">
      <c r="A1175" s="2">
        <f>560.753075103574*(1/3.6)</f>
        <v>155.76474308432626</v>
      </c>
    </row>
    <row r="1176" spans="1:1" x14ac:dyDescent="0.3">
      <c r="A1176" s="2">
        <f>560.158856238026*(1/3.6)</f>
        <v>155.59968228834043</v>
      </c>
    </row>
    <row r="1177" spans="1:1" x14ac:dyDescent="0.3">
      <c r="A1177" s="2">
        <f>561.508433892974*(1/3.6)</f>
        <v>155.97456497027051</v>
      </c>
    </row>
    <row r="1178" spans="1:1" x14ac:dyDescent="0.3">
      <c r="A1178" s="2">
        <f>560.411588611102*(1/3.6)</f>
        <v>155.66988572530602</v>
      </c>
    </row>
    <row r="1179" spans="1:1" x14ac:dyDescent="0.3">
      <c r="A1179" s="2">
        <f>559.837389106295*(1/3.6)</f>
        <v>155.51038586285975</v>
      </c>
    </row>
    <row r="1180" spans="1:1" x14ac:dyDescent="0.3">
      <c r="A1180" s="2">
        <f>559.143368292507*(1/3.6)</f>
        <v>155.31760230347422</v>
      </c>
    </row>
    <row r="1181" spans="1:1" x14ac:dyDescent="0.3">
      <c r="A1181" s="2">
        <f>557.994865303947*(1/3.6)</f>
        <v>154.99857369554081</v>
      </c>
    </row>
    <row r="1182" spans="1:1" x14ac:dyDescent="0.3">
      <c r="A1182" s="2">
        <f>558.092891151353*(1/3.6)</f>
        <v>155.02580309759804</v>
      </c>
    </row>
    <row r="1183" spans="1:1" x14ac:dyDescent="0.3">
      <c r="A1183" s="2">
        <f>389.410536478888*(1/3.6)</f>
        <v>108.16959346635771</v>
      </c>
    </row>
    <row r="1184" spans="1:1" x14ac:dyDescent="0.3">
      <c r="A1184" s="2">
        <f>390.195117484659*(1/3.6)</f>
        <v>108.3875326346275</v>
      </c>
    </row>
    <row r="1185" spans="1:1" x14ac:dyDescent="0.3">
      <c r="A1185" s="2">
        <f>614.798626035328*(1/3.6)</f>
        <v>170.77739612092444</v>
      </c>
    </row>
    <row r="1186" spans="1:1" x14ac:dyDescent="0.3">
      <c r="A1186" s="2">
        <f>607.048833988664*(1/3.6)</f>
        <v>168.62467610796222</v>
      </c>
    </row>
    <row r="1187" spans="1:1" x14ac:dyDescent="0.3">
      <c r="A1187" s="2">
        <f>596.457527987116*(1/3.6)</f>
        <v>165.68264666308778</v>
      </c>
    </row>
    <row r="1188" spans="1:1" x14ac:dyDescent="0.3">
      <c r="A1188" s="2">
        <f>606.315900571117*(1/3.6)</f>
        <v>168.42108349197702</v>
      </c>
    </row>
    <row r="1189" spans="1:1" x14ac:dyDescent="0.3">
      <c r="A1189" s="2">
        <f>654.362906743185*(1/3.6)</f>
        <v>181.76747409532908</v>
      </c>
    </row>
    <row r="1190" spans="1:1" x14ac:dyDescent="0.3">
      <c r="A1190" s="2">
        <f>654.762409512037*(1/3.6)</f>
        <v>181.87844708667691</v>
      </c>
    </row>
    <row r="1191" spans="1:1" x14ac:dyDescent="0.3">
      <c r="A1191" s="2">
        <f>653.742608105309*(1/3.6)</f>
        <v>181.59516891814147</v>
      </c>
    </row>
    <row r="1192" spans="1:1" x14ac:dyDescent="0.3">
      <c r="A1192" s="2">
        <f>653.727697243684*(1/3.6)</f>
        <v>181.59102701213439</v>
      </c>
    </row>
    <row r="1193" spans="1:1" x14ac:dyDescent="0.3">
      <c r="A1193" s="2">
        <f>652.887713139757*(1/3.6)</f>
        <v>181.3576980943769</v>
      </c>
    </row>
    <row r="1194" spans="1:1" x14ac:dyDescent="0.3">
      <c r="A1194" s="2">
        <f>652.069603115946*(1/3.6)</f>
        <v>181.13044530998505</v>
      </c>
    </row>
    <row r="1195" spans="1:1" x14ac:dyDescent="0.3">
      <c r="A1195" s="2">
        <f>652.841869190849*(1/3.6)</f>
        <v>181.34496366412461</v>
      </c>
    </row>
    <row r="1196" spans="1:1" x14ac:dyDescent="0.3">
      <c r="A1196" s="2">
        <f>651.80815810771*(1/3.6)</f>
        <v>181.05782169658607</v>
      </c>
    </row>
    <row r="1197" spans="1:1" x14ac:dyDescent="0.3">
      <c r="A1197" s="2">
        <f>651.800010064923*(1/3.6)</f>
        <v>181.05555835136747</v>
      </c>
    </row>
    <row r="1198" spans="1:1" x14ac:dyDescent="0.3">
      <c r="A1198" s="2">
        <f>650.951327742194*(1/3.6)</f>
        <v>180.81981326172067</v>
      </c>
    </row>
    <row r="1199" spans="1:1" x14ac:dyDescent="0.3">
      <c r="A1199" s="2">
        <f>650.403884968544*(1/3.6)</f>
        <v>180.66774582459547</v>
      </c>
    </row>
    <row r="1200" spans="1:1" x14ac:dyDescent="0.3">
      <c r="A1200" s="2">
        <f>650.019807218991*(1/3.6)</f>
        <v>180.56105756083096</v>
      </c>
    </row>
    <row r="1201" spans="1:1" x14ac:dyDescent="0.3">
      <c r="A1201" s="2">
        <f>649.609002810482*(1/3.6)</f>
        <v>180.44694522513404</v>
      </c>
    </row>
    <row r="1202" spans="1:1" x14ac:dyDescent="0.3">
      <c r="A1202" s="2">
        <f>649.653500954649*(1/3.6)</f>
        <v>180.45930582073569</v>
      </c>
    </row>
    <row r="1203" spans="1:1" x14ac:dyDescent="0.3">
      <c r="A1203" s="2">
        <f>649.215475392034*(1/3.6)</f>
        <v>180.33763205334282</v>
      </c>
    </row>
    <row r="1204" spans="1:1" x14ac:dyDescent="0.3">
      <c r="A1204" s="2">
        <f>648.696830376903*(1/3.6)</f>
        <v>180.19356399358404</v>
      </c>
    </row>
    <row r="1205" spans="1:1" x14ac:dyDescent="0.3">
      <c r="A1205" s="2">
        <f>648.625606341535*(1/3.6)</f>
        <v>180.17377953931518</v>
      </c>
    </row>
    <row r="1206" spans="1:1" x14ac:dyDescent="0.3">
      <c r="A1206" s="2">
        <f>647.719046498189*(1/3.6)</f>
        <v>179.92195736060802</v>
      </c>
    </row>
    <row r="1207" spans="1:1" x14ac:dyDescent="0.3">
      <c r="A1207" s="2">
        <f>648.544707964791*(1/3.6)</f>
        <v>180.15130776799759</v>
      </c>
    </row>
    <row r="1208" spans="1:1" x14ac:dyDescent="0.3">
      <c r="A1208" s="2">
        <f>646.537495611271*(1/3.6)</f>
        <v>179.59374878090861</v>
      </c>
    </row>
    <row r="1209" spans="1:1" x14ac:dyDescent="0.3">
      <c r="A1209" s="2">
        <f>646.529379950533*(1/3.6)</f>
        <v>179.59149443070348</v>
      </c>
    </row>
    <row r="1210" spans="1:1" x14ac:dyDescent="0.3">
      <c r="A1210" s="2">
        <f>645.482041160929*(1/3.6)</f>
        <v>179.30056698914694</v>
      </c>
    </row>
    <row r="1211" spans="1:1" x14ac:dyDescent="0.3">
      <c r="A1211" s="2">
        <f>646.413712747302*(1/3.6)</f>
        <v>179.55936465202848</v>
      </c>
    </row>
    <row r="1212" spans="1:1" x14ac:dyDescent="0.3">
      <c r="A1212" s="2">
        <f>645.52775822032*(1/3.6)</f>
        <v>179.31326617231102</v>
      </c>
    </row>
    <row r="1213" spans="1:1" x14ac:dyDescent="0.3">
      <c r="A1213" s="2">
        <f>645.039638567608*(1/3.6)</f>
        <v>179.17767737989107</v>
      </c>
    </row>
    <row r="1214" spans="1:1" x14ac:dyDescent="0.3">
      <c r="A1214" s="2">
        <f>644.692818904179*(1/3.6)</f>
        <v>179.08133858449429</v>
      </c>
    </row>
    <row r="1215" spans="1:1" x14ac:dyDescent="0.3">
      <c r="A1215" s="2">
        <f>644.858642463974*(1/3.6)</f>
        <v>179.12740068443733</v>
      </c>
    </row>
    <row r="1216" spans="1:1" x14ac:dyDescent="0.3">
      <c r="A1216" s="2">
        <f>644.451144637237*(1/3.6)</f>
        <v>179.01420684367687</v>
      </c>
    </row>
    <row r="1217" spans="1:1" x14ac:dyDescent="0.3">
      <c r="A1217" s="2">
        <f>644.686851440777*(1/3.6)</f>
        <v>179.07968095577132</v>
      </c>
    </row>
    <row r="1218" spans="1:1" x14ac:dyDescent="0.3">
      <c r="A1218" s="2">
        <f>644.144122025727*(1/3.6)</f>
        <v>178.9289227849242</v>
      </c>
    </row>
    <row r="1219" spans="1:1" x14ac:dyDescent="0.3">
      <c r="A1219" s="2">
        <f>642.438648577271*(1/3.6)</f>
        <v>178.455180160353</v>
      </c>
    </row>
    <row r="1220" spans="1:1" x14ac:dyDescent="0.3">
      <c r="A1220" s="2">
        <f>642.482963765331*(1/3.6)</f>
        <v>178.46748993481427</v>
      </c>
    </row>
    <row r="1221" spans="1:1" x14ac:dyDescent="0.3">
      <c r="A1221" s="2">
        <f>641.971851674591*(1/3.6)</f>
        <v>178.32551435405315</v>
      </c>
    </row>
    <row r="1222" spans="1:1" x14ac:dyDescent="0.3">
      <c r="A1222" s="2">
        <f>641.923195568658*(1/3.6)</f>
        <v>178.31199876907181</v>
      </c>
    </row>
    <row r="1223" spans="1:1" x14ac:dyDescent="0.3">
      <c r="A1223" s="2">
        <f>640.683148730978*(1/3.6)</f>
        <v>177.96754131416057</v>
      </c>
    </row>
    <row r="1224" spans="1:1" x14ac:dyDescent="0.3">
      <c r="A1224" s="2">
        <f>640.702952666874*(1/3.6)</f>
        <v>177.97304240746493</v>
      </c>
    </row>
    <row r="1225" spans="1:1" x14ac:dyDescent="0.3">
      <c r="A1225" s="2">
        <f>640.839569889758*(1/3.6)</f>
        <v>178.01099163604383</v>
      </c>
    </row>
    <row r="1226" spans="1:1" x14ac:dyDescent="0.3">
      <c r="A1226" s="2">
        <f>640.009978229409*(1/3.6)</f>
        <v>177.78054950816909</v>
      </c>
    </row>
    <row r="1227" spans="1:1" x14ac:dyDescent="0.3">
      <c r="A1227" s="2">
        <f>640.084768927213*(1/3.6)</f>
        <v>177.80132470200348</v>
      </c>
    </row>
    <row r="1228" spans="1:1" x14ac:dyDescent="0.3">
      <c r="A1228" s="2">
        <f>639.137086079838*(1/3.6)</f>
        <v>177.53807946662158</v>
      </c>
    </row>
    <row r="1229" spans="1:1" x14ac:dyDescent="0.3">
      <c r="A1229" s="2">
        <f>638.731671215458*(1/3.6)</f>
        <v>177.42546422651611</v>
      </c>
    </row>
    <row r="1230" spans="1:1" x14ac:dyDescent="0.3">
      <c r="A1230" s="2">
        <f>638.91542284462*(1/3.6)</f>
        <v>177.47650634572778</v>
      </c>
    </row>
    <row r="1231" spans="1:1" x14ac:dyDescent="0.3">
      <c r="A1231" s="2">
        <f>637.882800777248*(1/3.6)</f>
        <v>177.18966688256884</v>
      </c>
    </row>
    <row r="1232" spans="1:1" x14ac:dyDescent="0.3">
      <c r="A1232" s="2">
        <f>637.877608444252*(1/3.6)</f>
        <v>177.18822456784773</v>
      </c>
    </row>
    <row r="1233" spans="1:1" x14ac:dyDescent="0.3">
      <c r="A1233" s="2">
        <f>636.886493748427*(1/3.6)</f>
        <v>176.91291493011869</v>
      </c>
    </row>
    <row r="1234" spans="1:1" x14ac:dyDescent="0.3">
      <c r="A1234" s="2">
        <f>636.113355286865*(1/3.6)</f>
        <v>176.69815424635129</v>
      </c>
    </row>
    <row r="1235" spans="1:1" x14ac:dyDescent="0.3">
      <c r="A1235" s="2">
        <f>637.158143031169*(1/3.6)</f>
        <v>176.9883730642137</v>
      </c>
    </row>
    <row r="1236" spans="1:1" x14ac:dyDescent="0.3">
      <c r="A1236" s="2">
        <f>636.605802153238*(1/3.6)</f>
        <v>176.83494504256615</v>
      </c>
    </row>
    <row r="1237" spans="1:1" x14ac:dyDescent="0.3">
      <c r="A1237" s="2">
        <f>635.417288721176*(1/3.6)</f>
        <v>176.50480242254875</v>
      </c>
    </row>
    <row r="1238" spans="1:1" x14ac:dyDescent="0.3">
      <c r="A1238" s="2">
        <f>634.805658329166*(1/3.6)</f>
        <v>176.33490509143499</v>
      </c>
    </row>
    <row r="1239" spans="1:1" x14ac:dyDescent="0.3">
      <c r="A1239" s="2">
        <f>634.039107993971*(1/3.6)</f>
        <v>176.12197444276987</v>
      </c>
    </row>
    <row r="1240" spans="1:1" x14ac:dyDescent="0.3">
      <c r="A1240" s="2">
        <f>633.948653625515*(1/3.6)</f>
        <v>176.09684822930984</v>
      </c>
    </row>
    <row r="1241" spans="1:1" x14ac:dyDescent="0.3">
      <c r="A1241" s="2">
        <f>632.993128960025*(1/3.6)</f>
        <v>175.83142471111816</v>
      </c>
    </row>
    <row r="1242" spans="1:1" x14ac:dyDescent="0.3">
      <c r="A1242" s="2">
        <f>632.462457901405*(1/3.6)</f>
        <v>175.68401608372358</v>
      </c>
    </row>
    <row r="1243" spans="1:1" x14ac:dyDescent="0.3">
      <c r="A1243" s="2">
        <f>632.96018451001*(1/3.6)</f>
        <v>175.82227347500276</v>
      </c>
    </row>
    <row r="1244" spans="1:1" x14ac:dyDescent="0.3">
      <c r="A1244" s="2">
        <f>632.151666091133*(1/3.6)</f>
        <v>175.59768502531483</v>
      </c>
    </row>
    <row r="1245" spans="1:1" x14ac:dyDescent="0.3">
      <c r="A1245" s="2">
        <f>632.48800938006*(1/3.6)</f>
        <v>175.69111371668345</v>
      </c>
    </row>
    <row r="1246" spans="1:1" x14ac:dyDescent="0.3">
      <c r="A1246" s="2">
        <f>632.13837870858*(1/3.6)</f>
        <v>175.59399408571667</v>
      </c>
    </row>
    <row r="1247" spans="1:1" x14ac:dyDescent="0.3">
      <c r="A1247" s="2">
        <f>631.108289286509*(1/3.6)</f>
        <v>175.30785813514134</v>
      </c>
    </row>
    <row r="1248" spans="1:1" x14ac:dyDescent="0.3">
      <c r="A1248" s="2">
        <f>631.106829804695*(1/3.6)</f>
        <v>175.30745272352635</v>
      </c>
    </row>
    <row r="1249" spans="1:1" x14ac:dyDescent="0.3">
      <c r="A1249" s="2">
        <f>630.56844666774*(1/3.6)</f>
        <v>175.15790185214996</v>
      </c>
    </row>
    <row r="1250" spans="1:1" x14ac:dyDescent="0.3">
      <c r="A1250" s="2">
        <f>630.304827070132*(1/3.6)</f>
        <v>175.08467418614782</v>
      </c>
    </row>
    <row r="1251" spans="1:1" x14ac:dyDescent="0.3">
      <c r="A1251" s="2">
        <f>629.212941587044*(1/3.6)</f>
        <v>174.78137266306766</v>
      </c>
    </row>
    <row r="1252" spans="1:1" x14ac:dyDescent="0.3">
      <c r="A1252" s="2">
        <f>629.276460551976*(1/3.6)</f>
        <v>174.79901681999348</v>
      </c>
    </row>
    <row r="1253" spans="1:1" x14ac:dyDescent="0.3">
      <c r="A1253" s="2">
        <f>629.126106783386*(1/3.6)</f>
        <v>174.75725188427381</v>
      </c>
    </row>
    <row r="1254" spans="1:1" x14ac:dyDescent="0.3">
      <c r="A1254" s="2">
        <f>629.221588735924*(1/3.6)</f>
        <v>174.78377464886785</v>
      </c>
    </row>
    <row r="1255" spans="1:1" x14ac:dyDescent="0.3">
      <c r="A1255" s="2">
        <f>628.179308868897*(1/3.6)</f>
        <v>174.49425246358254</v>
      </c>
    </row>
    <row r="1256" spans="1:1" x14ac:dyDescent="0.3">
      <c r="A1256" s="2">
        <f>627.410757515472*(1/3.6)</f>
        <v>174.28076597652014</v>
      </c>
    </row>
    <row r="1257" spans="1:1" x14ac:dyDescent="0.3">
      <c r="A1257" s="2">
        <f>627.672808357882*(1/3.6)</f>
        <v>174.35355787718942</v>
      </c>
    </row>
    <row r="1258" spans="1:1" x14ac:dyDescent="0.3">
      <c r="A1258" s="2">
        <f>627.258890768936*(1/3.6)</f>
        <v>174.23858076914902</v>
      </c>
    </row>
    <row r="1259" spans="1:1" x14ac:dyDescent="0.3">
      <c r="A1259" s="2">
        <f>626.83314606959*(1/3.6)</f>
        <v>174.12031835266382</v>
      </c>
    </row>
    <row r="1260" spans="1:1" x14ac:dyDescent="0.3">
      <c r="A1260" s="2">
        <f>626.113652631481*(1/3.6)</f>
        <v>173.9204590643003</v>
      </c>
    </row>
    <row r="1261" spans="1:1" x14ac:dyDescent="0.3">
      <c r="A1261" s="2">
        <f>626.780279203715*(1/3.6)</f>
        <v>174.10563311214295</v>
      </c>
    </row>
    <row r="1262" spans="1:1" x14ac:dyDescent="0.3">
      <c r="A1262" s="2">
        <f>623.605662288283*(1/3.6)</f>
        <v>173.22379508007873</v>
      </c>
    </row>
    <row r="1263" spans="1:1" x14ac:dyDescent="0.3">
      <c r="A1263" s="2">
        <f>623.616483135861*(1/3.6)</f>
        <v>173.22680087107244</v>
      </c>
    </row>
    <row r="1264" spans="1:1" x14ac:dyDescent="0.3">
      <c r="A1264" s="2">
        <f>622.878907461082*(1/3.6)</f>
        <v>173.02191873918954</v>
      </c>
    </row>
    <row r="1265" spans="1:1" x14ac:dyDescent="0.3">
      <c r="A1265" s="2">
        <f>622.578847396687*(1/3.6)</f>
        <v>172.93856872130203</v>
      </c>
    </row>
    <row r="1266" spans="1:1" x14ac:dyDescent="0.3">
      <c r="A1266" s="2">
        <f>624.120302238039*(1/3.6)</f>
        <v>173.36675062167762</v>
      </c>
    </row>
    <row r="1267" spans="1:1" x14ac:dyDescent="0.3">
      <c r="A1267" s="2">
        <f>622.641546256021*(1/3.6)</f>
        <v>172.95598507111683</v>
      </c>
    </row>
    <row r="1268" spans="1:1" x14ac:dyDescent="0.3">
      <c r="A1268" s="2">
        <f>621.223210677574*(1/3.6)</f>
        <v>172.5620029659928</v>
      </c>
    </row>
    <row r="1269" spans="1:1" x14ac:dyDescent="0.3">
      <c r="A1269" s="2">
        <f>622.690558000484*(1/3.6)</f>
        <v>172.96959944457902</v>
      </c>
    </row>
    <row r="1270" spans="1:1" x14ac:dyDescent="0.3">
      <c r="A1270" s="2">
        <f>622.074818776569*(1/3.6)</f>
        <v>172.79856077126914</v>
      </c>
    </row>
    <row r="1271" spans="1:1" x14ac:dyDescent="0.3">
      <c r="A1271" s="2">
        <f>622.092992519401*(1/3.6)</f>
        <v>172.80360903316682</v>
      </c>
    </row>
    <row r="1272" spans="1:1" x14ac:dyDescent="0.3">
      <c r="A1272" s="2">
        <f>622.503805056097*(1/3.6)</f>
        <v>172.91772362669369</v>
      </c>
    </row>
    <row r="1273" spans="1:1" x14ac:dyDescent="0.3">
      <c r="A1273" s="2">
        <f>621.38771703709*(1/3.6)</f>
        <v>172.60769917696933</v>
      </c>
    </row>
    <row r="1274" spans="1:1" x14ac:dyDescent="0.3">
      <c r="A1274" s="2">
        <f>621.892114839094*(1/3.6)</f>
        <v>172.74780967752625</v>
      </c>
    </row>
    <row r="1275" spans="1:1" x14ac:dyDescent="0.3">
      <c r="A1275" s="2">
        <f>622.89627928282*(1/3.6)</f>
        <v>173.02674424522777</v>
      </c>
    </row>
    <row r="1276" spans="1:1" x14ac:dyDescent="0.3">
      <c r="A1276" s="2">
        <f>622.398163244225*(1/3.6)</f>
        <v>172.88837867895128</v>
      </c>
    </row>
    <row r="1277" spans="1:1" x14ac:dyDescent="0.3">
      <c r="A1277" s="2">
        <f>621.075861862363*(1/3.6)</f>
        <v>172.52107273954536</v>
      </c>
    </row>
    <row r="1278" spans="1:1" x14ac:dyDescent="0.3">
      <c r="A1278" s="2">
        <f>621.161052383753*(1/3.6)</f>
        <v>172.54473677326487</v>
      </c>
    </row>
    <row r="1279" spans="1:1" x14ac:dyDescent="0.3">
      <c r="A1279" s="2">
        <f>620.81840769542*(1/3.6)</f>
        <v>172.44955769317218</v>
      </c>
    </row>
    <row r="1280" spans="1:1" x14ac:dyDescent="0.3">
      <c r="A1280" s="2">
        <f>621.193350804233*(1/3.6)</f>
        <v>172.55370855673141</v>
      </c>
    </row>
    <row r="1281" spans="1:1" x14ac:dyDescent="0.3">
      <c r="A1281" s="2">
        <f>621.597500687828*(1/3.6)</f>
        <v>172.66597241328543</v>
      </c>
    </row>
    <row r="1282" spans="1:1" x14ac:dyDescent="0.3">
      <c r="A1282" s="2">
        <f>620.470455245129*(1/3.6)</f>
        <v>172.35290423475791</v>
      </c>
    </row>
    <row r="1283" spans="1:1" x14ac:dyDescent="0.3">
      <c r="A1283" s="2">
        <f>621.670148546629*(1/3.6)</f>
        <v>172.68615237406368</v>
      </c>
    </row>
    <row r="1284" spans="1:1" x14ac:dyDescent="0.3">
      <c r="A1284" s="2">
        <f>619.931586145353*(1/3.6)</f>
        <v>172.20321837370918</v>
      </c>
    </row>
    <row r="1285" spans="1:1" x14ac:dyDescent="0.3">
      <c r="A1285" s="2">
        <f>621.066230717269*(1/3.6)</f>
        <v>172.51839742146373</v>
      </c>
    </row>
    <row r="1286" spans="1:1" x14ac:dyDescent="0.3">
      <c r="A1286" s="2">
        <f>620.744202034783*(1/3.6)</f>
        <v>172.42894500966185</v>
      </c>
    </row>
    <row r="1287" spans="1:1" x14ac:dyDescent="0.3">
      <c r="A1287" s="2">
        <f>619.447968197534*(1/3.6)</f>
        <v>172.06888005487045</v>
      </c>
    </row>
    <row r="1288" spans="1:1" x14ac:dyDescent="0.3">
      <c r="A1288" s="2">
        <f>620.080914550123*(1/3.6)</f>
        <v>172.24469848614532</v>
      </c>
    </row>
    <row r="1289" spans="1:1" x14ac:dyDescent="0.3">
      <c r="A1289" s="2">
        <f>636.305974560637*(1/3.6)</f>
        <v>176.75165960017699</v>
      </c>
    </row>
    <row r="1290" spans="1:1" x14ac:dyDescent="0.3">
      <c r="A1290" s="2">
        <f>417.341047931601*(1/3.6)</f>
        <v>115.92806886988926</v>
      </c>
    </row>
    <row r="1291" spans="1:1" x14ac:dyDescent="0.3">
      <c r="A1291" s="2">
        <f>424.041128628214*(1/3.6)</f>
        <v>117.78920239672598</v>
      </c>
    </row>
    <row r="1292" spans="1:1" x14ac:dyDescent="0.3">
      <c r="A1292" s="2">
        <f>424.399330030567*(1/3.6)</f>
        <v>117.88870278626874</v>
      </c>
    </row>
    <row r="1293" spans="1:1" x14ac:dyDescent="0.3">
      <c r="A1293" s="2">
        <f>424.012972709567*(1/3.6)</f>
        <v>117.78138130821308</v>
      </c>
    </row>
    <row r="1294" spans="1:1" x14ac:dyDescent="0.3">
      <c r="A1294" s="2">
        <f>422.966604679574*(1/3.6)</f>
        <v>117.49072352210376</v>
      </c>
    </row>
    <row r="1295" spans="1:1" x14ac:dyDescent="0.3">
      <c r="A1295" s="2">
        <f>423.254894102491*(1/3.6)</f>
        <v>117.57080391735862</v>
      </c>
    </row>
    <row r="1296" spans="1:1" x14ac:dyDescent="0.3">
      <c r="A1296" s="2">
        <f>422.591793773566*(1/3.6)</f>
        <v>117.38660938154602</v>
      </c>
    </row>
    <row r="1297" spans="1:1" x14ac:dyDescent="0.3">
      <c r="A1297" s="2">
        <f>422.632661932565*(1/3.6)</f>
        <v>117.39796164793471</v>
      </c>
    </row>
    <row r="1298" spans="1:1" x14ac:dyDescent="0.3">
      <c r="A1298" s="2">
        <f>421.898352491105*(1/3.6)</f>
        <v>117.19398680308467</v>
      </c>
    </row>
    <row r="1299" spans="1:1" x14ac:dyDescent="0.3">
      <c r="A1299" s="2">
        <f>422.385102822111*(1/3.6)</f>
        <v>117.32919522836413</v>
      </c>
    </row>
    <row r="1300" spans="1:1" x14ac:dyDescent="0.3">
      <c r="A1300" s="2">
        <f>422.341407624785*(1/3.6)</f>
        <v>117.31705767355146</v>
      </c>
    </row>
    <row r="1301" spans="1:1" x14ac:dyDescent="0.3">
      <c r="A1301" s="2">
        <f>421.492207196102*(1/3.6)</f>
        <v>117.08116866558403</v>
      </c>
    </row>
    <row r="1302" spans="1:1" x14ac:dyDescent="0.3">
      <c r="A1302" s="2">
        <f>421.292838357522*(1/3.6)</f>
        <v>117.02578843264513</v>
      </c>
    </row>
    <row r="1303" spans="1:1" x14ac:dyDescent="0.3">
      <c r="A1303" s="2">
        <f>421.669327175529*(1/3.6)</f>
        <v>117.13036865986918</v>
      </c>
    </row>
    <row r="1304" spans="1:1" x14ac:dyDescent="0.3">
      <c r="A1304" s="2">
        <f>421.200799085795*(1/3.6)</f>
        <v>117.00022196827645</v>
      </c>
    </row>
    <row r="1305" spans="1:1" x14ac:dyDescent="0.3">
      <c r="A1305" s="2">
        <f>420.340626297436*(1/3.6)</f>
        <v>116.76128508262114</v>
      </c>
    </row>
    <row r="1306" spans="1:1" x14ac:dyDescent="0.3">
      <c r="A1306" s="2">
        <f>420.078332313101*(1/3.6)</f>
        <v>116.68842564252795</v>
      </c>
    </row>
    <row r="1307" spans="1:1" x14ac:dyDescent="0.3">
      <c r="A1307" s="2">
        <f>419.820588583019*(1/3.6)</f>
        <v>116.61683016194966</v>
      </c>
    </row>
    <row r="1308" spans="1:1" x14ac:dyDescent="0.3">
      <c r="A1308" s="2" t="e">
        <v>#NUM!</v>
      </c>
    </row>
    <row r="1309" spans="1:1" x14ac:dyDescent="0.3">
      <c r="A1309" s="2">
        <f>419.741956288537*(1/3.6)</f>
        <v>116.59498785792699</v>
      </c>
    </row>
    <row r="1310" spans="1:1" x14ac:dyDescent="0.3">
      <c r="A1310" s="2">
        <f>419.454945134068*(1/3.6)</f>
        <v>116.51526253724109</v>
      </c>
    </row>
    <row r="1311" spans="1:1" x14ac:dyDescent="0.3">
      <c r="A1311" s="2">
        <f>418.880202280574*(1/3.6)</f>
        <v>116.35561174460393</v>
      </c>
    </row>
    <row r="1312" spans="1:1" x14ac:dyDescent="0.3">
      <c r="A1312" s="2">
        <f>579.236763404828*(1/3.6)</f>
        <v>160.89910094578545</v>
      </c>
    </row>
    <row r="1313" spans="1:1" x14ac:dyDescent="0.3">
      <c r="A1313" s="2">
        <f>526.861230602113*(1/3.6)</f>
        <v>146.3503418339202</v>
      </c>
    </row>
    <row r="1314" spans="1:1" x14ac:dyDescent="0.3">
      <c r="A1314" s="2">
        <f>656.923147507495*(1/3.6)</f>
        <v>182.47865208541518</v>
      </c>
    </row>
    <row r="1315" spans="1:1" x14ac:dyDescent="0.3">
      <c r="A1315" s="2">
        <f>625.549727012293*(1/3.6)</f>
        <v>173.76381305897027</v>
      </c>
    </row>
    <row r="1316" spans="1:1" x14ac:dyDescent="0.3">
      <c r="A1316" s="2">
        <f>614.888095163664*(1/3.6)</f>
        <v>170.80224865657343</v>
      </c>
    </row>
    <row r="1317" spans="1:1" x14ac:dyDescent="0.3">
      <c r="A1317" s="2">
        <f>615.70037703616*(1/3.6)</f>
        <v>171.02788251004458</v>
      </c>
    </row>
    <row r="1318" spans="1:1" x14ac:dyDescent="0.3">
      <c r="A1318" s="2">
        <f>617.438739122869*(1/3.6)</f>
        <v>171.51076086746357</v>
      </c>
    </row>
    <row r="1319" spans="1:1" x14ac:dyDescent="0.3">
      <c r="A1319" s="2">
        <f>622.097299958279*(1/3.6)</f>
        <v>172.80480554396644</v>
      </c>
    </row>
    <row r="1320" spans="1:1" x14ac:dyDescent="0.3">
      <c r="A1320" s="2">
        <f>622.595531521435*(1/3.6)</f>
        <v>172.94320320039864</v>
      </c>
    </row>
    <row r="1321" spans="1:1" x14ac:dyDescent="0.3">
      <c r="A1321" s="2">
        <f>626.319242588039*(1/3.6)</f>
        <v>173.97756738556637</v>
      </c>
    </row>
    <row r="1322" spans="1:1" x14ac:dyDescent="0.3">
      <c r="A1322" s="2">
        <f>617.336615487725*(1/3.6)</f>
        <v>171.48239319103459</v>
      </c>
    </row>
    <row r="1323" spans="1:1" x14ac:dyDescent="0.3">
      <c r="A1323" s="2">
        <f>616.494000569596*(1/3.6)</f>
        <v>171.24833349155458</v>
      </c>
    </row>
    <row r="1324" spans="1:1" x14ac:dyDescent="0.3">
      <c r="A1324" s="2">
        <f>622.121825276837*(1/3.6)</f>
        <v>172.81161813245478</v>
      </c>
    </row>
    <row r="1325" spans="1:1" x14ac:dyDescent="0.3">
      <c r="A1325" s="2">
        <f>646.82769600984*(1/3.6)</f>
        <v>179.67436000273324</v>
      </c>
    </row>
    <row r="1326" spans="1:1" x14ac:dyDescent="0.3">
      <c r="A1326" s="2">
        <f>648.094770869793*(1/3.6)</f>
        <v>180.02632524160921</v>
      </c>
    </row>
    <row r="1327" spans="1:1" x14ac:dyDescent="0.3">
      <c r="A1327" s="2">
        <f>648.782466300553*(1/3.6)</f>
        <v>180.21735175015348</v>
      </c>
    </row>
    <row r="1328" spans="1:1" x14ac:dyDescent="0.3">
      <c r="A1328" s="2">
        <f>649.689575755918*(1/3.6)</f>
        <v>180.46932659886605</v>
      </c>
    </row>
    <row r="1329" spans="1:1" x14ac:dyDescent="0.3">
      <c r="A1329" s="2">
        <f>701.522054357975*(1/3.6)</f>
        <v>194.86723732165964</v>
      </c>
    </row>
    <row r="1330" spans="1:1" x14ac:dyDescent="0.3">
      <c r="A1330" s="2">
        <f>704.933328258894*(1/3.6)</f>
        <v>195.81481340524826</v>
      </c>
    </row>
    <row r="1331" spans="1:1" x14ac:dyDescent="0.3">
      <c r="A1331" s="2">
        <f>706.995311181367*(1/3.6)</f>
        <v>196.38758643926866</v>
      </c>
    </row>
    <row r="1332" spans="1:1" x14ac:dyDescent="0.3">
      <c r="A1332" s="2">
        <f>706.742001475775*(1/3.6)</f>
        <v>196.31722263215985</v>
      </c>
    </row>
    <row r="1333" spans="1:1" x14ac:dyDescent="0.3">
      <c r="A1333" s="2">
        <f>706.231733535582*(1/3.6)</f>
        <v>196.17548153766157</v>
      </c>
    </row>
    <row r="1334" spans="1:1" x14ac:dyDescent="0.3">
      <c r="A1334" s="2">
        <f>705.550175341579*(1/3.6)</f>
        <v>195.98615981710518</v>
      </c>
    </row>
    <row r="1335" spans="1:1" x14ac:dyDescent="0.3">
      <c r="A1335" s="2">
        <f>704.742701330722*(1/3.6)</f>
        <v>195.76186148075601</v>
      </c>
    </row>
    <row r="1336" spans="1:1" x14ac:dyDescent="0.3">
      <c r="A1336" s="2">
        <f>703.614883967339*(1/3.6)</f>
        <v>195.44857887981632</v>
      </c>
    </row>
    <row r="1337" spans="1:1" x14ac:dyDescent="0.3">
      <c r="A1337" s="2">
        <f>704.290016817649*(1/3.6)</f>
        <v>195.63611578268024</v>
      </c>
    </row>
    <row r="1338" spans="1:1" x14ac:dyDescent="0.3">
      <c r="A1338" s="2">
        <f>703.458505096534*(1/3.6)</f>
        <v>195.40514030459281</v>
      </c>
    </row>
    <row r="1339" spans="1:1" x14ac:dyDescent="0.3">
      <c r="A1339" s="2">
        <f>703.725524655085*(1/3.6)</f>
        <v>195.47931240419018</v>
      </c>
    </row>
    <row r="1340" spans="1:1" x14ac:dyDescent="0.3">
      <c r="A1340" s="2">
        <f>701.844096633914*(1/3.6)</f>
        <v>194.95669350942069</v>
      </c>
    </row>
    <row r="1341" spans="1:1" x14ac:dyDescent="0.3">
      <c r="A1341" s="2">
        <f>701.084713956653*(1/3.6)</f>
        <v>194.74575387684817</v>
      </c>
    </row>
    <row r="1342" spans="1:1" x14ac:dyDescent="0.3">
      <c r="A1342" s="2">
        <f>700.784789074848*(1/3.6)</f>
        <v>194.66244140968013</v>
      </c>
    </row>
    <row r="1343" spans="1:1" x14ac:dyDescent="0.3">
      <c r="A1343" s="2">
        <f>699.878572872609*(1/3.6)</f>
        <v>194.41071468683575</v>
      </c>
    </row>
    <row r="1344" spans="1:1" x14ac:dyDescent="0.3">
      <c r="A1344" s="2">
        <f>699.038997016123*(1/3.6)</f>
        <v>194.17749917114529</v>
      </c>
    </row>
    <row r="1345" spans="1:1" x14ac:dyDescent="0.3">
      <c r="A1345" s="2">
        <f>697.529305937291*(1/3.6)</f>
        <v>193.75814053813653</v>
      </c>
    </row>
    <row r="1346" spans="1:1" x14ac:dyDescent="0.3">
      <c r="A1346" s="2">
        <f>698.051292539173*(1/3.6)</f>
        <v>193.90313681643684</v>
      </c>
    </row>
    <row r="1347" spans="1:1" x14ac:dyDescent="0.3">
      <c r="A1347" s="2">
        <f>697.454388038902*(1/3.6)</f>
        <v>193.73733001080609</v>
      </c>
    </row>
    <row r="1348" spans="1:1" x14ac:dyDescent="0.3">
      <c r="A1348" s="2">
        <f>694.435273923583*(1/3.6)</f>
        <v>192.89868720099517</v>
      </c>
    </row>
    <row r="1349" spans="1:1" x14ac:dyDescent="0.3">
      <c r="A1349" s="2">
        <f>694.139387693592*(1/3.6)</f>
        <v>192.81649658155328</v>
      </c>
    </row>
    <row r="1350" spans="1:1" x14ac:dyDescent="0.3">
      <c r="A1350" s="2">
        <f>693.762461015624*(1/3.6)</f>
        <v>192.71179472656212</v>
      </c>
    </row>
    <row r="1351" spans="1:1" x14ac:dyDescent="0.3">
      <c r="A1351" s="2">
        <f>695.95997698834*(1/3.6)</f>
        <v>193.32221583009436</v>
      </c>
    </row>
    <row r="1352" spans="1:1" x14ac:dyDescent="0.3">
      <c r="A1352" s="2">
        <f>692.397943284726*(1/3.6)</f>
        <v>192.33276202353503</v>
      </c>
    </row>
    <row r="1353" spans="1:1" x14ac:dyDescent="0.3">
      <c r="A1353" s="2">
        <f>693.594489856988*(1/3.6)</f>
        <v>192.6651360713856</v>
      </c>
    </row>
    <row r="1354" spans="1:1" x14ac:dyDescent="0.3">
      <c r="A1354" s="2">
        <f>693.291334746833*(1/3.6)</f>
        <v>192.58092631856479</v>
      </c>
    </row>
    <row r="1355" spans="1:1" x14ac:dyDescent="0.3">
      <c r="A1355" s="2">
        <f>693.257429882848*(1/3.6)</f>
        <v>192.57150830079118</v>
      </c>
    </row>
    <row r="1356" spans="1:1" x14ac:dyDescent="0.3">
      <c r="A1356" s="2">
        <f>693.137568721649*(1/3.6)</f>
        <v>192.53821353379143</v>
      </c>
    </row>
    <row r="1357" spans="1:1" x14ac:dyDescent="0.3">
      <c r="A1357" s="2">
        <f>690.800900376676*(1/3.6)</f>
        <v>191.88913899352107</v>
      </c>
    </row>
    <row r="1358" spans="1:1" x14ac:dyDescent="0.3">
      <c r="A1358" s="2">
        <f>685.226932120724*(1/3.6)</f>
        <v>190.34081447797888</v>
      </c>
    </row>
    <row r="1359" spans="1:1" x14ac:dyDescent="0.3">
      <c r="A1359" s="2">
        <f>691.255015267274*(1/3.6)</f>
        <v>192.0152820186872</v>
      </c>
    </row>
    <row r="1360" spans="1:1" x14ac:dyDescent="0.3">
      <c r="A1360" s="2">
        <f>692.133154372346*(1/3.6)</f>
        <v>192.25920954787381</v>
      </c>
    </row>
    <row r="1361" spans="1:1" x14ac:dyDescent="0.3">
      <c r="A1361" s="2">
        <f>692.643733732859*(1/3.6)</f>
        <v>192.40103714801648</v>
      </c>
    </row>
    <row r="1362" spans="1:1" x14ac:dyDescent="0.3">
      <c r="A1362" s="2">
        <f>689.453892555449*(1/3.6)</f>
        <v>191.51497015429129</v>
      </c>
    </row>
    <row r="1363" spans="1:1" x14ac:dyDescent="0.3">
      <c r="A1363" s="2">
        <f>686.617009415431*(1/3.6)</f>
        <v>190.72694705984205</v>
      </c>
    </row>
    <row r="1364" spans="1:1" x14ac:dyDescent="0.3">
      <c r="A1364" s="2">
        <f>689.447796857182*(1/3.6)</f>
        <v>191.51327690477288</v>
      </c>
    </row>
    <row r="1365" spans="1:1" x14ac:dyDescent="0.3">
      <c r="A1365" s="2">
        <f>688.918408727309*(1/3.6)</f>
        <v>191.36622464647468</v>
      </c>
    </row>
    <row r="1366" spans="1:1" x14ac:dyDescent="0.3">
      <c r="A1366" s="2">
        <f>689.389641858945*(1/3.6)</f>
        <v>191.49712273859595</v>
      </c>
    </row>
    <row r="1367" spans="1:1" x14ac:dyDescent="0.3">
      <c r="A1367" s="2">
        <f>684.519113945419*(1/3.6)</f>
        <v>190.14419831817193</v>
      </c>
    </row>
    <row r="1368" spans="1:1" x14ac:dyDescent="0.3">
      <c r="A1368" s="2">
        <f>686.332520562727*(1/3.6)</f>
        <v>190.6479223785353</v>
      </c>
    </row>
    <row r="1369" spans="1:1" x14ac:dyDescent="0.3">
      <c r="A1369" s="2">
        <f>684.571719286455*(1/3.6)</f>
        <v>190.15881091290416</v>
      </c>
    </row>
    <row r="1370" spans="1:1" x14ac:dyDescent="0.3">
      <c r="A1370" s="2">
        <f>684.885354751544*(1/3.6)</f>
        <v>190.24593187542888</v>
      </c>
    </row>
    <row r="1371" spans="1:1" x14ac:dyDescent="0.3">
      <c r="A1371" s="2">
        <f>686.123979455547*(1/3.6)</f>
        <v>190.58999429320744</v>
      </c>
    </row>
    <row r="1372" spans="1:1" x14ac:dyDescent="0.3">
      <c r="A1372" s="2">
        <f>685.21921311077*(1/3.6)</f>
        <v>190.33867030854728</v>
      </c>
    </row>
    <row r="1373" spans="1:1" x14ac:dyDescent="0.3">
      <c r="A1373" s="2">
        <f>683.160840927675*(1/3.6)</f>
        <v>189.7669002576875</v>
      </c>
    </row>
    <row r="1374" spans="1:1" x14ac:dyDescent="0.3">
      <c r="A1374" s="2">
        <f>686.102965277387*(1/3.6)</f>
        <v>190.58415702149648</v>
      </c>
    </row>
    <row r="1375" spans="1:1" x14ac:dyDescent="0.3">
      <c r="A1375" s="2">
        <f>682.953796896833*(1/3.6)</f>
        <v>189.70938802689798</v>
      </c>
    </row>
    <row r="1376" spans="1:1" x14ac:dyDescent="0.3">
      <c r="A1376" s="2">
        <f>683.428669986118*(1/3.6)</f>
        <v>189.84129721836624</v>
      </c>
    </row>
    <row r="1377" spans="1:1" x14ac:dyDescent="0.3">
      <c r="A1377" s="2">
        <f>681.673394412322*(1/3.6)</f>
        <v>189.35372067008944</v>
      </c>
    </row>
    <row r="1378" spans="1:1" x14ac:dyDescent="0.3">
      <c r="A1378" s="2">
        <f>682.271129854908*(1/3.6)</f>
        <v>189.51975829302989</v>
      </c>
    </row>
    <row r="1379" spans="1:1" x14ac:dyDescent="0.3">
      <c r="A1379" s="2">
        <f>680.030469435758*(1/3.6)</f>
        <v>188.89735262104389</v>
      </c>
    </row>
    <row r="1380" spans="1:1" x14ac:dyDescent="0.3">
      <c r="A1380" s="2">
        <f>680.034701302837*(1/3.6)</f>
        <v>188.89852813967681</v>
      </c>
    </row>
    <row r="1381" spans="1:1" x14ac:dyDescent="0.3">
      <c r="A1381" s="2">
        <f>678.254447493153*(1/3.6)</f>
        <v>188.40401319254258</v>
      </c>
    </row>
    <row r="1382" spans="1:1" x14ac:dyDescent="0.3">
      <c r="A1382" s="2">
        <f>679.100097380561*(1/3.6)</f>
        <v>188.63891593904464</v>
      </c>
    </row>
    <row r="1383" spans="1:1" x14ac:dyDescent="0.3">
      <c r="A1383" s="2">
        <f>678.655574356553*(1/3.6)</f>
        <v>188.51543732126473</v>
      </c>
    </row>
    <row r="1384" spans="1:1" x14ac:dyDescent="0.3">
      <c r="A1384" s="2">
        <f>677.304857660072*(1/3.6)</f>
        <v>188.14023823890895</v>
      </c>
    </row>
    <row r="1385" spans="1:1" x14ac:dyDescent="0.3">
      <c r="A1385" s="2">
        <f>677.688743788687*(1/3.6)</f>
        <v>188.24687327463533</v>
      </c>
    </row>
    <row r="1386" spans="1:1" x14ac:dyDescent="0.3">
      <c r="A1386" s="2">
        <f>674.428702689543*(1/3.6)</f>
        <v>187.34130630265085</v>
      </c>
    </row>
    <row r="1387" spans="1:1" x14ac:dyDescent="0.3">
      <c r="A1387" s="2">
        <f>676.799208693903*(1/3.6)</f>
        <v>187.99978019275096</v>
      </c>
    </row>
    <row r="1388" spans="1:1" x14ac:dyDescent="0.3">
      <c r="A1388" s="2">
        <f>672.122565154652*(1/3.6)</f>
        <v>186.70071254295894</v>
      </c>
    </row>
    <row r="1389" spans="1:1" x14ac:dyDescent="0.3">
      <c r="A1389" s="2">
        <f>674.642892218464*(1/3.6)</f>
        <v>187.40080339401783</v>
      </c>
    </row>
    <row r="1390" spans="1:1" x14ac:dyDescent="0.3">
      <c r="A1390" s="2">
        <f>673.717990571487*(1/3.6)</f>
        <v>187.14388626985749</v>
      </c>
    </row>
    <row r="1391" spans="1:1" x14ac:dyDescent="0.3">
      <c r="A1391" s="2">
        <f>673.798473541606*(1/3.6)</f>
        <v>187.16624265044604</v>
      </c>
    </row>
    <row r="1392" spans="1:1" x14ac:dyDescent="0.3">
      <c r="A1392" s="2">
        <f>673.531336573901*(1/3.6)</f>
        <v>187.09203793719468</v>
      </c>
    </row>
    <row r="1393" spans="1:1" x14ac:dyDescent="0.3">
      <c r="A1393" s="2">
        <f>671.350619516118*(1/3.6)</f>
        <v>186.48628319892168</v>
      </c>
    </row>
    <row r="1394" spans="1:1" x14ac:dyDescent="0.3">
      <c r="A1394" s="2">
        <f>672.700990912216*(1/3.6)</f>
        <v>186.86138636450451</v>
      </c>
    </row>
    <row r="1395" spans="1:1" x14ac:dyDescent="0.3">
      <c r="A1395" s="2">
        <f>667.939378945758*(1/3.6)</f>
        <v>185.5387163738217</v>
      </c>
    </row>
    <row r="1396" spans="1:1" x14ac:dyDescent="0.3">
      <c r="A1396" s="2">
        <f>671.012493184321*(1/3.6)</f>
        <v>186.39235921786701</v>
      </c>
    </row>
    <row r="1397" spans="1:1" x14ac:dyDescent="0.3">
      <c r="A1397" s="2">
        <f>666.384876122935*(1/3.6)</f>
        <v>185.1069100341486</v>
      </c>
    </row>
    <row r="1398" spans="1:1" x14ac:dyDescent="0.3">
      <c r="A1398" s="2">
        <f>669.653450617643*(1/3.6)</f>
        <v>186.01484739378984</v>
      </c>
    </row>
    <row r="1399" spans="1:1" x14ac:dyDescent="0.3">
      <c r="A1399" s="2">
        <f>669.517125868191*(1/3.6)</f>
        <v>185.97697940783073</v>
      </c>
    </row>
    <row r="1400" spans="1:1" x14ac:dyDescent="0.3">
      <c r="A1400" s="2">
        <f>687.14929881467*(1/3.6)</f>
        <v>190.87480522629733</v>
      </c>
    </row>
    <row r="1401" spans="1:1" x14ac:dyDescent="0.3">
      <c r="A1401" s="2">
        <f>668.676633863526*(1/3.6)</f>
        <v>185.743509406535</v>
      </c>
    </row>
    <row r="1402" spans="1:1" x14ac:dyDescent="0.3">
      <c r="A1402" s="2">
        <f>662.321832391973*(1/3.6)</f>
        <v>183.97828677554799</v>
      </c>
    </row>
    <row r="1403" spans="1:1" x14ac:dyDescent="0.3">
      <c r="A1403" s="2">
        <f>404.137450050852*(1/3.6)</f>
        <v>112.26040279190336</v>
      </c>
    </row>
    <row r="1404" spans="1:1" x14ac:dyDescent="0.3">
      <c r="A1404" s="2">
        <f>404.42753336897*(1/3.6)</f>
        <v>112.34098149138056</v>
      </c>
    </row>
    <row r="1405" spans="1:1" x14ac:dyDescent="0.3">
      <c r="A1405" s="2">
        <f>403.626904110352*(1/3.6)</f>
        <v>112.11858447509789</v>
      </c>
    </row>
    <row r="1406" spans="1:1" x14ac:dyDescent="0.3">
      <c r="A1406" s="2">
        <f>403.040870422628*(1/3.6)</f>
        <v>111.95579733961884</v>
      </c>
    </row>
    <row r="1407" spans="1:1" x14ac:dyDescent="0.3">
      <c r="A1407" s="2">
        <f>662.201480512297*(1/3.6)</f>
        <v>183.94485569786022</v>
      </c>
    </row>
    <row r="1408" spans="1:1" x14ac:dyDescent="0.3">
      <c r="A1408" s="2">
        <f>664.571400801228*(1/3.6)</f>
        <v>184.6031668892301</v>
      </c>
    </row>
    <row r="1409" spans="1:1" x14ac:dyDescent="0.3">
      <c r="A1409" s="2">
        <f>661.159307992533*(1/3.6)</f>
        <v>183.65536333125928</v>
      </c>
    </row>
    <row r="1410" spans="1:1" x14ac:dyDescent="0.3">
      <c r="A1410" s="2">
        <f>659.933204335422*(1/3.6)</f>
        <v>183.31477898206174</v>
      </c>
    </row>
    <row r="1411" spans="1:1" x14ac:dyDescent="0.3">
      <c r="A1411" s="2">
        <f>658.918534668024*(1/3.6)</f>
        <v>183.03292629667337</v>
      </c>
    </row>
    <row r="1412" spans="1:1" x14ac:dyDescent="0.3">
      <c r="A1412" s="2">
        <f>654.512183148063*(1/3.6)</f>
        <v>181.80893976335074</v>
      </c>
    </row>
    <row r="1413" spans="1:1" x14ac:dyDescent="0.3">
      <c r="A1413" s="2">
        <f>650.725053511072*(1/3.6)</f>
        <v>180.756959308631</v>
      </c>
    </row>
    <row r="1414" spans="1:1" x14ac:dyDescent="0.3">
      <c r="A1414" s="2">
        <f>648.660096692963*(1/3.6)</f>
        <v>180.18336019248966</v>
      </c>
    </row>
    <row r="1415" spans="1:1" x14ac:dyDescent="0.3">
      <c r="A1415" s="2">
        <f>648.963185570418*(1/3.6)</f>
        <v>180.26755154733823</v>
      </c>
    </row>
    <row r="1416" spans="1:1" x14ac:dyDescent="0.3">
      <c r="A1416" s="2">
        <f>647.804320116538*(1/3.6)</f>
        <v>179.94564447681623</v>
      </c>
    </row>
    <row r="1417" spans="1:1" x14ac:dyDescent="0.3">
      <c r="A1417" s="2">
        <f>646.951566347479*(1/3.6)</f>
        <v>179.70876842985516</v>
      </c>
    </row>
    <row r="1418" spans="1:1" x14ac:dyDescent="0.3">
      <c r="A1418" s="2">
        <f>645.617149247039*(1/3.6)</f>
        <v>179.33809701306632</v>
      </c>
    </row>
    <row r="1419" spans="1:1" x14ac:dyDescent="0.3">
      <c r="A1419" s="2">
        <f>648.203763154645*(1/3.6)</f>
        <v>180.05660087629025</v>
      </c>
    </row>
    <row r="1420" spans="1:1" x14ac:dyDescent="0.3">
      <c r="A1420" s="2">
        <f>652.083657282714*(1/3.6)</f>
        <v>181.13434924519825</v>
      </c>
    </row>
    <row r="1421" spans="1:1" x14ac:dyDescent="0.3">
      <c r="A1421" s="2">
        <f>659.398826701442*(1/3.6)</f>
        <v>183.16634075040051</v>
      </c>
    </row>
    <row r="1422" spans="1:1" x14ac:dyDescent="0.3">
      <c r="A1422" s="2">
        <f>660.853652512771*(1/3.6)</f>
        <v>183.57045903132524</v>
      </c>
    </row>
    <row r="1423" spans="1:1" x14ac:dyDescent="0.3">
      <c r="A1423" s="2">
        <f>659.149162479045*(1/3.6)</f>
        <v>183.09698957751255</v>
      </c>
    </row>
    <row r="1424" spans="1:1" x14ac:dyDescent="0.3">
      <c r="A1424" s="2">
        <f>656.781060362906*(1/3.6)</f>
        <v>182.43918343414066</v>
      </c>
    </row>
    <row r="1425" spans="1:1" x14ac:dyDescent="0.3">
      <c r="A1425" s="2">
        <f>649.896253702977*(1/3.6)</f>
        <v>180.52673713971589</v>
      </c>
    </row>
    <row r="1426" spans="1:1" x14ac:dyDescent="0.3">
      <c r="A1426" s="2">
        <f>655.464253491396*(1/3.6)</f>
        <v>182.07340374761014</v>
      </c>
    </row>
    <row r="1427" spans="1:1" x14ac:dyDescent="0.3">
      <c r="A1427" s="2">
        <f>657.162610824355*(1/3.6)</f>
        <v>182.54516967343207</v>
      </c>
    </row>
    <row r="1428" spans="1:1" x14ac:dyDescent="0.3">
      <c r="A1428" s="2">
        <f>653.938571166875*(1/3.6)</f>
        <v>181.64960310190966</v>
      </c>
    </row>
    <row r="1429" spans="1:1" x14ac:dyDescent="0.3">
      <c r="A1429" s="2">
        <f>647.427620339938*(1/3.6)</f>
        <v>179.84100564998289</v>
      </c>
    </row>
    <row r="1430" spans="1:1" x14ac:dyDescent="0.3">
      <c r="A1430" s="2">
        <f>655.831296496833*(1/3.6)</f>
        <v>182.17536013800918</v>
      </c>
    </row>
    <row r="1431" spans="1:1" x14ac:dyDescent="0.3">
      <c r="A1431" s="2">
        <f>650.698248976096*(1/3.6)</f>
        <v>180.74951360447122</v>
      </c>
    </row>
    <row r="1432" spans="1:1" x14ac:dyDescent="0.3">
      <c r="A1432" s="2">
        <f>644.062071515914*(1/3.6)</f>
        <v>178.90613097664269</v>
      </c>
    </row>
    <row r="1433" spans="1:1" x14ac:dyDescent="0.3">
      <c r="A1433" s="2">
        <f>653.556251426732*(1/3.6)</f>
        <v>181.54340317409228</v>
      </c>
    </row>
    <row r="1434" spans="1:1" x14ac:dyDescent="0.3">
      <c r="A1434" s="2">
        <f>643.647533875978*(1/3.6)</f>
        <v>178.7909816322161</v>
      </c>
    </row>
    <row r="1435" spans="1:1" x14ac:dyDescent="0.3">
      <c r="A1435" s="2">
        <f>652.286467822267*(1/3.6)</f>
        <v>181.19068550618533</v>
      </c>
    </row>
    <row r="1436" spans="1:1" x14ac:dyDescent="0.3">
      <c r="A1436" s="2">
        <f>642.677116749868*(1/3.6)</f>
        <v>178.52142131940769</v>
      </c>
    </row>
    <row r="1437" spans="1:1" x14ac:dyDescent="0.3">
      <c r="A1437" s="2">
        <f>652.284899878334*(1/3.6)</f>
        <v>181.19024996620382</v>
      </c>
    </row>
    <row r="1438" spans="1:1" x14ac:dyDescent="0.3">
      <c r="A1438" s="2">
        <f>640.108502656786*(1/3.6)</f>
        <v>177.80791740466273</v>
      </c>
    </row>
    <row r="1439" spans="1:1" x14ac:dyDescent="0.3">
      <c r="A1439" s="2">
        <f>648.158032816182*(1/3.6)</f>
        <v>180.04389800449493</v>
      </c>
    </row>
    <row r="1440" spans="1:1" x14ac:dyDescent="0.3">
      <c r="A1440" s="2">
        <f>645.28650418861*(1/3.6)</f>
        <v>179.24625116350273</v>
      </c>
    </row>
    <row r="1441" spans="1:1" x14ac:dyDescent="0.3">
      <c r="A1441" s="2">
        <f>638.08662127722*(1/3.6)</f>
        <v>177.24628368811676</v>
      </c>
    </row>
    <row r="1442" spans="1:1" x14ac:dyDescent="0.3">
      <c r="A1442" s="2">
        <f>644.151617581911*(1/3.6)</f>
        <v>178.93100488386423</v>
      </c>
    </row>
    <row r="1443" spans="1:1" x14ac:dyDescent="0.3">
      <c r="A1443" s="2">
        <f>646.782486370794*(1/3.6)</f>
        <v>179.66180176966503</v>
      </c>
    </row>
    <row r="1444" spans="1:1" x14ac:dyDescent="0.3">
      <c r="A1444" s="2">
        <f>641.590225351244*(1/3.6)</f>
        <v>178.21950704201225</v>
      </c>
    </row>
    <row r="1445" spans="1:1" x14ac:dyDescent="0.3">
      <c r="A1445" s="2">
        <f>637.611184881698*(1/3.6)</f>
        <v>177.1142180226939</v>
      </c>
    </row>
    <row r="1446" spans="1:1" x14ac:dyDescent="0.3">
      <c r="A1446" s="2">
        <f>637.130159606056*(1/3.6)</f>
        <v>176.98059989057103</v>
      </c>
    </row>
    <row r="1447" spans="1:1" x14ac:dyDescent="0.3">
      <c r="A1447" s="2">
        <f>638.112009655843*(1/3.6)</f>
        <v>177.25333601551188</v>
      </c>
    </row>
    <row r="1448" spans="1:1" x14ac:dyDescent="0.3">
      <c r="A1448" s="2">
        <f>641.655554980131*(1/3.6)</f>
        <v>178.23765416114742</v>
      </c>
    </row>
    <row r="1449" spans="1:1" x14ac:dyDescent="0.3">
      <c r="A1449" s="2">
        <f>641.791957724803*(1/3.6)</f>
        <v>178.27554381244539</v>
      </c>
    </row>
    <row r="1450" spans="1:1" x14ac:dyDescent="0.3">
      <c r="A1450" s="2">
        <f>642.364071264847*(1/3.6)</f>
        <v>178.43446424023529</v>
      </c>
    </row>
    <row r="1451" spans="1:1" x14ac:dyDescent="0.3">
      <c r="A1451" s="2">
        <f>644.632625839812*(1/3.6)</f>
        <v>179.06461828883658</v>
      </c>
    </row>
    <row r="1452" spans="1:1" x14ac:dyDescent="0.3">
      <c r="A1452" s="2">
        <f>639.588969455027*(1/3.6)</f>
        <v>177.66360262639651</v>
      </c>
    </row>
    <row r="1453" spans="1:1" x14ac:dyDescent="0.3">
      <c r="A1453" s="2">
        <f>641.1207758254*(1/3.6)</f>
        <v>178.08910439594456</v>
      </c>
    </row>
    <row r="1454" spans="1:1" x14ac:dyDescent="0.3">
      <c r="A1454" s="2">
        <f>637.794672103547*(1/3.6)</f>
        <v>177.16518669542975</v>
      </c>
    </row>
    <row r="1455" spans="1:1" x14ac:dyDescent="0.3">
      <c r="A1455" s="2">
        <f>638.885446489601*(1/3.6)</f>
        <v>177.46817958044483</v>
      </c>
    </row>
    <row r="1456" spans="1:1" x14ac:dyDescent="0.3">
      <c r="A1456" s="2">
        <f>634.396632887919*(1/3.6)</f>
        <v>176.22128691331091</v>
      </c>
    </row>
    <row r="1457" spans="1:1" x14ac:dyDescent="0.3">
      <c r="A1457" s="2">
        <f>629.600571008209*(1/3.6)</f>
        <v>174.88904750228042</v>
      </c>
    </row>
    <row r="1458" spans="1:1" x14ac:dyDescent="0.3">
      <c r="A1458" s="2">
        <f>634.788368688375*(1/3.6)</f>
        <v>176.33010241343754</v>
      </c>
    </row>
    <row r="1459" spans="1:1" x14ac:dyDescent="0.3">
      <c r="A1459" s="2">
        <f>636.38523515764*(1/3.6)</f>
        <v>176.77367643267789</v>
      </c>
    </row>
    <row r="1460" spans="1:1" x14ac:dyDescent="0.3">
      <c r="A1460" s="2">
        <f>632.572740952222*(1/3.6)</f>
        <v>175.71465026450602</v>
      </c>
    </row>
    <row r="1461" spans="1:1" x14ac:dyDescent="0.3">
      <c r="A1461" s="2">
        <f>627.897887506611*(1/3.6)</f>
        <v>174.41607986294758</v>
      </c>
    </row>
    <row r="1462" spans="1:1" x14ac:dyDescent="0.3">
      <c r="A1462" s="2">
        <f>630.526954007136*(1/3.6)</f>
        <v>175.14637611309337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101-B3D7-4D38-8454-3F6283C6B855}">
  <dimension ref="A1:D1462"/>
  <sheetViews>
    <sheetView workbookViewId="0"/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2">
        <f>104.992095492626*(1/3.6)</f>
        <v>29.16447097017398</v>
      </c>
      <c r="B2" s="2">
        <f>218.492727539979*(1/3.6)</f>
        <v>60.69242431666077</v>
      </c>
      <c r="C2" s="2">
        <f>142.859070243065*(1/3.6)</f>
        <v>39.68307506751799</v>
      </c>
      <c r="D2" s="2">
        <f t="shared" ref="D2:D65" si="0">0*(1/3.6)</f>
        <v>0</v>
      </c>
    </row>
    <row r="3" spans="1:4" x14ac:dyDescent="0.3">
      <c r="A3" s="2">
        <f>105.90487924339*(1/3.6)</f>
        <v>29.418022012052774</v>
      </c>
      <c r="B3" s="2">
        <f>219.384213855421*(1/3.6)</f>
        <v>60.940059404283637</v>
      </c>
      <c r="C3" s="2">
        <f>143.432632211388*(1/3.6)</f>
        <v>39.842397836496566</v>
      </c>
      <c r="D3" s="2">
        <f t="shared" si="0"/>
        <v>0</v>
      </c>
    </row>
    <row r="4" spans="1:4" x14ac:dyDescent="0.3">
      <c r="A4" s="2">
        <f>105.999618682454*(1/3.6)</f>
        <v>29.444338522903998</v>
      </c>
      <c r="B4" s="2">
        <f>219.180589810884*(1/3.6)</f>
        <v>60.88349716969006</v>
      </c>
      <c r="C4" s="2">
        <f>143.494105616256*(1/3.6)</f>
        <v>39.859473782293463</v>
      </c>
      <c r="D4" s="2">
        <f t="shared" si="0"/>
        <v>0</v>
      </c>
    </row>
    <row r="5" spans="1:4" x14ac:dyDescent="0.3">
      <c r="A5" s="2">
        <f>106.024310728555*(1/3.6)</f>
        <v>29.451197424598476</v>
      </c>
      <c r="B5" s="2">
        <f>218.88283836054*(1/3.6)</f>
        <v>60.800788433483227</v>
      </c>
      <c r="C5" s="2">
        <f>143.511503125852*(1/3.6)</f>
        <v>39.8643064238479</v>
      </c>
      <c r="D5" s="2">
        <f t="shared" si="0"/>
        <v>0</v>
      </c>
    </row>
    <row r="6" spans="1:4" x14ac:dyDescent="0.3">
      <c r="A6" s="2">
        <f>105.863624476103*(1/3.6)</f>
        <v>29.406562354473042</v>
      </c>
      <c r="B6" s="2">
        <f>218.337217524698*(1/3.6)</f>
        <v>60.649227090193811</v>
      </c>
      <c r="C6" s="2">
        <f>143.412208683628*(1/3.6)</f>
        <v>39.836724634341074</v>
      </c>
      <c r="D6" s="2">
        <f t="shared" si="0"/>
        <v>0</v>
      </c>
    </row>
    <row r="7" spans="1:4" x14ac:dyDescent="0.3">
      <c r="A7" s="2">
        <f>106.134446202625*(1/3.6)</f>
        <v>29.481790611840179</v>
      </c>
      <c r="B7" s="2">
        <f>218.368201612112*(1/3.6)</f>
        <v>60.657833781142216</v>
      </c>
      <c r="C7" s="2">
        <f>143.584613545394*(1/3.6)</f>
        <v>39.884614873720508</v>
      </c>
      <c r="D7" s="2">
        <f t="shared" si="0"/>
        <v>0</v>
      </c>
    </row>
    <row r="8" spans="1:4" x14ac:dyDescent="0.3">
      <c r="A8" s="2">
        <f>105.838815592465*(1/3.6)</f>
        <v>29.399670997906906</v>
      </c>
      <c r="B8" s="2">
        <f>217.643030710968*(1/3.6)</f>
        <v>60.456397419713319</v>
      </c>
      <c r="C8" s="2">
        <f>143.40028896536*(1/3.6)</f>
        <v>39.833413601488942</v>
      </c>
      <c r="D8" s="2">
        <f t="shared" si="0"/>
        <v>0</v>
      </c>
    </row>
    <row r="9" spans="1:4" x14ac:dyDescent="0.3">
      <c r="A9" s="2">
        <f>105.937787790827*(1/3.6)</f>
        <v>29.427163275229759</v>
      </c>
      <c r="B9" s="2">
        <f>217.444104831219*(1/3.6)</f>
        <v>60.401140230894043</v>
      </c>
      <c r="C9" s="2">
        <f>143.464404649955*(1/3.6)</f>
        <v>39.851223513876484</v>
      </c>
      <c r="D9" s="2">
        <f t="shared" si="0"/>
        <v>0</v>
      </c>
    </row>
    <row r="10" spans="1:4" x14ac:dyDescent="0.3">
      <c r="A10" s="2">
        <f>105.96669282234*(1/3.6)</f>
        <v>29.435192450650096</v>
      </c>
      <c r="B10" s="2">
        <f>217.151754157161*(1/3.6)</f>
        <v>60.319931710322543</v>
      </c>
      <c r="C10" s="2">
        <f>143.484448921386*(1/3.6)</f>
        <v>39.856791367051635</v>
      </c>
      <c r="D10" s="2">
        <f t="shared" si="0"/>
        <v>0</v>
      </c>
    </row>
    <row r="11" spans="1:4" x14ac:dyDescent="0.3">
      <c r="A11" s="2">
        <f>105.77223211828*(1/3.6)</f>
        <v>29.381175588410986</v>
      </c>
      <c r="B11" s="2">
        <f>216.563133409429*(1/3.6)</f>
        <v>60.156425947063703</v>
      </c>
      <c r="C11" s="2">
        <f>143.363946564827*(1/3.6)</f>
        <v>39.823318490229667</v>
      </c>
      <c r="D11" s="2">
        <f t="shared" si="0"/>
        <v>0</v>
      </c>
    </row>
    <row r="12" spans="1:4" x14ac:dyDescent="0.3">
      <c r="A12" s="2">
        <f>106.784976781102*(1/3.6)</f>
        <v>29.662493550306227</v>
      </c>
      <c r="B12" s="2">
        <f>217.577758761184*(1/3.6)</f>
        <v>60.438266322551087</v>
      </c>
      <c r="C12" s="2">
        <f>144.005461638711*(1/3.6)</f>
        <v>40.001517121864218</v>
      </c>
      <c r="D12" s="2">
        <f t="shared" si="0"/>
        <v>0</v>
      </c>
    </row>
    <row r="13" spans="1:4" x14ac:dyDescent="0.3">
      <c r="A13" s="2">
        <f>105.788932541926*(1/3.6)</f>
        <v>29.385814594979479</v>
      </c>
      <c r="B13" s="2">
        <f>215.924280694324*(1/3.6)</f>
        <v>59.978966859534516</v>
      </c>
      <c r="C13" s="2">
        <f>143.378125408912*(1/3.6)</f>
        <v>39.827257058031016</v>
      </c>
      <c r="D13" s="2">
        <f t="shared" si="0"/>
        <v>0</v>
      </c>
    </row>
    <row r="14" spans="1:4" x14ac:dyDescent="0.3">
      <c r="A14" s="2">
        <f>106.150273875403*(1/3.6)</f>
        <v>29.486187187612057</v>
      </c>
      <c r="B14" s="2">
        <f>216.071054052157*(1/3.6)</f>
        <v>60.019737236710377</v>
      </c>
      <c r="C14" s="2">
        <f>143.607562721476*(1/3.6)</f>
        <v>39.890989644854542</v>
      </c>
      <c r="D14" s="2">
        <f t="shared" si="0"/>
        <v>0</v>
      </c>
    </row>
    <row r="15" spans="1:4" x14ac:dyDescent="0.3">
      <c r="A15" s="2">
        <f>106.417571113433*(1/3.6)</f>
        <v>29.560436420398052</v>
      </c>
      <c r="B15" s="2">
        <f>216.093255573117*(1/3.6)</f>
        <v>60.025904325865888</v>
      </c>
      <c r="C15" s="2">
        <f>143.778284684184*(1/3.6)</f>
        <v>39.938412412273358</v>
      </c>
      <c r="D15" s="2">
        <f t="shared" si="0"/>
        <v>0</v>
      </c>
    </row>
    <row r="16" spans="1:4" x14ac:dyDescent="0.3">
      <c r="A16" s="2">
        <f>106.373596223182*(1/3.6)</f>
        <v>29.548221173106199</v>
      </c>
      <c r="B16" s="2">
        <f>215.703368726919*(1/3.6)</f>
        <v>59.917602424144171</v>
      </c>
      <c r="C16" s="2">
        <f>143.752334936469*(1/3.6)</f>
        <v>39.931204149019273</v>
      </c>
      <c r="D16" s="2">
        <f t="shared" si="0"/>
        <v>0</v>
      </c>
    </row>
    <row r="17" spans="1:4" x14ac:dyDescent="0.3">
      <c r="A17" s="2">
        <f>106.015826482168*(1/3.6)</f>
        <v>29.448840689491224</v>
      </c>
      <c r="B17" s="2">
        <f>214.900369452889*(1/3.6)</f>
        <v>59.694547070246998</v>
      </c>
      <c r="C17" s="2">
        <f>143.528333997065*(1/3.6)</f>
        <v>39.868981665851472</v>
      </c>
      <c r="D17" s="2">
        <f t="shared" si="0"/>
        <v>0</v>
      </c>
    </row>
    <row r="18" spans="1:4" x14ac:dyDescent="0.3">
      <c r="A18" s="2">
        <f>105.573625540567*(1/3.6)</f>
        <v>29.326007094601852</v>
      </c>
      <c r="B18" s="2">
        <f>213.989618251139*(1/3.6)</f>
        <v>59.441560625316377</v>
      </c>
      <c r="C18" s="2">
        <f>143.252053046664*(1/3.6)</f>
        <v>39.792236957406693</v>
      </c>
      <c r="D18" s="2">
        <f t="shared" si="0"/>
        <v>0</v>
      </c>
    </row>
    <row r="19" spans="1:4" x14ac:dyDescent="0.3">
      <c r="A19" s="2">
        <f>106.052060591949*(1/3.6)</f>
        <v>29.458905719985843</v>
      </c>
      <c r="B19" s="2">
        <f>214.285880388192*(1/3.6)</f>
        <v>59.523855663386698</v>
      </c>
      <c r="C19" s="2">
        <f>143.554874748966*(1/3.6)</f>
        <v>39.876354096935138</v>
      </c>
      <c r="D19" s="2">
        <f t="shared" si="0"/>
        <v>0</v>
      </c>
    </row>
    <row r="20" spans="1:4" x14ac:dyDescent="0.3">
      <c r="A20" s="2">
        <f>106.783466834795*(1/3.6)</f>
        <v>29.662074120776438</v>
      </c>
      <c r="B20" s="2">
        <f>214.915664472565*(1/3.6)</f>
        <v>59.69879568682348</v>
      </c>
      <c r="C20" s="2">
        <f>144.019506967769*(1/3.6)</f>
        <v>40.005418602158016</v>
      </c>
      <c r="D20" s="2">
        <f t="shared" si="0"/>
        <v>0</v>
      </c>
    </row>
    <row r="21" spans="1:4" x14ac:dyDescent="0.3">
      <c r="A21" s="2">
        <f>106.360147144368*(1/3.6)</f>
        <v>29.5444853178799</v>
      </c>
      <c r="B21" s="2">
        <f>214.027116079388*(1/3.6)</f>
        <v>59.451976688718972</v>
      </c>
      <c r="C21" s="2">
        <f>143.753136461712*(1/3.6)</f>
        <v>39.931426794919936</v>
      </c>
      <c r="D21" s="2">
        <f t="shared" si="0"/>
        <v>0</v>
      </c>
    </row>
    <row r="22" spans="1:4" x14ac:dyDescent="0.3">
      <c r="A22" s="2">
        <f>106.114513096894*(1/3.6)</f>
        <v>29.476253638026233</v>
      </c>
      <c r="B22" s="2">
        <f>213.374130670703*(1/3.6)</f>
        <v>59.27059185297302</v>
      </c>
      <c r="C22" s="2">
        <f>143.599822893592*(1/3.6)</f>
        <v>39.888839692664433</v>
      </c>
      <c r="D22" s="2">
        <f t="shared" si="0"/>
        <v>0</v>
      </c>
    </row>
    <row r="23" spans="1:4" x14ac:dyDescent="0.3">
      <c r="A23" s="2">
        <f>106.803347761124*(1/3.6)</f>
        <v>29.667596600312173</v>
      </c>
      <c r="B23" s="2">
        <f>213.944017022894*(1/3.6)</f>
        <v>59.428893617470628</v>
      </c>
      <c r="C23" s="2">
        <f>144.037761241931*(1/3.6)</f>
        <v>40.010489233869677</v>
      </c>
      <c r="D23" s="2">
        <f t="shared" si="0"/>
        <v>0</v>
      </c>
    </row>
    <row r="24" spans="1:4" x14ac:dyDescent="0.3">
      <c r="A24" s="2">
        <f>106.72744532491*(1/3.6)</f>
        <v>29.646512590252758</v>
      </c>
      <c r="B24" s="2">
        <f>213.511986996003*(1/3.6)</f>
        <v>59.308885276667489</v>
      </c>
      <c r="C24" s="2">
        <f>143.991446575861*(1/3.6)</f>
        <v>39.997624048850163</v>
      </c>
      <c r="D24" s="2">
        <f t="shared" si="0"/>
        <v>0</v>
      </c>
    </row>
    <row r="25" spans="1:4" x14ac:dyDescent="0.3">
      <c r="A25" s="2">
        <f>106.695394206491*(1/3.6)</f>
        <v>29.637609501803166</v>
      </c>
      <c r="B25" s="2">
        <f>213.137600237409*(1/3.6)</f>
        <v>59.20488895483593</v>
      </c>
      <c r="C25" s="2">
        <f>143.972980553029*(1/3.6)</f>
        <v>39.992494598063558</v>
      </c>
      <c r="D25" s="2">
        <f t="shared" si="0"/>
        <v>0</v>
      </c>
    </row>
    <row r="26" spans="1:4" x14ac:dyDescent="0.3">
      <c r="A26" s="2">
        <f>110.682615268705*(1/3.6)</f>
        <v>30.745170907973488</v>
      </c>
      <c r="B26" s="2">
        <f>218.0900392628*(1/3.6)</f>
        <v>60.580566461888878</v>
      </c>
      <c r="C26" s="2">
        <f>146.551228482719*(1/3.6)</f>
        <v>40.708674578533142</v>
      </c>
      <c r="D26" s="2">
        <f t="shared" si="0"/>
        <v>0</v>
      </c>
    </row>
    <row r="27" spans="1:4" x14ac:dyDescent="0.3">
      <c r="A27" s="2">
        <f>107.260395453624*(1/3.6)</f>
        <v>29.794554292673354</v>
      </c>
      <c r="B27" s="2">
        <f>213.210414857535*(1/3.6)</f>
        <v>59.225115238204182</v>
      </c>
      <c r="C27" s="2">
        <f>144.336223769496*(1/3.6)</f>
        <v>40.093395491526735</v>
      </c>
      <c r="D27" s="2">
        <f t="shared" si="0"/>
        <v>0</v>
      </c>
    </row>
    <row r="28" spans="1:4" x14ac:dyDescent="0.3">
      <c r="A28" s="2">
        <f>106.841753329439*(1/3.6)</f>
        <v>29.678264813732948</v>
      </c>
      <c r="B28" s="2">
        <f>212.330710624502*(1/3.6)</f>
        <v>58.980752951250651</v>
      </c>
      <c r="C28" s="2">
        <f>144.071552067739*(1/3.6)</f>
        <v>40.019875574371902</v>
      </c>
      <c r="D28" s="2">
        <f t="shared" si="0"/>
        <v>0</v>
      </c>
    </row>
    <row r="29" spans="1:4" x14ac:dyDescent="0.3">
      <c r="A29" s="2">
        <f>106.576692000422*(1/3.6)</f>
        <v>29.604636666783751</v>
      </c>
      <c r="B29" s="2">
        <f>211.653649698885*(1/3.6)</f>
        <v>58.792680471912576</v>
      </c>
      <c r="C29" s="2">
        <f>143.905180151956*(1/3.6)</f>
        <v>39.973661153321181</v>
      </c>
      <c r="D29" s="2">
        <f t="shared" si="0"/>
        <v>0</v>
      </c>
    </row>
    <row r="30" spans="1:4" x14ac:dyDescent="0.3">
      <c r="A30" s="2">
        <f>106.906686277625*(1/3.6)</f>
        <v>29.696301743784645</v>
      </c>
      <c r="B30" s="2">
        <f>211.749471724794*(1/3.6)</f>
        <v>58.819297701331678</v>
      </c>
      <c r="C30" s="2">
        <f>144.116593499019*(1/3.6)</f>
        <v>40.032387083060847</v>
      </c>
      <c r="D30" s="2">
        <f t="shared" si="0"/>
        <v>0</v>
      </c>
    </row>
    <row r="31" spans="1:4" x14ac:dyDescent="0.3">
      <c r="A31" s="2">
        <f>106.354221834356*(1/3.6)</f>
        <v>29.542839398432296</v>
      </c>
      <c r="B31" s="2">
        <f>210.701611670503*(1/3.6)</f>
        <v>58.528225464028544</v>
      </c>
      <c r="C31" s="2">
        <f>143.768009236915*(1/3.6)</f>
        <v>39.935558121365204</v>
      </c>
      <c r="D31" s="2">
        <f t="shared" si="0"/>
        <v>0</v>
      </c>
    </row>
    <row r="32" spans="1:4" x14ac:dyDescent="0.3">
      <c r="A32" s="2">
        <f>106.759445795391*(1/3.6)</f>
        <v>29.655401609830854</v>
      </c>
      <c r="B32" s="2">
        <f>210.893044914513*(1/3.6)</f>
        <v>58.581401365142447</v>
      </c>
      <c r="C32" s="2">
        <f>144.026771918121*(1/3.6)</f>
        <v>40.007436643922532</v>
      </c>
      <c r="D32" s="2">
        <f t="shared" si="0"/>
        <v>0</v>
      </c>
    </row>
    <row r="33" spans="1:4" x14ac:dyDescent="0.3">
      <c r="A33" s="2">
        <f>107.508978399891*(1/3.6)</f>
        <v>29.863605111080801</v>
      </c>
      <c r="B33" s="2">
        <f>211.531268367776*(1/3.6)</f>
        <v>58.758685657715539</v>
      </c>
      <c r="C33" s="2">
        <f>144.506401598688*(1/3.6)</f>
        <v>40.14066711074674</v>
      </c>
      <c r="D33" s="2">
        <f t="shared" si="0"/>
        <v>0</v>
      </c>
    </row>
    <row r="34" spans="1:4" x14ac:dyDescent="0.3">
      <c r="A34" s="2">
        <f>107.372303421506*(1/3.6)</f>
        <v>29.825639839307264</v>
      </c>
      <c r="B34" s="2">
        <f>211.019900201428*(1/3.6)</f>
        <v>58.616638944840979</v>
      </c>
      <c r="C34" s="2">
        <f>144.420938258717*(1/3.6)</f>
        <v>40.116927294088107</v>
      </c>
      <c r="D34" s="2">
        <f t="shared" si="0"/>
        <v>0</v>
      </c>
    </row>
    <row r="35" spans="1:4" x14ac:dyDescent="0.3">
      <c r="A35" s="2">
        <f>106.643464360669*(1/3.6)</f>
        <v>29.623184544630256</v>
      </c>
      <c r="B35" s="2">
        <f>209.745785636689*(1/3.6)</f>
        <v>58.26271823241354</v>
      </c>
      <c r="C35" s="2">
        <f>143.958764016998*(1/3.6)</f>
        <v>39.988545560277281</v>
      </c>
      <c r="D35" s="2">
        <f t="shared" si="0"/>
        <v>0</v>
      </c>
    </row>
    <row r="36" spans="1:4" x14ac:dyDescent="0.3">
      <c r="A36" s="2">
        <f>106.385203873255*(1/3.6)</f>
        <v>29.551445520348725</v>
      </c>
      <c r="B36" s="2">
        <f>209.082001407103*(1/3.6)</f>
        <v>58.078333724195367</v>
      </c>
      <c r="C36" s="2">
        <f>143.796936798967*(1/3.6)</f>
        <v>39.9435935552685</v>
      </c>
      <c r="D36" s="2">
        <f t="shared" si="0"/>
        <v>0</v>
      </c>
    </row>
    <row r="37" spans="1:4" x14ac:dyDescent="0.3">
      <c r="A37" s="2">
        <f>106.058332515645*(1/3.6)</f>
        <v>29.460647921012526</v>
      </c>
      <c r="B37" s="2">
        <f>208.332342714439*(1/3.6)</f>
        <v>57.870095198455168</v>
      </c>
      <c r="C37" s="2">
        <f>143.59216518074*(1/3.6)</f>
        <v>39.886712550205516</v>
      </c>
      <c r="D37" s="2">
        <f t="shared" si="0"/>
        <v>0</v>
      </c>
    </row>
    <row r="38" spans="1:4" x14ac:dyDescent="0.3">
      <c r="A38" s="2">
        <f>105.37629647501*(1/3.6)</f>
        <v>29.271193465280529</v>
      </c>
      <c r="B38" s="2">
        <f>207.134400246876*(1/3.6)</f>
        <v>57.537333401909876</v>
      </c>
      <c r="C38" s="2">
        <f>143.164879940518*(1/3.6)</f>
        <v>39.768022205699332</v>
      </c>
      <c r="D38" s="2">
        <f t="shared" si="0"/>
        <v>0</v>
      </c>
    </row>
    <row r="39" spans="1:4" x14ac:dyDescent="0.3">
      <c r="A39" s="2">
        <f>105.279227088478*(1/3.6)</f>
        <v>29.244229746799441</v>
      </c>
      <c r="B39" s="2">
        <f>206.681664931914*(1/3.6)</f>
        <v>57.411573592198273</v>
      </c>
      <c r="C39" s="2">
        <f>143.10585560458*(1/3.6)</f>
        <v>39.751626556827858</v>
      </c>
      <c r="D39" s="2">
        <f t="shared" si="0"/>
        <v>0</v>
      </c>
    </row>
    <row r="40" spans="1:4" x14ac:dyDescent="0.3">
      <c r="A40" s="2">
        <f>106.473333476795*(1/3.6)</f>
        <v>29.575925965776495</v>
      </c>
      <c r="B40" s="2">
        <f>207.866374421579*(1/3.6)</f>
        <v>57.740659561549741</v>
      </c>
      <c r="C40" s="2">
        <f>143.860226348784*(1/3.6)</f>
        <v>39.961173985773286</v>
      </c>
      <c r="D40" s="2">
        <f t="shared" si="0"/>
        <v>0</v>
      </c>
    </row>
    <row r="41" spans="1:4" x14ac:dyDescent="0.3">
      <c r="A41" s="2">
        <f>111.945154379285*(1/3.6)</f>
        <v>31.095876216468177</v>
      </c>
      <c r="B41" s="2">
        <f>214.648811684404*(1/3.6)</f>
        <v>59.624669912334475</v>
      </c>
      <c r="C41" s="2">
        <f>147.416828289298*(1/3.6)</f>
        <v>40.94911896924944</v>
      </c>
      <c r="D41" s="2">
        <f t="shared" si="0"/>
        <v>0</v>
      </c>
    </row>
    <row r="42" spans="1:4" x14ac:dyDescent="0.3">
      <c r="A42" s="2">
        <f>112.617396259492*(1/3.6)</f>
        <v>31.282610072081084</v>
      </c>
      <c r="B42" s="2">
        <f>215.198744103885*(1/3.6)</f>
        <v>59.777428917745716</v>
      </c>
      <c r="C42" s="2">
        <f>147.867336261164*(1/3.6)</f>
        <v>41.074260072545492</v>
      </c>
      <c r="D42" s="2">
        <f t="shared" si="0"/>
        <v>0</v>
      </c>
    </row>
    <row r="43" spans="1:4" x14ac:dyDescent="0.3">
      <c r="A43" s="2">
        <f>112.975104560879*(1/3.6)</f>
        <v>31.381973489133017</v>
      </c>
      <c r="B43" s="2">
        <f>215.330368724365*(1/3.6)</f>
        <v>59.813991312323481</v>
      </c>
      <c r="C43" s="2">
        <f>148.109078563138*(1/3.6)</f>
        <v>41.141410711982886</v>
      </c>
      <c r="D43" s="2">
        <f t="shared" si="0"/>
        <v>0</v>
      </c>
    </row>
    <row r="44" spans="1:4" x14ac:dyDescent="0.3">
      <c r="A44" s="2">
        <f>112.434374599493*(1/3.6)</f>
        <v>31.231770722081478</v>
      </c>
      <c r="B44" s="2">
        <f>214.26632734637*(1/3.6)</f>
        <v>59.518424262880451</v>
      </c>
      <c r="C44" s="2">
        <f>147.749155223589*(1/3.6)</f>
        <v>41.041432006552398</v>
      </c>
      <c r="D44" s="2">
        <f t="shared" si="0"/>
        <v>0</v>
      </c>
    </row>
    <row r="45" spans="1:4" x14ac:dyDescent="0.3">
      <c r="A45" s="2">
        <f>112.46885852878*(1/3.6)</f>
        <v>31.24134959132785</v>
      </c>
      <c r="B45" s="2">
        <f>213.967584157775*(1/3.6)</f>
        <v>59.435440043826482</v>
      </c>
      <c r="C45" s="2">
        <f>147.774275299662*(1/3.6)</f>
        <v>41.048409805461674</v>
      </c>
      <c r="D45" s="2">
        <f t="shared" si="0"/>
        <v>0</v>
      </c>
    </row>
    <row r="46" spans="1:4" x14ac:dyDescent="0.3">
      <c r="A46" s="2">
        <f>112.832172265464*(1/3.6)</f>
        <v>31.34227007373994</v>
      </c>
      <c r="B46" s="2">
        <f>214.104144045107*(1/3.6)</f>
        <v>59.473373345863067</v>
      </c>
      <c r="C46" s="2">
        <f>148.019514884821*(1/3.6)</f>
        <v>41.116531912450192</v>
      </c>
      <c r="D46" s="2">
        <f t="shared" si="0"/>
        <v>0</v>
      </c>
    </row>
    <row r="47" spans="1:4" x14ac:dyDescent="0.3">
      <c r="A47" s="2">
        <f>111.969185952766*(1/3.6)</f>
        <v>31.102551653546168</v>
      </c>
      <c r="B47" s="2">
        <f>212.620136518361*(1/3.6)</f>
        <v>59.061149032878141</v>
      </c>
      <c r="C47" s="2">
        <f>147.445194440971*(1/3.6)</f>
        <v>40.956998455825286</v>
      </c>
      <c r="D47" s="2">
        <f t="shared" si="0"/>
        <v>0</v>
      </c>
    </row>
    <row r="48" spans="1:4" x14ac:dyDescent="0.3">
      <c r="A48" s="2">
        <f>112.676509661226*(1/3.6)</f>
        <v>31.299030461451792</v>
      </c>
      <c r="B48" s="2">
        <f>213.207984619445*(1/3.6)</f>
        <v>59.224440172068036</v>
      </c>
      <c r="C48" s="2">
        <f>147.919421742812*(1/3.6)</f>
        <v>41.088728261892101</v>
      </c>
      <c r="D48" s="2">
        <f t="shared" si="0"/>
        <v>0</v>
      </c>
    </row>
    <row r="49" spans="1:4" x14ac:dyDescent="0.3">
      <c r="A49" s="2">
        <f>112.590233835794*(1/3.6)</f>
        <v>31.275064954387304</v>
      </c>
      <c r="B49" s="2">
        <f>212.749339314632*(1/3.6)</f>
        <v>59.097038698508868</v>
      </c>
      <c r="C49" s="2">
        <f>147.863767233514*(1/3.6)</f>
        <v>41.073268675976244</v>
      </c>
      <c r="D49" s="2">
        <f t="shared" si="0"/>
        <v>0</v>
      </c>
    </row>
    <row r="50" spans="1:4" x14ac:dyDescent="0.3">
      <c r="A50" s="2">
        <f>112.593684360603*(1/3.6)</f>
        <v>31.27602343350074</v>
      </c>
      <c r="B50" s="2">
        <f>212.409078183402*(1/3.6)</f>
        <v>59.002521717611636</v>
      </c>
      <c r="C50" s="2">
        <f>147.868162270734*(1/3.6)</f>
        <v>41.074489519648253</v>
      </c>
      <c r="D50" s="2">
        <f t="shared" si="0"/>
        <v>0</v>
      </c>
    </row>
    <row r="51" spans="1:4" x14ac:dyDescent="0.3">
      <c r="A51" s="2">
        <f>112.192733802267*(1/3.6)</f>
        <v>31.164648278407544</v>
      </c>
      <c r="B51" s="2">
        <f>211.538571474148*(1/3.6)</f>
        <v>58.760714298374367</v>
      </c>
      <c r="C51" s="2">
        <f>147.602400415709*(1/3.6)</f>
        <v>41.000666782141366</v>
      </c>
      <c r="D51" s="2">
        <f t="shared" si="0"/>
        <v>0</v>
      </c>
    </row>
    <row r="52" spans="1:4" x14ac:dyDescent="0.3">
      <c r="A52" s="2">
        <f>106.963622422406*(1/3.6)</f>
        <v>29.712117339557157</v>
      </c>
      <c r="B52" s="2">
        <f>204.493751860247*(1/3.6)</f>
        <v>56.803819961179826</v>
      </c>
      <c r="C52" s="2">
        <f>144.194296228009*(1/3.6)</f>
        <v>40.053971174446971</v>
      </c>
      <c r="D52" s="2">
        <f t="shared" si="0"/>
        <v>0</v>
      </c>
    </row>
    <row r="53" spans="1:4" x14ac:dyDescent="0.3">
      <c r="A53" s="2">
        <f>106.136284466067*(1/3.6)</f>
        <v>29.482301240574188</v>
      </c>
      <c r="B53" s="2">
        <f>203.126829253312*(1/3.6)</f>
        <v>56.424119237031228</v>
      </c>
      <c r="C53" s="2">
        <f>143.671103212124*(1/3.6)</f>
        <v>39.908639781145574</v>
      </c>
      <c r="D53" s="2">
        <f t="shared" si="0"/>
        <v>0</v>
      </c>
    </row>
    <row r="54" spans="1:4" x14ac:dyDescent="0.3">
      <c r="A54" s="2">
        <f>105.175468170167*(1/3.6)</f>
        <v>29.215407825046437</v>
      </c>
      <c r="B54" s="2">
        <f>201.605398109045*(1/3.6)</f>
        <v>56.001499474734615</v>
      </c>
      <c r="C54" s="2">
        <f>143.068230848098*(1/3.6)</f>
        <v>39.741175235582737</v>
      </c>
      <c r="D54" s="2">
        <f t="shared" si="0"/>
        <v>0</v>
      </c>
    </row>
    <row r="55" spans="1:4" x14ac:dyDescent="0.3">
      <c r="A55" s="2">
        <f>105.656881389345*(1/3.6)</f>
        <v>29.349133719262451</v>
      </c>
      <c r="B55" s="2">
        <f>201.869630844999*(1/3.6)</f>
        <v>56.07489745694415</v>
      </c>
      <c r="C55" s="2">
        <f>143.37238316284*(1/3.6)</f>
        <v>39.825661989677705</v>
      </c>
      <c r="D55" s="2">
        <f t="shared" si="0"/>
        <v>0</v>
      </c>
    </row>
    <row r="56" spans="1:4" x14ac:dyDescent="0.3">
      <c r="A56" s="2">
        <f>105.646116754924*(1/3.6)</f>
        <v>29.346143543034433</v>
      </c>
      <c r="B56" s="2">
        <f>201.525609361007*(1/3.6)</f>
        <v>55.979335933612973</v>
      </c>
      <c r="C56" s="2">
        <f>143.367449679865*(1/3.6)</f>
        <v>39.824291577740141</v>
      </c>
      <c r="D56" s="2">
        <f t="shared" si="0"/>
        <v>0</v>
      </c>
    </row>
    <row r="57" spans="1:4" x14ac:dyDescent="0.3">
      <c r="A57" s="2">
        <f>105.158734649*(1/3.6)</f>
        <v>29.210759624722101</v>
      </c>
      <c r="B57" s="2">
        <f>200.595514225367*(1/3.6)</f>
        <v>55.720976173713183</v>
      </c>
      <c r="C57" s="2">
        <f>143.063222245699*(1/3.6)</f>
        <v>39.739783957138727</v>
      </c>
      <c r="D57" s="2">
        <f t="shared" si="0"/>
        <v>0</v>
      </c>
    </row>
    <row r="58" spans="1:4" x14ac:dyDescent="0.3">
      <c r="A58" s="2">
        <f>105.89305523378*(1/3.6)</f>
        <v>29.414737564939013</v>
      </c>
      <c r="B58" s="2">
        <f>201.16825242325*(1/3.6)</f>
        <v>55.880070117569431</v>
      </c>
      <c r="C58" s="2">
        <f>143.526757413663*(1/3.6)</f>
        <v>39.868543726017442</v>
      </c>
      <c r="D58" s="2">
        <f t="shared" si="0"/>
        <v>0</v>
      </c>
    </row>
    <row r="59" spans="1:4" x14ac:dyDescent="0.3">
      <c r="A59" s="2">
        <f>106.336133673244*(1/3.6)</f>
        <v>29.53781490923447</v>
      </c>
      <c r="B59" s="2">
        <f>201.383320737165*(1/3.6)</f>
        <v>55.939811315879268</v>
      </c>
      <c r="C59" s="2">
        <f>143.808765552563*(1/3.6)</f>
        <v>39.946879320156413</v>
      </c>
      <c r="D59" s="2">
        <f t="shared" si="0"/>
        <v>0</v>
      </c>
    </row>
    <row r="60" spans="1:4" x14ac:dyDescent="0.3">
      <c r="A60" s="2">
        <f>105.275930849294*(1/3.6)</f>
        <v>29.243314124803877</v>
      </c>
      <c r="B60" s="2">
        <f>199.749373476809*(1/3.6)</f>
        <v>55.485937076891524</v>
      </c>
      <c r="C60" s="2">
        <f>143.142178307497*(1/3.6)</f>
        <v>39.76171619652682</v>
      </c>
      <c r="D60" s="2">
        <f t="shared" si="0"/>
        <v>0</v>
      </c>
    </row>
    <row r="61" spans="1:4" x14ac:dyDescent="0.3">
      <c r="A61" s="2">
        <f>106.23001551373*(1/3.6)</f>
        <v>29.508337642702667</v>
      </c>
      <c r="B61" s="2">
        <f>200.58844411963*(1/3.6)</f>
        <v>55.719012255452803</v>
      </c>
      <c r="C61" s="2">
        <f>143.745287137918*(1/3.6)</f>
        <v>39.929246427199544</v>
      </c>
      <c r="D61" s="2">
        <f t="shared" si="0"/>
        <v>0</v>
      </c>
    </row>
    <row r="62" spans="1:4" x14ac:dyDescent="0.3">
      <c r="A62" s="2">
        <f>105.808625187774*(1/3.6)</f>
        <v>29.391284774381631</v>
      </c>
      <c r="B62" s="2">
        <f>199.739851729624*(1/3.6)</f>
        <v>55.483292147117851</v>
      </c>
      <c r="C62" s="2">
        <f>143.480900466377*(1/3.6)</f>
        <v>39.85580568510462</v>
      </c>
      <c r="D62" s="2">
        <f t="shared" si="0"/>
        <v>0</v>
      </c>
    </row>
    <row r="63" spans="1:4" x14ac:dyDescent="0.3">
      <c r="A63" s="2">
        <f>105.843710455023*(1/3.6)</f>
        <v>29.401030681950946</v>
      </c>
      <c r="B63" s="2">
        <f>199.451612348933*(1/3.6)</f>
        <v>55.403225652481289</v>
      </c>
      <c r="C63" s="2">
        <f>143.504878142235*(1/3.6)</f>
        <v>39.862466150620889</v>
      </c>
      <c r="D63" s="2">
        <f t="shared" si="0"/>
        <v>0</v>
      </c>
    </row>
    <row r="64" spans="1:4" x14ac:dyDescent="0.3">
      <c r="A64" s="2">
        <f>106.02639804139*(1/3.6)</f>
        <v>29.451777233719483</v>
      </c>
      <c r="B64" s="2">
        <f>199.343516375394*(1/3.6)</f>
        <v>55.373198993165126</v>
      </c>
      <c r="C64" s="2">
        <f>143.622078153435*(1/3.6)</f>
        <v>39.895021709287633</v>
      </c>
      <c r="D64" s="2">
        <f t="shared" si="0"/>
        <v>0</v>
      </c>
    </row>
    <row r="65" spans="1:4" x14ac:dyDescent="0.3">
      <c r="A65" s="2">
        <f>105.866721043992*(1/3.6)</f>
        <v>29.407422512219977</v>
      </c>
      <c r="B65" s="2">
        <f>198.817238199762*(1/3.6)</f>
        <v>55.22701061104501</v>
      </c>
      <c r="C65" s="2">
        <f>143.523097096082*(1/3.6)</f>
        <v>39.86752697113387</v>
      </c>
      <c r="D65" s="2">
        <f t="shared" si="0"/>
        <v>0</v>
      </c>
    </row>
    <row r="66" spans="1:4" x14ac:dyDescent="0.3">
      <c r="A66" s="2">
        <f>105.700050771185*(1/3.6)</f>
        <v>29.361125214218156</v>
      </c>
      <c r="B66" s="2">
        <f>198.283340888554*(1/3.6)</f>
        <v>55.078705802376035</v>
      </c>
      <c r="C66" s="2">
        <f>143.419850261642*(1/3.6)</f>
        <v>39.838847294900582</v>
      </c>
      <c r="D66" s="2">
        <f t="shared" ref="D66:D129" si="1">0*(1/3.6)</f>
        <v>0</v>
      </c>
    </row>
    <row r="67" spans="1:4" x14ac:dyDescent="0.3">
      <c r="A67" s="2">
        <f>105.960037152152*(1/3.6)</f>
        <v>29.433343653375516</v>
      </c>
      <c r="B67" s="2">
        <f>198.268071595421*(1/3.6)</f>
        <v>55.074464332061339</v>
      </c>
      <c r="C67" s="2">
        <f>143.585717491981*(1/3.6)</f>
        <v>39.884921525550311</v>
      </c>
      <c r="D67" s="2">
        <f t="shared" si="1"/>
        <v>0</v>
      </c>
    </row>
    <row r="68" spans="1:4" x14ac:dyDescent="0.3">
      <c r="A68" s="2">
        <f>106.052981241854*(1/3.6)</f>
        <v>29.459161456070557</v>
      </c>
      <c r="B68" s="2">
        <f>198.049425171978*(1/3.6)</f>
        <v>55.013729214438435</v>
      </c>
      <c r="C68" s="2">
        <f>143.646310052928*(1/3.6)</f>
        <v>39.901752792479869</v>
      </c>
      <c r="D68" s="2">
        <f t="shared" si="1"/>
        <v>0</v>
      </c>
    </row>
    <row r="69" spans="1:4" x14ac:dyDescent="0.3">
      <c r="A69" s="2">
        <f>113.394811686875*(1/3.6)</f>
        <v>31.498558801909589</v>
      </c>
      <c r="B69" s="2">
        <f t="shared" ref="B69:C71" si="2">0*(1/3.6)</f>
        <v>0</v>
      </c>
      <c r="C69" s="2">
        <f t="shared" si="2"/>
        <v>0</v>
      </c>
      <c r="D69" s="2">
        <f t="shared" si="1"/>
        <v>0</v>
      </c>
    </row>
    <row r="70" spans="1:4" x14ac:dyDescent="0.3">
      <c r="A70" s="2">
        <f>115.013545385776*(1/3.6)</f>
        <v>31.948207051604534</v>
      </c>
      <c r="B70" s="2">
        <f t="shared" si="2"/>
        <v>0</v>
      </c>
      <c r="C70" s="2">
        <f t="shared" si="2"/>
        <v>0</v>
      </c>
      <c r="D70" s="2">
        <f t="shared" si="1"/>
        <v>0</v>
      </c>
    </row>
    <row r="71" spans="1:4" x14ac:dyDescent="0.3">
      <c r="A71" s="2">
        <f>115.119665785212*(1/3.6)</f>
        <v>31.97768494033663</v>
      </c>
      <c r="B71" s="2">
        <f t="shared" si="2"/>
        <v>0</v>
      </c>
      <c r="C71" s="2">
        <f t="shared" si="2"/>
        <v>0</v>
      </c>
      <c r="D71" s="2">
        <f t="shared" si="1"/>
        <v>0</v>
      </c>
    </row>
    <row r="72" spans="1:4" x14ac:dyDescent="0.3">
      <c r="A72" s="2">
        <f>106.268085071503*(1/3.6)</f>
        <v>29.518912519861889</v>
      </c>
      <c r="B72" s="2">
        <f>196.982394950395*(1/3.6)</f>
        <v>54.717331930665253</v>
      </c>
      <c r="C72" s="2">
        <f>143.789909136051*(1/3.6)</f>
        <v>39.94164142668086</v>
      </c>
      <c r="D72" s="2">
        <f t="shared" si="1"/>
        <v>0</v>
      </c>
    </row>
    <row r="73" spans="1:4" x14ac:dyDescent="0.3">
      <c r="A73" s="2">
        <f>105.379576117237*(1/3.6)</f>
        <v>29.272104477010142</v>
      </c>
      <c r="B73" s="2">
        <f>195.582063621157*(1/3.6)</f>
        <v>54.328351005876854</v>
      </c>
      <c r="C73" s="2">
        <f>143.231075480267*(1/3.6)</f>
        <v>39.786409855629671</v>
      </c>
      <c r="D73" s="2">
        <f t="shared" si="1"/>
        <v>0</v>
      </c>
    </row>
    <row r="74" spans="1:4" x14ac:dyDescent="0.3">
      <c r="A74" s="2">
        <f>105.482142447037*(1/3.6)</f>
        <v>29.300595124176997</v>
      </c>
      <c r="B74" s="2">
        <f>195.374375312611*(1/3.6)</f>
        <v>54.270659809058685</v>
      </c>
      <c r="C74" s="2">
        <f>143.297399325178*(1/3.6)</f>
        <v>39.804833145882711</v>
      </c>
      <c r="D74" s="2">
        <f t="shared" si="1"/>
        <v>0</v>
      </c>
    </row>
    <row r="75" spans="1:4" x14ac:dyDescent="0.3">
      <c r="A75" s="2">
        <f>105.434642006022*(1/3.6)</f>
        <v>29.287400557228313</v>
      </c>
      <c r="B75" s="2">
        <f>194.987018423784*(1/3.6)</f>
        <v>54.163060673273286</v>
      </c>
      <c r="C75" s="2">
        <f>143.269362963008*(1/3.6)</f>
        <v>39.797045267502298</v>
      </c>
      <c r="D75" s="2">
        <f t="shared" si="1"/>
        <v>0</v>
      </c>
    </row>
    <row r="76" spans="1:4" x14ac:dyDescent="0.3">
      <c r="A76" s="2">
        <f>106.291793051481*(1/3.6)</f>
        <v>29.525498069855896</v>
      </c>
      <c r="B76" s="2">
        <f>195.682182879541*(1/3.6)</f>
        <v>54.356161910983509</v>
      </c>
      <c r="C76" s="2">
        <f>143.812402601204*(1/3.6)</f>
        <v>39.94788961144554</v>
      </c>
      <c r="D76" s="2">
        <f t="shared" si="1"/>
        <v>0</v>
      </c>
    </row>
    <row r="77" spans="1:4" x14ac:dyDescent="0.3">
      <c r="A77" s="2">
        <f>111.628087686802*(1/3.6)</f>
        <v>31.007802135222811</v>
      </c>
      <c r="B77" s="2">
        <f>201.883433470796*(1/3.6)</f>
        <v>56.07873151966546</v>
      </c>
      <c r="C77" s="2">
        <f t="shared" ref="C77:C82" si="3">0*(1/3.6)</f>
        <v>0</v>
      </c>
      <c r="D77" s="2">
        <f t="shared" si="1"/>
        <v>0</v>
      </c>
    </row>
    <row r="78" spans="1:4" x14ac:dyDescent="0.3">
      <c r="A78" s="2">
        <f>111.51325661955*(1/3.6)</f>
        <v>30.975904616541634</v>
      </c>
      <c r="B78" s="2">
        <f>201.397092656959*(1/3.6)</f>
        <v>55.943636849155389</v>
      </c>
      <c r="C78" s="2">
        <f t="shared" si="3"/>
        <v>0</v>
      </c>
      <c r="D78" s="2">
        <f t="shared" si="1"/>
        <v>0</v>
      </c>
    </row>
    <row r="79" spans="1:4" x14ac:dyDescent="0.3">
      <c r="A79" s="2">
        <f>112.60353028412*(1/3.6)</f>
        <v>31.278758412255645</v>
      </c>
      <c r="B79" s="2">
        <f>202.416320985836*(1/3.6)</f>
        <v>56.226755829398947</v>
      </c>
      <c r="C79" s="2">
        <f t="shared" si="3"/>
        <v>0</v>
      </c>
      <c r="D79" s="2">
        <f t="shared" si="1"/>
        <v>0</v>
      </c>
    </row>
    <row r="80" spans="1:4" x14ac:dyDescent="0.3">
      <c r="A80" s="2">
        <f>110.583665342569*(1/3.6)</f>
        <v>30.717684817380359</v>
      </c>
      <c r="B80" s="2">
        <f>199.560483114057*(1/3.6)</f>
        <v>55.433467531682439</v>
      </c>
      <c r="C80" s="2">
        <f t="shared" si="3"/>
        <v>0</v>
      </c>
      <c r="D80" s="2">
        <f t="shared" si="1"/>
        <v>0</v>
      </c>
    </row>
    <row r="81" spans="1:4" x14ac:dyDescent="0.3">
      <c r="A81" s="2">
        <f>110.071997687644*(1/3.6)</f>
        <v>30.57555491323453</v>
      </c>
      <c r="B81" s="2">
        <f>198.590564285901*(1/3.6)</f>
        <v>55.164045634972581</v>
      </c>
      <c r="C81" s="2">
        <f t="shared" si="3"/>
        <v>0</v>
      </c>
      <c r="D81" s="2">
        <f t="shared" si="1"/>
        <v>0</v>
      </c>
    </row>
    <row r="82" spans="1:4" x14ac:dyDescent="0.3">
      <c r="A82" s="2">
        <f>110.629243863644*(1/3.6)</f>
        <v>30.730345517678824</v>
      </c>
      <c r="B82" s="2">
        <f>198.934465625016*(1/3.6)</f>
        <v>55.259573784726662</v>
      </c>
      <c r="C82" s="2">
        <f t="shared" si="3"/>
        <v>0</v>
      </c>
      <c r="D82" s="2">
        <f t="shared" si="1"/>
        <v>0</v>
      </c>
    </row>
    <row r="83" spans="1:4" x14ac:dyDescent="0.3">
      <c r="A83" s="2">
        <f>110.683082082453*(1/3.6)</f>
        <v>30.745300578459183</v>
      </c>
      <c r="B83" s="2">
        <f>198.659435847913*(1/3.6)</f>
        <v>55.183176624420213</v>
      </c>
      <c r="C83" s="2">
        <f>146.666624479455*(1/3.6)</f>
        <v>40.740729022070717</v>
      </c>
      <c r="D83" s="2">
        <f t="shared" si="1"/>
        <v>0</v>
      </c>
    </row>
    <row r="84" spans="1:4" x14ac:dyDescent="0.3">
      <c r="A84" s="2">
        <f>109.817596567133*(1/3.6)</f>
        <v>30.504887935314695</v>
      </c>
      <c r="B84" s="2">
        <f>197.260379455656*(1/3.6)</f>
        <v>54.794549848793388</v>
      </c>
      <c r="C84" s="2">
        <f>146.099863630676*(1/3.6)</f>
        <v>40.58329545296548</v>
      </c>
      <c r="D84" s="2">
        <f t="shared" si="1"/>
        <v>0</v>
      </c>
    </row>
    <row r="85" spans="1:4" x14ac:dyDescent="0.3">
      <c r="A85" s="2">
        <f>107.165085276317*(1/3.6)</f>
        <v>29.768079243421443</v>
      </c>
      <c r="B85" s="2">
        <f>193.728127052272*(1/3.6)</f>
        <v>53.813368625631</v>
      </c>
      <c r="C85" s="2">
        <f>144.385361874494*(1/3.6)</f>
        <v>40.107044965137185</v>
      </c>
      <c r="D85" s="2">
        <f t="shared" si="1"/>
        <v>0</v>
      </c>
    </row>
    <row r="86" spans="1:4" x14ac:dyDescent="0.3">
      <c r="A86" s="2">
        <f>106.39951772877*(1/3.6)</f>
        <v>29.555421591325004</v>
      </c>
      <c r="B86" s="2">
        <f>192.486441971512*(1/3.6)</f>
        <v>53.46845610319766</v>
      </c>
      <c r="C86" s="2">
        <f>143.899449210166*(1/3.6)</f>
        <v>39.97206922504617</v>
      </c>
      <c r="D86" s="2">
        <f t="shared" si="1"/>
        <v>0</v>
      </c>
    </row>
    <row r="87" spans="1:4" x14ac:dyDescent="0.3">
      <c r="A87" s="2">
        <f>106.915502342875*(1/3.6)</f>
        <v>29.698750650798559</v>
      </c>
      <c r="B87" s="2">
        <f>192.763910984578*(1/3.6)</f>
        <v>53.545530829049397</v>
      </c>
      <c r="C87" s="2">
        <f>144.229741385726*(1/3.6)</f>
        <v>40.063817051590476</v>
      </c>
      <c r="D87" s="2">
        <f t="shared" si="1"/>
        <v>0</v>
      </c>
    </row>
    <row r="88" spans="1:4" x14ac:dyDescent="0.3">
      <c r="A88" s="2">
        <f>106.428879206765*(1/3.6)</f>
        <v>29.563577557434623</v>
      </c>
      <c r="B88" s="2">
        <f>191.855855634313*(1/3.6)</f>
        <v>53.293293231753637</v>
      </c>
      <c r="C88" s="2">
        <f>143.921842391767*(1/3.6)</f>
        <v>39.978289553268631</v>
      </c>
      <c r="D88" s="2">
        <f t="shared" si="1"/>
        <v>0</v>
      </c>
    </row>
    <row r="89" spans="1:4" x14ac:dyDescent="0.3">
      <c r="A89" s="2">
        <f>105.952221674241*(1/3.6)</f>
        <v>29.431172687289248</v>
      </c>
      <c r="B89" s="2">
        <f>190.963668473765*(1/3.6)</f>
        <v>53.045463464934691</v>
      </c>
      <c r="C89" s="2">
        <f>143.621612311385*(1/3.6)</f>
        <v>39.894892308717935</v>
      </c>
      <c r="D89" s="2">
        <f t="shared" si="1"/>
        <v>0</v>
      </c>
    </row>
    <row r="90" spans="1:4" x14ac:dyDescent="0.3">
      <c r="A90" s="2">
        <f>107.032557336531*(1/3.6)</f>
        <v>29.731265926814093</v>
      </c>
      <c r="B90" s="2">
        <f>191.901030095768*(1/3.6)</f>
        <v>53.30584169326886</v>
      </c>
      <c r="C90" s="2">
        <f>144.310150610436*(1/3.6)</f>
        <v>40.086152947343244</v>
      </c>
      <c r="D90" s="2">
        <f t="shared" si="1"/>
        <v>0</v>
      </c>
    </row>
    <row r="91" spans="1:4" x14ac:dyDescent="0.3">
      <c r="A91" s="2">
        <f>107.292457212813*(1/3.6)</f>
        <v>29.803460336892488</v>
      </c>
      <c r="B91" s="2">
        <f>191.873561966627*(1/3.6)</f>
        <v>53.298211657396273</v>
      </c>
      <c r="C91" s="2">
        <f>144.478279465985*(1/3.6)</f>
        <v>40.132855407217988</v>
      </c>
      <c r="D91" s="2">
        <f t="shared" si="1"/>
        <v>0</v>
      </c>
    </row>
    <row r="92" spans="1:4" x14ac:dyDescent="0.3">
      <c r="A92" s="2">
        <f>107.303270571513*(1/3.6)</f>
        <v>29.806464047642596</v>
      </c>
      <c r="B92" s="2">
        <f>191.551867321312*(1/3.6)</f>
        <v>53.208852033697667</v>
      </c>
      <c r="C92" s="2">
        <f>144.48710980642*(1/3.6)</f>
        <v>40.13530827956113</v>
      </c>
      <c r="D92" s="2">
        <f t="shared" si="1"/>
        <v>0</v>
      </c>
    </row>
    <row r="93" spans="1:4" x14ac:dyDescent="0.3">
      <c r="A93" s="2">
        <f>106.959824791119*(1/3.6)</f>
        <v>29.711062441977546</v>
      </c>
      <c r="B93" s="2">
        <f>190.813946531188*(1/3.6)</f>
        <v>53.003874036441189</v>
      </c>
      <c r="C93" s="2">
        <f>144.269384399234*(1/3.6)</f>
        <v>40.074828999787201</v>
      </c>
      <c r="D93" s="2">
        <f t="shared" si="1"/>
        <v>0</v>
      </c>
    </row>
    <row r="94" spans="1:4" x14ac:dyDescent="0.3">
      <c r="A94" s="2">
        <f>106.541784339825*(1/3.6)</f>
        <v>29.594940094395703</v>
      </c>
      <c r="B94" s="2">
        <f>189.991414640556*(1/3.6)</f>
        <v>52.775392955710061</v>
      </c>
      <c r="C94" s="2">
        <f>144.004866449152*(1/3.6)</f>
        <v>40.001351791431247</v>
      </c>
      <c r="D94" s="2">
        <f t="shared" si="1"/>
        <v>0</v>
      </c>
    </row>
    <row r="95" spans="1:4" x14ac:dyDescent="0.3">
      <c r="A95" s="2">
        <f>107.075738079986*(1/3.6)</f>
        <v>29.743260577773825</v>
      </c>
      <c r="B95" s="2">
        <f>190.281929716818*(1/3.6)</f>
        <v>52.856091588005114</v>
      </c>
      <c r="C95" s="2">
        <f>144.347228362525*(1/3.6)</f>
        <v>40.096452322923689</v>
      </c>
      <c r="D95" s="2">
        <f t="shared" si="1"/>
        <v>0</v>
      </c>
    </row>
    <row r="96" spans="1:4" x14ac:dyDescent="0.3">
      <c r="A96" s="2">
        <f>106.9546356003*(1/3.6)</f>
        <v>29.709621000083349</v>
      </c>
      <c r="B96" s="2">
        <f>189.806485696466*(1/3.6)</f>
        <v>52.724023804574003</v>
      </c>
      <c r="C96" s="2">
        <f>144.271752331199*(1/3.6)</f>
        <v>40.075486758666358</v>
      </c>
      <c r="D96" s="2">
        <f t="shared" si="1"/>
        <v>0</v>
      </c>
    </row>
    <row r="97" spans="1:4" x14ac:dyDescent="0.3">
      <c r="A97" s="2">
        <f>106.723911877234*(1/3.6)</f>
        <v>29.645531077009455</v>
      </c>
      <c r="B97" s="2">
        <f>189.204125712025*(1/3.6)</f>
        <v>52.556701586673746</v>
      </c>
      <c r="C97" s="2">
        <f>144.126464427896*(1/3.6)</f>
        <v>40.035129007748999</v>
      </c>
      <c r="D97" s="2">
        <f t="shared" si="1"/>
        <v>0</v>
      </c>
    </row>
    <row r="98" spans="1:4" x14ac:dyDescent="0.3">
      <c r="A98" s="2">
        <f>106.983676966494*(1/3.6)</f>
        <v>29.71768804624843</v>
      </c>
      <c r="B98" s="2">
        <f>189.172621883268*(1/3.6)</f>
        <v>52.547950523130048</v>
      </c>
      <c r="C98" s="2">
        <f>144.294089622981*(1/3.6)</f>
        <v>40.08169156193923</v>
      </c>
      <c r="D98" s="2">
        <f t="shared" si="1"/>
        <v>0</v>
      </c>
    </row>
    <row r="99" spans="1:4" x14ac:dyDescent="0.3">
      <c r="A99" s="2">
        <f>107.622991311188*(1/3.6)</f>
        <v>29.895275364218847</v>
      </c>
      <c r="B99" s="2">
        <f>189.58301949984*(1/3.6)</f>
        <v>52.661949861066752</v>
      </c>
      <c r="C99" s="2">
        <f>144.705600813156*(1/3.6)</f>
        <v>40.196000225876581</v>
      </c>
      <c r="D99" s="2">
        <f t="shared" si="1"/>
        <v>0</v>
      </c>
    </row>
    <row r="100" spans="1:4" x14ac:dyDescent="0.3">
      <c r="A100" s="2">
        <f>107.008326627426*(1/3.6)</f>
        <v>29.724535174284998</v>
      </c>
      <c r="B100" s="2">
        <f>188.533391686005*(1/3.6)</f>
        <v>52.370386579445778</v>
      </c>
      <c r="C100" s="2">
        <f>144.31363016812*(1/3.6)</f>
        <v>40.087119491144549</v>
      </c>
      <c r="D100" s="2">
        <f t="shared" si="1"/>
        <v>0</v>
      </c>
    </row>
    <row r="101" spans="1:4" x14ac:dyDescent="0.3">
      <c r="A101" s="2">
        <f>107.055753949105*(1/3.6)</f>
        <v>29.737709430306879</v>
      </c>
      <c r="B101" s="2">
        <f>188.254324911275*(1/3.6)</f>
        <v>52.292868030909695</v>
      </c>
      <c r="C101" s="2">
        <f>144.345841735861*(1/3.6)</f>
        <v>40.096067148850153</v>
      </c>
      <c r="D101" s="2">
        <f t="shared" si="1"/>
        <v>0</v>
      </c>
    </row>
    <row r="102" spans="1:4" x14ac:dyDescent="0.3">
      <c r="A102" s="2">
        <f>106.945589930327*(1/3.6)</f>
        <v>29.707108313979685</v>
      </c>
      <c r="B102" s="2">
        <f>187.792967198114*(1/3.6)</f>
        <v>52.164713110587279</v>
      </c>
      <c r="C102" s="2">
        <f>144.277340839376*(1/3.6)</f>
        <v>40.077039122048831</v>
      </c>
      <c r="D102" s="2">
        <f t="shared" si="1"/>
        <v>0</v>
      </c>
    </row>
    <row r="103" spans="1:4" x14ac:dyDescent="0.3">
      <c r="A103" s="2">
        <f>107.410038028151*(1/3.6)</f>
        <v>29.83612167448635</v>
      </c>
      <c r="B103" s="2">
        <f>187.995522590171*(1/3.6)</f>
        <v>52.220978497269819</v>
      </c>
      <c r="C103" s="2">
        <f>144.576536137469*(1/3.6)</f>
        <v>40.160148927074644</v>
      </c>
      <c r="D103" s="2">
        <f t="shared" si="1"/>
        <v>0</v>
      </c>
    </row>
    <row r="104" spans="1:4" x14ac:dyDescent="0.3">
      <c r="A104" s="2">
        <f>107.474929892738*(1/3.6)</f>
        <v>29.854147192427266</v>
      </c>
      <c r="B104" s="2">
        <f>187.73567887521*(1/3.6)</f>
        <v>52.148799687558459</v>
      </c>
      <c r="C104" s="2">
        <f>144.620088626207*(1/3.6)</f>
        <v>40.172246840612935</v>
      </c>
      <c r="D104" s="2">
        <f t="shared" si="1"/>
        <v>0</v>
      </c>
    </row>
    <row r="105" spans="1:4" x14ac:dyDescent="0.3">
      <c r="A105" s="2">
        <f>107.351204186752*(1/3.6)</f>
        <v>29.819778940764476</v>
      </c>
      <c r="B105" s="2">
        <f>187.25804935775*(1/3.6)</f>
        <v>52.016124821597217</v>
      </c>
      <c r="C105" s="2">
        <f>144.542623914735*(1/3.6)</f>
        <v>40.150728865204137</v>
      </c>
      <c r="D105" s="2">
        <f t="shared" si="1"/>
        <v>0</v>
      </c>
    </row>
    <row r="106" spans="1:4" x14ac:dyDescent="0.3">
      <c r="A106" s="2">
        <f>107.8298400683*(1/3.6)</f>
        <v>29.952733352305643</v>
      </c>
      <c r="B106" s="2">
        <f>187.475044563724*(1/3.6)</f>
        <v>52.076401267701016</v>
      </c>
      <c r="C106" s="2">
        <f>144.852123789532*(1/3.6)</f>
        <v>40.23670105264776</v>
      </c>
      <c r="D106" s="2">
        <f t="shared" si="1"/>
        <v>0</v>
      </c>
    </row>
    <row r="107" spans="1:4" x14ac:dyDescent="0.3">
      <c r="A107" s="2">
        <f>107.36121771674*(1/3.6)</f>
        <v>29.822560476872358</v>
      </c>
      <c r="B107" s="2">
        <f>186.60008978897*(1/3.6)</f>
        <v>51.833358274713916</v>
      </c>
      <c r="C107" s="2">
        <f>144.552864546322*(1/3.6)</f>
        <v>40.15357348508941</v>
      </c>
      <c r="D107" s="2">
        <f t="shared" si="1"/>
        <v>0</v>
      </c>
    </row>
    <row r="108" spans="1:4" x14ac:dyDescent="0.3">
      <c r="A108" s="2">
        <f>107.816708645551*(1/3.6)</f>
        <v>29.949085734875414</v>
      </c>
      <c r="B108" s="2">
        <f>186.788509184976*(1/3.6)</f>
        <v>51.885696995826578</v>
      </c>
      <c r="C108" s="2">
        <f>144.847519230773*(1/3.6)</f>
        <v>40.235422008548056</v>
      </c>
      <c r="D108" s="2">
        <f t="shared" si="1"/>
        <v>0</v>
      </c>
    </row>
    <row r="109" spans="1:4" x14ac:dyDescent="0.3">
      <c r="A109" s="2">
        <f>107.065965861876*(1/3.6)</f>
        <v>29.740546072743395</v>
      </c>
      <c r="B109" s="2">
        <f>185.593013614614*(1/3.6)</f>
        <v>51.553614892948445</v>
      </c>
      <c r="C109" s="2">
        <f>144.367564841195*(1/3.6)</f>
        <v>40.102101344776401</v>
      </c>
      <c r="D109" s="2">
        <f t="shared" si="1"/>
        <v>0</v>
      </c>
    </row>
    <row r="110" spans="1:4" x14ac:dyDescent="0.3">
      <c r="A110" s="2">
        <f>107.441549391158*(1/3.6)</f>
        <v>29.844874830877121</v>
      </c>
      <c r="B110" s="2">
        <f>185.68755611422*(1/3.6)</f>
        <v>51.579876698394479</v>
      </c>
      <c r="C110" s="2">
        <f>144.610141950468*(1/3.6)</f>
        <v>40.169483875130013</v>
      </c>
      <c r="D110" s="2">
        <f t="shared" si="1"/>
        <v>0</v>
      </c>
    </row>
    <row r="111" spans="1:4" x14ac:dyDescent="0.3">
      <c r="A111" s="2">
        <f>106.718509358353*(1/3.6)</f>
        <v>29.644030377320409</v>
      </c>
      <c r="B111" s="2">
        <f>184.529822524911*(1/3.6)</f>
        <v>51.258284034697574</v>
      </c>
      <c r="C111" s="2">
        <f>144.149438100764*(1/3.6)</f>
        <v>40.041510583545602</v>
      </c>
      <c r="D111" s="2">
        <f t="shared" si="1"/>
        <v>0</v>
      </c>
    </row>
    <row r="112" spans="1:4" x14ac:dyDescent="0.3">
      <c r="A112" s="2">
        <f>107.621764546344*(1/3.6)</f>
        <v>29.894934596206681</v>
      </c>
      <c r="B112" s="2">
        <f>185.223053948312*(1/3.6)</f>
        <v>51.450848318975552</v>
      </c>
      <c r="C112" s="2">
        <f>144.729758448659*(1/3.6)</f>
        <v>40.202710680182946</v>
      </c>
      <c r="D112" s="2">
        <f t="shared" si="1"/>
        <v>0</v>
      </c>
    </row>
    <row r="113" spans="1:4" x14ac:dyDescent="0.3">
      <c r="A113" s="2">
        <f>108.092039023583*(1/3.6)</f>
        <v>30.025566395439657</v>
      </c>
      <c r="B113" s="2">
        <f>185.424234647097*(1/3.6)</f>
        <v>51.50673184641574</v>
      </c>
      <c r="C113" s="2">
        <f>145.034743234357*(1/3.6)</f>
        <v>40.287428676210389</v>
      </c>
      <c r="D113" s="2">
        <f t="shared" si="1"/>
        <v>0</v>
      </c>
    </row>
    <row r="114" spans="1:4" x14ac:dyDescent="0.3">
      <c r="A114" s="2">
        <f>107.478475131505*(1/3.6)</f>
        <v>29.855131980973681</v>
      </c>
      <c r="B114" s="2">
        <f>184.389534598352*(1/3.6)</f>
        <v>51.21931516620878</v>
      </c>
      <c r="C114" s="2">
        <f>144.641508509302*(1/3.6)</f>
        <v>40.178196808139411</v>
      </c>
      <c r="D114" s="2">
        <f t="shared" si="1"/>
        <v>0</v>
      </c>
    </row>
    <row r="115" spans="1:4" x14ac:dyDescent="0.3">
      <c r="A115" s="2">
        <f>106.726763554647*(1/3.6)</f>
        <v>29.646323209624082</v>
      </c>
      <c r="B115" s="2">
        <f>183.204969787353*(1/3.6)</f>
        <v>50.890269385375881</v>
      </c>
      <c r="C115" s="2">
        <f>144.162256249463*(1/3.6)</f>
        <v>40.04507118040641</v>
      </c>
      <c r="D115" s="2">
        <f t="shared" si="1"/>
        <v>0</v>
      </c>
    </row>
    <row r="116" spans="1:4" x14ac:dyDescent="0.3">
      <c r="A116" s="2">
        <f>107.736305656308*(1/3.6)</f>
        <v>29.926751571196704</v>
      </c>
      <c r="B116" s="2">
        <f>184.011351987684*(1/3.6)</f>
        <v>51.114264441023209</v>
      </c>
      <c r="C116" s="2">
        <f>144.811147935792*(1/3.6)</f>
        <v>40.22531887105324</v>
      </c>
      <c r="D116" s="2">
        <f t="shared" si="1"/>
        <v>0</v>
      </c>
    </row>
    <row r="117" spans="1:4" x14ac:dyDescent="0.3">
      <c r="A117" s="2">
        <f>107.213148166684*(1/3.6)</f>
        <v>29.781430046300979</v>
      </c>
      <c r="B117" s="2">
        <f>183.084883514729*(1/3.6)</f>
        <v>50.856912087424639</v>
      </c>
      <c r="C117" s="2">
        <f>144.477022265753*(1/3.6)</f>
        <v>40.132506184931287</v>
      </c>
      <c r="D117" s="2">
        <f t="shared" si="1"/>
        <v>0</v>
      </c>
    </row>
    <row r="118" spans="1:4" x14ac:dyDescent="0.3">
      <c r="A118" s="2">
        <f>107.221657209761*(1/3.6)</f>
        <v>29.783793669378017</v>
      </c>
      <c r="B118" s="2">
        <f>182.759866024817*(1/3.6)</f>
        <v>50.766629451338147</v>
      </c>
      <c r="C118" s="2">
        <f>144.484381926253*(1/3.6)</f>
        <v>40.134550535070289</v>
      </c>
      <c r="D118" s="2">
        <f t="shared" si="1"/>
        <v>0</v>
      </c>
    </row>
    <row r="119" spans="1:4" x14ac:dyDescent="0.3">
      <c r="A119" s="2">
        <f>107.426766685698*(1/3.6)</f>
        <v>29.840768523805071</v>
      </c>
      <c r="B119" s="2">
        <f>182.655780449444*(1/3.6)</f>
        <v>50.737716791512256</v>
      </c>
      <c r="C119" s="2">
        <f>144.617874607624*(1/3.6)</f>
        <v>40.171631835451095</v>
      </c>
      <c r="D119" s="2">
        <f t="shared" si="1"/>
        <v>0</v>
      </c>
    </row>
    <row r="120" spans="1:4" x14ac:dyDescent="0.3">
      <c r="A120" s="2">
        <f>108.132934359506*(1/3.6)</f>
        <v>30.036926210973906</v>
      </c>
      <c r="B120" s="2">
        <f>183.115870862179*(1/3.6)</f>
        <v>50.865519683938672</v>
      </c>
      <c r="C120" s="2">
        <f>145.074729887055*(1/3.6)</f>
        <v>40.29853607973746</v>
      </c>
      <c r="D120" s="2">
        <f t="shared" si="1"/>
        <v>0</v>
      </c>
    </row>
    <row r="121" spans="1:4" x14ac:dyDescent="0.3">
      <c r="A121" s="2">
        <f>108.129933750844*(1/3.6)</f>
        <v>30.03609270856774</v>
      </c>
      <c r="B121" s="2">
        <f>182.775994668466*(1/3.6)</f>
        <v>50.771109630129537</v>
      </c>
      <c r="C121" s="2">
        <f>145.074729887055*(1/3.6)</f>
        <v>40.29853607973746</v>
      </c>
      <c r="D121" s="2">
        <f t="shared" si="1"/>
        <v>0</v>
      </c>
    </row>
    <row r="122" spans="1:4" x14ac:dyDescent="0.3">
      <c r="A122" s="2">
        <f>106.853265750513*(1/3.6)</f>
        <v>29.681462708475902</v>
      </c>
      <c r="B122" s="2">
        <f>181.010437154953*(1/3.6)</f>
        <v>50.280676987486999</v>
      </c>
      <c r="C122" s="2">
        <f>144.256254336682*(1/3.6)</f>
        <v>40.071181760189319</v>
      </c>
      <c r="D122" s="2">
        <f t="shared" si="1"/>
        <v>0</v>
      </c>
    </row>
    <row r="123" spans="1:4" x14ac:dyDescent="0.3">
      <c r="A123" s="2">
        <f>107.360517893696*(1/3.6)</f>
        <v>29.822366081582206</v>
      </c>
      <c r="B123" s="2">
        <f>181.241554241206*(1/3.6)</f>
        <v>50.344876178112706</v>
      </c>
      <c r="C123" s="2">
        <f>144.582995045022*(1/3.6)</f>
        <v>40.161943068061596</v>
      </c>
      <c r="D123" s="2">
        <f t="shared" si="1"/>
        <v>0</v>
      </c>
    </row>
    <row r="124" spans="1:4" x14ac:dyDescent="0.3">
      <c r="A124" s="2">
        <f>106.407926720313*(1/3.6)</f>
        <v>29.557757422309304</v>
      </c>
      <c r="B124" s="2">
        <f>179.849290624107*(1/3.6)</f>
        <v>49.958136284474179</v>
      </c>
      <c r="C124" s="2">
        <f>143.976081202774*(1/3.6)</f>
        <v>39.993355889659448</v>
      </c>
      <c r="D124" s="2">
        <f t="shared" si="1"/>
        <v>0</v>
      </c>
    </row>
    <row r="125" spans="1:4" x14ac:dyDescent="0.3">
      <c r="A125" s="2">
        <f>106.662839750097*(1/3.6)</f>
        <v>29.628566597249076</v>
      </c>
      <c r="B125" s="2">
        <f>179.797868765452*(1/3.6)</f>
        <v>49.94385243484777</v>
      </c>
      <c r="C125" s="2">
        <f>144.140366570913*(1/3.6)</f>
        <v>40.038990714142564</v>
      </c>
      <c r="D125" s="2">
        <f t="shared" si="1"/>
        <v>0</v>
      </c>
    </row>
    <row r="126" spans="1:4" x14ac:dyDescent="0.3">
      <c r="A126" s="2">
        <f>107.299893232193*(1/3.6)</f>
        <v>29.805525897831316</v>
      </c>
      <c r="B126" s="2">
        <f>180.169350164571*(1/3.6)</f>
        <v>50.04704171238086</v>
      </c>
      <c r="C126" s="2">
        <f>144.549822954697*(1/3.6)</f>
        <v>40.152728598526942</v>
      </c>
      <c r="D126" s="2">
        <f t="shared" si="1"/>
        <v>0</v>
      </c>
    </row>
    <row r="127" spans="1:4" x14ac:dyDescent="0.3">
      <c r="A127" s="2">
        <f>107.106373071031*(1/3.6)</f>
        <v>29.751770297508745</v>
      </c>
      <c r="B127" s="2">
        <f>179.620308932751*(1/3.6)</f>
        <v>49.894530259097465</v>
      </c>
      <c r="C127" s="2">
        <f>144.427665946799*(1/3.6)</f>
        <v>40.118796096333014</v>
      </c>
      <c r="D127" s="2">
        <f t="shared" si="1"/>
        <v>0</v>
      </c>
    </row>
    <row r="128" spans="1:4" x14ac:dyDescent="0.3">
      <c r="A128" s="2">
        <f>107.516314427066*(1/3.6)</f>
        <v>29.865642896407273</v>
      </c>
      <c r="B128" s="2">
        <f>179.739050417923*(1/3.6)</f>
        <v>49.92751400497869</v>
      </c>
      <c r="C128" s="2">
        <f>144.69266278955*(1/3.6)</f>
        <v>40.192406330430487</v>
      </c>
      <c r="D128" s="2">
        <f t="shared" si="1"/>
        <v>0</v>
      </c>
    </row>
    <row r="129" spans="1:4" x14ac:dyDescent="0.3">
      <c r="A129" s="2">
        <f>107.882735596539*(1/3.6)</f>
        <v>29.967426554594198</v>
      </c>
      <c r="B129" s="2">
        <f>179.809337037252*(1/3.6)</f>
        <v>49.947038065903293</v>
      </c>
      <c r="C129" s="2">
        <f>144.930589586304*(1/3.6)</f>
        <v>40.258497107306709</v>
      </c>
      <c r="D129" s="2">
        <f t="shared" si="1"/>
        <v>0</v>
      </c>
    </row>
    <row r="130" spans="1:4" x14ac:dyDescent="0.3">
      <c r="A130" s="2">
        <f>107.305006259602*(1/3.6)</f>
        <v>29.806946183222689</v>
      </c>
      <c r="B130" s="2">
        <f>178.835408887388*(1/3.6)</f>
        <v>49.676502468718809</v>
      </c>
      <c r="C130" s="2">
        <f>144.560748991232*(1/3.6)</f>
        <v>40.15576360867545</v>
      </c>
      <c r="D130" s="2">
        <f t="shared" ref="D130:D193" si="4">0*(1/3.6)</f>
        <v>0</v>
      </c>
    </row>
    <row r="131" spans="1:4" x14ac:dyDescent="0.3">
      <c r="A131" s="2">
        <f>106.858591236562*(1/3.6)</f>
        <v>29.682942010156122</v>
      </c>
      <c r="B131" s="2">
        <f>178.010523371119*(1/3.6)</f>
        <v>49.447367603088601</v>
      </c>
      <c r="C131" s="2">
        <f>144.276714717507*(1/3.6)</f>
        <v>40.076865199307498</v>
      </c>
      <c r="D131" s="2">
        <f t="shared" si="4"/>
        <v>0</v>
      </c>
    </row>
    <row r="132" spans="1:4" x14ac:dyDescent="0.3">
      <c r="A132" s="2">
        <f>108.070144060685*(1/3.6)</f>
        <v>30.019484461301271</v>
      </c>
      <c r="B132" s="2">
        <f>179.007781985547*(1/3.6)</f>
        <v>49.724383884874094</v>
      </c>
      <c r="C132" s="2">
        <f>145.057416423378*(1/3.6)</f>
        <v>40.293726784271797</v>
      </c>
      <c r="D132" s="2">
        <f t="shared" si="4"/>
        <v>0</v>
      </c>
    </row>
    <row r="133" spans="1:4" x14ac:dyDescent="0.3">
      <c r="A133" s="2">
        <f>107.162684999017*(1/3.6)</f>
        <v>29.767412499726852</v>
      </c>
      <c r="B133" s="2">
        <f>177.67475623062*(1/3.6)</f>
        <v>49.35409895294999</v>
      </c>
      <c r="C133" s="2">
        <f>144.475185042142*(1/3.6)</f>
        <v>40.131995845039441</v>
      </c>
      <c r="D133" s="2">
        <f t="shared" si="4"/>
        <v>0</v>
      </c>
    </row>
    <row r="134" spans="1:4" x14ac:dyDescent="0.3">
      <c r="A134" s="2">
        <f>108.880560960252*(1/3.6)</f>
        <v>30.244600266736761</v>
      </c>
      <c r="B134" s="2">
        <f>179.229059547537*(1/3.6)</f>
        <v>49.785849874315907</v>
      </c>
      <c r="C134" s="2">
        <f>145.587076522551*(1/3.6)</f>
        <v>40.4408545895974</v>
      </c>
      <c r="D134" s="2">
        <f t="shared" si="4"/>
        <v>0</v>
      </c>
    </row>
    <row r="135" spans="1:4" x14ac:dyDescent="0.3">
      <c r="A135" s="2">
        <f>108.435677757966*(1/3.6)</f>
        <v>30.121021599434915</v>
      </c>
      <c r="B135" s="2">
        <f>178.400132438184*(1/3.6)</f>
        <v>49.555592343940098</v>
      </c>
      <c r="C135" s="2">
        <f>145.299926528752*(1/3.6)</f>
        <v>40.361090702431156</v>
      </c>
      <c r="D135" s="2">
        <f t="shared" si="4"/>
        <v>0</v>
      </c>
    </row>
    <row r="136" spans="1:4" x14ac:dyDescent="0.3">
      <c r="A136" s="2">
        <f>108.638375228793*(1/3.6)</f>
        <v>30.177326452442564</v>
      </c>
      <c r="B136" s="2">
        <f>178.285795035604*(1/3.6)</f>
        <v>49.523831954334554</v>
      </c>
      <c r="C136" s="2">
        <f>145.433472098842*(1/3.6)</f>
        <v>40.398186694122799</v>
      </c>
      <c r="D136" s="2">
        <f t="shared" si="4"/>
        <v>0</v>
      </c>
    </row>
    <row r="137" spans="1:4" x14ac:dyDescent="0.3">
      <c r="A137" s="2">
        <f>108.926894795489*(1/3.6)</f>
        <v>30.257470776524755</v>
      </c>
      <c r="B137" s="2">
        <f>178.265446866049*(1/3.6)</f>
        <v>49.518179685013635</v>
      </c>
      <c r="C137" s="2">
        <f>145.623161588598*(1/3.6)</f>
        <v>40.450878219055049</v>
      </c>
      <c r="D137" s="2">
        <f t="shared" si="4"/>
        <v>0</v>
      </c>
    </row>
    <row r="138" spans="1:4" x14ac:dyDescent="0.3">
      <c r="A138" s="2">
        <f>109.231784551397*(1/3.6)</f>
        <v>30.342162375387961</v>
      </c>
      <c r="B138" s="2">
        <f>178.262646886371*(1/3.6)</f>
        <v>49.517401912880779</v>
      </c>
      <c r="C138" s="2">
        <f>145.824045527909*(1/3.6)</f>
        <v>40.506679313308105</v>
      </c>
      <c r="D138" s="2">
        <f t="shared" si="4"/>
        <v>0</v>
      </c>
    </row>
    <row r="139" spans="1:4" x14ac:dyDescent="0.3">
      <c r="A139" s="2">
        <f>109.12665703211*(1/3.6)</f>
        <v>30.312960286697088</v>
      </c>
      <c r="B139" s="2">
        <f>177.808112218855*(1/3.6)</f>
        <v>49.391142283015405</v>
      </c>
      <c r="C139" s="2">
        <f>145.757376158246*(1/3.6)</f>
        <v>40.488160043957173</v>
      </c>
      <c r="D139" s="2">
        <f t="shared" si="4"/>
        <v>0</v>
      </c>
    </row>
    <row r="140" spans="1:4" x14ac:dyDescent="0.3">
      <c r="A140" s="2">
        <f>108.719637233255*(1/3.6)</f>
        <v>30.199899231459678</v>
      </c>
      <c r="B140" s="2">
        <f>177.02363729842*(1/3.6)</f>
        <v>49.173232582894343</v>
      </c>
      <c r="C140" s="2">
        <f>145.494146818983*(1/3.6)</f>
        <v>40.415040783050706</v>
      </c>
      <c r="D140" s="2">
        <f t="shared" si="4"/>
        <v>0</v>
      </c>
    </row>
    <row r="141" spans="1:4" x14ac:dyDescent="0.3">
      <c r="A141" s="2">
        <f>109.05007675398*(1/3.6)</f>
        <v>30.291687987216708</v>
      </c>
      <c r="B141" s="2">
        <f>177.04675915439*(1/3.6)</f>
        <v>49.179655320663791</v>
      </c>
      <c r="C141" s="2">
        <f>145.711357635474*(1/3.6)</f>
        <v>40.475377120965099</v>
      </c>
      <c r="D141" s="2">
        <f t="shared" si="4"/>
        <v>0</v>
      </c>
    </row>
    <row r="142" spans="1:4" x14ac:dyDescent="0.3">
      <c r="A142" s="2">
        <f>109.194775172867*(1/3.6)</f>
        <v>30.331881992463135</v>
      </c>
      <c r="B142" s="2">
        <f>176.866227985266*(1/3.6)</f>
        <v>49.129507773685063</v>
      </c>
      <c r="C142" s="2">
        <f>145.80779237735*(1/3.6)</f>
        <v>40.50216454926391</v>
      </c>
      <c r="D142" s="2">
        <f t="shared" si="4"/>
        <v>0</v>
      </c>
    </row>
    <row r="143" spans="1:4" x14ac:dyDescent="0.3">
      <c r="A143" s="2">
        <f>109.399926451656*(1/3.6)</f>
        <v>30.388868458793269</v>
      </c>
      <c r="B143" s="2">
        <f>176.751318970664*(1/3.6)</f>
        <v>49.09758860296229</v>
      </c>
      <c r="C143" s="2">
        <f>145.943909841252*(1/3.6)</f>
        <v>40.539974955903411</v>
      </c>
      <c r="D143" s="2">
        <f t="shared" si="4"/>
        <v>0</v>
      </c>
    </row>
    <row r="144" spans="1:4" x14ac:dyDescent="0.3">
      <c r="A144" s="2">
        <f>109.984638906753*(1/3.6)</f>
        <v>30.551288585209075</v>
      </c>
      <c r="B144" s="2">
        <f>177.051203767042*(1/3.6)</f>
        <v>49.180889935289578</v>
      </c>
      <c r="C144" s="2">
        <f>146.329552670011*(1/3.6)</f>
        <v>40.64709796389193</v>
      </c>
      <c r="D144" s="2">
        <f t="shared" si="4"/>
        <v>0</v>
      </c>
    </row>
    <row r="145" spans="1:4" x14ac:dyDescent="0.3">
      <c r="A145" s="2">
        <f>110.015411067292*(1/3.6)</f>
        <v>30.559836407581177</v>
      </c>
      <c r="B145" s="2">
        <f>176.744261561658*(1/3.6)</f>
        <v>49.095628211571587</v>
      </c>
      <c r="C145" s="2">
        <f>146.351807867161*(1/3.6)</f>
        <v>40.653279963100168</v>
      </c>
      <c r="D145" s="2">
        <f t="shared" si="4"/>
        <v>0</v>
      </c>
    </row>
    <row r="146" spans="1:4" x14ac:dyDescent="0.3">
      <c r="A146" s="2">
        <f>111.046154975216*(1/3.6)</f>
        <v>30.846154159782348</v>
      </c>
      <c r="B146" s="2">
        <f>177.53342011656*(1/3.6)</f>
        <v>49.314838921266592</v>
      </c>
      <c r="C146" s="2">
        <f>147.035126850106*(1/3.6)</f>
        <v>40.843090791696056</v>
      </c>
      <c r="D146" s="2">
        <f t="shared" si="4"/>
        <v>0</v>
      </c>
    </row>
    <row r="147" spans="1:4" x14ac:dyDescent="0.3">
      <c r="A147" s="2">
        <f>110.737653705777*(1/3.6)</f>
        <v>30.760459362715963</v>
      </c>
      <c r="B147" s="2">
        <f>176.852144483342*(1/3.6)</f>
        <v>49.125595689817338</v>
      </c>
      <c r="C147" s="2">
        <f>146.8326166238*(1/3.6)</f>
        <v>40.786837951055595</v>
      </c>
      <c r="D147" s="2">
        <f t="shared" si="4"/>
        <v>0</v>
      </c>
    </row>
    <row r="148" spans="1:4" x14ac:dyDescent="0.3">
      <c r="A148" s="2">
        <f>115.038382940145*(1/3.6)</f>
        <v>31.955106372262591</v>
      </c>
      <c r="B148" s="2">
        <f>181.289421659291*(1/3.6)</f>
        <v>50.358172683136402</v>
      </c>
      <c r="C148" s="2">
        <f>149.734239253288*(1/3.6)</f>
        <v>41.592844237024387</v>
      </c>
      <c r="D148" s="2">
        <f t="shared" si="4"/>
        <v>0</v>
      </c>
    </row>
    <row r="149" spans="1:4" x14ac:dyDescent="0.3">
      <c r="A149" s="2">
        <f>112.090540656318*(1/3.6)</f>
        <v>31.13626129342164</v>
      </c>
      <c r="B149" s="2">
        <f>177.652054682891*(1/3.6)</f>
        <v>49.347792967469722</v>
      </c>
      <c r="C149" s="2">
        <f>147.737815962851*(1/3.6)</f>
        <v>41.038282211903081</v>
      </c>
      <c r="D149" s="2">
        <f t="shared" si="4"/>
        <v>0</v>
      </c>
    </row>
    <row r="150" spans="1:4" x14ac:dyDescent="0.3">
      <c r="A150" s="2">
        <f>109.744679464093*(1/3.6)</f>
        <v>30.484633184470411</v>
      </c>
      <c r="B150" s="2">
        <f>174.747697132841*(1/3.6)</f>
        <v>48.541026981344594</v>
      </c>
      <c r="C150" s="2">
        <f>146.183873946129*(1/3.6)</f>
        <v>40.606631651702486</v>
      </c>
      <c r="D150" s="2">
        <f t="shared" si="4"/>
        <v>0</v>
      </c>
    </row>
    <row r="151" spans="1:4" x14ac:dyDescent="0.3">
      <c r="A151" s="2">
        <f>110.210439543282*(1/3.6)</f>
        <v>30.614010984245098</v>
      </c>
      <c r="B151" s="2">
        <f>174.911083385464*(1/3.6)</f>
        <v>48.586412051517705</v>
      </c>
      <c r="C151" s="2">
        <f>146.492355924824*(1/3.6)</f>
        <v>40.692321090228951</v>
      </c>
      <c r="D151" s="2">
        <f t="shared" si="4"/>
        <v>0</v>
      </c>
    </row>
    <row r="152" spans="1:4" x14ac:dyDescent="0.3">
      <c r="A152" s="2">
        <f>110.618373637796*(1/3.6)</f>
        <v>30.727326010498949</v>
      </c>
      <c r="B152" s="2">
        <f>175.011590273744*(1/3.6)</f>
        <v>48.614330631595443</v>
      </c>
      <c r="C152" s="2">
        <f>146.763832603509*(1/3.6)</f>
        <v>40.767731278752599</v>
      </c>
      <c r="D152" s="2">
        <f t="shared" si="4"/>
        <v>0</v>
      </c>
    </row>
    <row r="153" spans="1:4" x14ac:dyDescent="0.3">
      <c r="A153" s="2">
        <f>110.956095261292*(1/3.6)</f>
        <v>30.821137572581161</v>
      </c>
      <c r="B153" s="2">
        <f>175.035544841114*(1/3.6)</f>
        <v>48.620984678087275</v>
      </c>
      <c r="C153" s="2">
        <f>146.989671103023*(1/3.6)</f>
        <v>40.830464195284051</v>
      </c>
      <c r="D153" s="2">
        <f t="shared" si="4"/>
        <v>0</v>
      </c>
    </row>
    <row r="154" spans="1:4" x14ac:dyDescent="0.3">
      <c r="A154" s="2">
        <f>111.751035418465*(1/3.6)</f>
        <v>31.041954282907</v>
      </c>
      <c r="B154" s="2">
        <f>175.556258240212*(1/3.6)</f>
        <v>48.765627288947904</v>
      </c>
      <c r="C154" s="2">
        <f>147.52108209777*(1/3.6)</f>
        <v>40.978078360491715</v>
      </c>
      <c r="D154" s="2">
        <f t="shared" si="4"/>
        <v>0</v>
      </c>
    </row>
    <row r="155" spans="1:4" x14ac:dyDescent="0.3">
      <c r="A155" s="2">
        <f>111.481964478558*(1/3.6)</f>
        <v>30.967212355154995</v>
      </c>
      <c r="B155" s="2">
        <f>174.919569328363*(1/3.6)</f>
        <v>48.588769257878639</v>
      </c>
      <c r="C155" s="2">
        <f>147.34356960177*(1/3.6)</f>
        <v>40.928769333825038</v>
      </c>
      <c r="D155" s="2">
        <f t="shared" si="4"/>
        <v>0</v>
      </c>
    </row>
    <row r="156" spans="1:4" x14ac:dyDescent="0.3">
      <c r="A156" s="2">
        <f>111.813094538892*(1/3.6)</f>
        <v>31.059192927469923</v>
      </c>
      <c r="B156" s="2">
        <f>174.934771675906*(1/3.6)</f>
        <v>48.59299213219618</v>
      </c>
      <c r="C156" s="2">
        <f>147.566710208582*(1/3.6)</f>
        <v>40.990752835717203</v>
      </c>
      <c r="D156" s="2">
        <f t="shared" si="4"/>
        <v>0</v>
      </c>
    </row>
    <row r="157" spans="1:4" x14ac:dyDescent="0.3">
      <c r="A157" s="2">
        <f>111.79344947073*(1/3.6)</f>
        <v>31.05373596409158</v>
      </c>
      <c r="B157" s="2">
        <f>174.568910793228*(1/3.6)</f>
        <v>48.491364109229885</v>
      </c>
      <c r="C157" s="2">
        <f>147.55565305913*(1/3.6)</f>
        <v>40.987681405313815</v>
      </c>
      <c r="D157" s="2">
        <f t="shared" si="4"/>
        <v>0</v>
      </c>
    </row>
    <row r="158" spans="1:4" x14ac:dyDescent="0.3">
      <c r="A158" s="2">
        <f>111.958179765885*(1/3.6)</f>
        <v>31.09949437941253</v>
      </c>
      <c r="B158" s="2">
        <f>174.402603482374*(1/3.6)</f>
        <v>48.445167633992668</v>
      </c>
      <c r="C158" s="2">
        <f>147.667932092337*(1/3.6)</f>
        <v>41.018870025649264</v>
      </c>
      <c r="D158" s="2">
        <f t="shared" si="4"/>
        <v>0</v>
      </c>
    </row>
    <row r="159" spans="1:4" x14ac:dyDescent="0.3">
      <c r="A159" s="2">
        <f>112.492937261387*(1/3.6)</f>
        <v>31.248038128163117</v>
      </c>
      <c r="B159" s="2">
        <f>174.636683439139*(1/3.6)</f>
        <v>48.510189844205364</v>
      </c>
      <c r="C159" s="2">
        <f>148.028823928913*(1/3.6)</f>
        <v>41.11911775803128</v>
      </c>
      <c r="D159" s="2">
        <f t="shared" si="4"/>
        <v>0</v>
      </c>
    </row>
    <row r="160" spans="1:4" x14ac:dyDescent="0.3">
      <c r="A160" s="2">
        <f>112.594377510666*(1/3.6)</f>
        <v>31.276215975185096</v>
      </c>
      <c r="B160" s="2">
        <f>174.400508675294*(1/3.6)</f>
        <v>48.444585743137182</v>
      </c>
      <c r="C160" s="2">
        <f>148.099172511269*(1/3.6)</f>
        <v>41.138659030908101</v>
      </c>
      <c r="D160" s="2">
        <f t="shared" si="4"/>
        <v>0</v>
      </c>
    </row>
    <row r="161" spans="1:4" x14ac:dyDescent="0.3">
      <c r="A161" s="2">
        <f>115.825690818108*(1/3.6)</f>
        <v>32.173803005029953</v>
      </c>
      <c r="B161" s="2">
        <f>177.59019384888*(1/3.6)</f>
        <v>49.330609402466671</v>
      </c>
      <c r="C161" s="2">
        <f>150.304873351123*(1/3.6)</f>
        <v>41.751353708645247</v>
      </c>
      <c r="D161" s="2">
        <f t="shared" si="4"/>
        <v>0</v>
      </c>
    </row>
    <row r="162" spans="1:4" x14ac:dyDescent="0.3">
      <c r="A162" s="2">
        <f>111.277646157488*(1/3.6)</f>
        <v>30.910457265968756</v>
      </c>
      <c r="B162" s="2">
        <f>172.293691033234*(1/3.6)</f>
        <v>47.859358620342711</v>
      </c>
      <c r="C162" s="2">
        <f>147.221875994315*(1/3.6)</f>
        <v>40.894965553976419</v>
      </c>
      <c r="D162" s="2">
        <f t="shared" si="4"/>
        <v>0</v>
      </c>
    </row>
    <row r="163" spans="1:4" x14ac:dyDescent="0.3">
      <c r="A163" s="2">
        <f>110.712742455797*(1/3.6)</f>
        <v>30.753539571054805</v>
      </c>
      <c r="B163" s="2">
        <f>171.348855658896*(1/3.6)</f>
        <v>47.59690434969329</v>
      </c>
      <c r="C163" s="2">
        <f>146.848711420117*(1/3.6)</f>
        <v>40.791308727810154</v>
      </c>
      <c r="D163" s="2">
        <f t="shared" si="4"/>
        <v>0</v>
      </c>
    </row>
    <row r="164" spans="1:4" x14ac:dyDescent="0.3">
      <c r="A164" s="2">
        <f>111.939519550918*(1/3.6)</f>
        <v>31.094310986366157</v>
      </c>
      <c r="B164" s="2">
        <f>172.312999747344*(1/3.6)</f>
        <v>47.864722152040052</v>
      </c>
      <c r="C164" s="2">
        <f>147.667932092337*(1/3.6)</f>
        <v>41.018870025649264</v>
      </c>
      <c r="D164" s="2">
        <f t="shared" si="4"/>
        <v>0</v>
      </c>
    </row>
    <row r="165" spans="1:4" x14ac:dyDescent="0.3">
      <c r="A165" s="2">
        <f>112.420879273324*(1/3.6)</f>
        <v>31.228022020367714</v>
      </c>
      <c r="B165" s="2">
        <f>172.482952909124*(1/3.6)</f>
        <v>47.91193136364565</v>
      </c>
      <c r="C165" s="2">
        <f>147.992978077287*(1/3.6)</f>
        <v>41.109160577024262</v>
      </c>
      <c r="D165" s="2">
        <f t="shared" si="4"/>
        <v>0</v>
      </c>
    </row>
    <row r="166" spans="1:4" x14ac:dyDescent="0.3">
      <c r="A166" s="2">
        <f>113.013499132344*(1/3.6)</f>
        <v>31.392638647873248</v>
      </c>
      <c r="B166" s="2">
        <f>172.772152254916*(1/3.6)</f>
        <v>47.992264515254469</v>
      </c>
      <c r="C166" s="2">
        <f>148.394478995812*(1/3.6)</f>
        <v>41.220688609947906</v>
      </c>
      <c r="D166" s="2">
        <f t="shared" si="4"/>
        <v>0</v>
      </c>
    </row>
    <row r="167" spans="1:4" x14ac:dyDescent="0.3">
      <c r="A167" s="2">
        <f>112.916957273861*(1/3.6)</f>
        <v>31.365821464961254</v>
      </c>
      <c r="B167" s="2">
        <f>172.321447446136*(1/3.6)</f>
        <v>47.867068735037869</v>
      </c>
      <c r="C167" s="2">
        <f>148.331399332206*(1/3.6)</f>
        <v>41.203166481168338</v>
      </c>
      <c r="D167" s="2">
        <f t="shared" si="4"/>
        <v>0</v>
      </c>
    </row>
    <row r="168" spans="1:4" x14ac:dyDescent="0.3">
      <c r="A168" s="2">
        <f>115.858308724863*(1/3.6)</f>
        <v>32.182863534684195</v>
      </c>
      <c r="B168" s="2">
        <f>175.153017418634*(1/3.6)</f>
        <v>48.653615949620502</v>
      </c>
      <c r="C168" s="2">
        <f>150.342975391094*(1/3.6)</f>
        <v>41.761937608637105</v>
      </c>
      <c r="D168" s="2">
        <f t="shared" si="4"/>
        <v>0</v>
      </c>
    </row>
    <row r="169" spans="1:4" x14ac:dyDescent="0.3">
      <c r="A169" s="2">
        <f>115.783568577196*(1/3.6)</f>
        <v>32.162102382554494</v>
      </c>
      <c r="B169" s="2">
        <f t="shared" ref="B169:B200" si="5">0*(1/3.6)</f>
        <v>0</v>
      </c>
      <c r="C169" s="2">
        <f>150.293557693415*(1/3.6)</f>
        <v>41.748210470392976</v>
      </c>
      <c r="D169" s="2">
        <f t="shared" si="4"/>
        <v>0</v>
      </c>
    </row>
    <row r="170" spans="1:4" x14ac:dyDescent="0.3">
      <c r="A170" s="2">
        <f>115.75338750054*(1/3.6)</f>
        <v>32.153718750150027</v>
      </c>
      <c r="B170" s="2">
        <f t="shared" si="5"/>
        <v>0</v>
      </c>
      <c r="C170" s="2">
        <f>150.274933517583*(1/3.6)</f>
        <v>41.743037088217491</v>
      </c>
      <c r="D170" s="2">
        <f t="shared" si="4"/>
        <v>0</v>
      </c>
    </row>
    <row r="171" spans="1:4" x14ac:dyDescent="0.3">
      <c r="A171" s="2">
        <f>115.700607996625*(1/3.6)</f>
        <v>32.139057776840204</v>
      </c>
      <c r="B171" s="2">
        <f t="shared" si="5"/>
        <v>0</v>
      </c>
      <c r="C171" s="2">
        <f>150.24070905792*(1/3.6)</f>
        <v>41.733530293866721</v>
      </c>
      <c r="D171" s="2">
        <f t="shared" si="4"/>
        <v>0</v>
      </c>
    </row>
    <row r="172" spans="1:4" x14ac:dyDescent="0.3">
      <c r="A172" s="2">
        <f>115.810328503931*(1/3.6)</f>
        <v>32.169535695536275</v>
      </c>
      <c r="B172" s="2">
        <f t="shared" si="5"/>
        <v>0</v>
      </c>
      <c r="C172" s="2">
        <f>150.318715263351*(1/3.6)</f>
        <v>41.755198684264037</v>
      </c>
      <c r="D172" s="2">
        <f t="shared" si="4"/>
        <v>0</v>
      </c>
    </row>
    <row r="173" spans="1:4" x14ac:dyDescent="0.3">
      <c r="A173" s="2">
        <f>116.036482229036*(1/3.6)</f>
        <v>32.232356174732253</v>
      </c>
      <c r="B173" s="2">
        <f t="shared" si="5"/>
        <v>0</v>
      </c>
      <c r="C173" s="2">
        <f>150.477360060003*(1/3.6)</f>
        <v>41.799266683334139</v>
      </c>
      <c r="D173" s="2">
        <f t="shared" si="4"/>
        <v>0</v>
      </c>
    </row>
    <row r="174" spans="1:4" x14ac:dyDescent="0.3">
      <c r="A174" s="2">
        <f>115.799645266049*(1/3.6)</f>
        <v>32.166568129458042</v>
      </c>
      <c r="B174" s="2">
        <f t="shared" si="5"/>
        <v>0</v>
      </c>
      <c r="C174" s="2">
        <f>150.315780646331*(1/3.6)</f>
        <v>41.754383512869744</v>
      </c>
      <c r="D174" s="2">
        <f t="shared" si="4"/>
        <v>0</v>
      </c>
    </row>
    <row r="175" spans="1:4" x14ac:dyDescent="0.3">
      <c r="A175" s="2">
        <f>114.361311492387*(1/3.6)</f>
        <v>31.767030970107427</v>
      </c>
      <c r="B175" s="2">
        <f t="shared" si="5"/>
        <v>0</v>
      </c>
      <c r="C175" s="2">
        <f>149.329584290193*(1/3.6)</f>
        <v>41.480440080609192</v>
      </c>
      <c r="D175" s="2">
        <f t="shared" si="4"/>
        <v>0</v>
      </c>
    </row>
    <row r="176" spans="1:4" x14ac:dyDescent="0.3">
      <c r="A176" s="2">
        <f>114.819262980926*(1/3.6)</f>
        <v>31.894239716923849</v>
      </c>
      <c r="B176" s="2">
        <f t="shared" si="5"/>
        <v>0</v>
      </c>
      <c r="C176" s="2">
        <f>149.64526379294*(1/3.6)</f>
        <v>41.568128831372114</v>
      </c>
      <c r="D176" s="2">
        <f t="shared" si="4"/>
        <v>0</v>
      </c>
    </row>
    <row r="177" spans="1:4" x14ac:dyDescent="0.3">
      <c r="A177" s="2">
        <f>114.676160153519*(1/3.6)</f>
        <v>31.854488931533151</v>
      </c>
      <c r="B177" s="2">
        <f t="shared" si="5"/>
        <v>0</v>
      </c>
      <c r="C177" s="2">
        <f>149.549358715087*(1/3.6)</f>
        <v>41.541488531968547</v>
      </c>
      <c r="D177" s="2">
        <f t="shared" si="4"/>
        <v>0</v>
      </c>
    </row>
    <row r="178" spans="1:4" x14ac:dyDescent="0.3">
      <c r="A178" s="2">
        <f>114.226980023431*(1/3.6)</f>
        <v>31.729716673175346</v>
      </c>
      <c r="B178" s="2">
        <f t="shared" si="5"/>
        <v>0</v>
      </c>
      <c r="C178" s="2">
        <f>149.244345108231*(1/3.6)</f>
        <v>41.456762530064083</v>
      </c>
      <c r="D178" s="2">
        <f t="shared" si="4"/>
        <v>0</v>
      </c>
    </row>
    <row r="179" spans="1:4" x14ac:dyDescent="0.3">
      <c r="A179" s="2">
        <f>114.251370829607*(1/3.6)</f>
        <v>31.736491897113076</v>
      </c>
      <c r="B179" s="2">
        <f t="shared" si="5"/>
        <v>0</v>
      </c>
      <c r="C179" s="2">
        <f>149.263166347646*(1/3.6)</f>
        <v>41.461990652123887</v>
      </c>
      <c r="D179" s="2">
        <f t="shared" si="4"/>
        <v>0</v>
      </c>
    </row>
    <row r="180" spans="1:4" x14ac:dyDescent="0.3">
      <c r="A180" s="2">
        <f>114.053768022904*(1/3.6)</f>
        <v>31.681602228584428</v>
      </c>
      <c r="B180" s="2">
        <f t="shared" si="5"/>
        <v>0</v>
      </c>
      <c r="C180" s="2">
        <f>149.130500208793*(1/3.6)</f>
        <v>41.425138946887024</v>
      </c>
      <c r="D180" s="2">
        <f t="shared" si="4"/>
        <v>0</v>
      </c>
    </row>
    <row r="181" spans="1:4" x14ac:dyDescent="0.3">
      <c r="A181" s="2">
        <f>113.842165832505*(1/3.6)</f>
        <v>31.622823842362546</v>
      </c>
      <c r="B181" s="2">
        <f t="shared" si="5"/>
        <v>0</v>
      </c>
      <c r="C181" s="2">
        <f>148.988503208635*(1/3.6)</f>
        <v>41.385695335732009</v>
      </c>
      <c r="D181" s="2">
        <f t="shared" si="4"/>
        <v>0</v>
      </c>
    </row>
    <row r="182" spans="1:4" x14ac:dyDescent="0.3">
      <c r="A182" s="2">
        <f>114.271152368896*(1/3.6)</f>
        <v>31.741986769137814</v>
      </c>
      <c r="B182" s="2">
        <f t="shared" si="5"/>
        <v>0</v>
      </c>
      <c r="C182" s="2">
        <f>149.283183660112*(1/3.6)</f>
        <v>41.467551016697882</v>
      </c>
      <c r="D182" s="2">
        <f t="shared" si="4"/>
        <v>0</v>
      </c>
    </row>
    <row r="183" spans="1:4" x14ac:dyDescent="0.3">
      <c r="A183" s="2">
        <f>114.336826488281*(1/3.6)</f>
        <v>31.760229580078185</v>
      </c>
      <c r="B183" s="2">
        <f t="shared" si="5"/>
        <v>0</v>
      </c>
      <c r="C183" s="2">
        <f>149.330227656139*(1/3.6)</f>
        <v>41.480618793372045</v>
      </c>
      <c r="D183" s="2">
        <f t="shared" si="4"/>
        <v>0</v>
      </c>
    </row>
    <row r="184" spans="1:4" x14ac:dyDescent="0.3">
      <c r="A184" s="2">
        <f>114.942146655676*(1/3.6)</f>
        <v>31.928374071021029</v>
      </c>
      <c r="B184" s="2">
        <f t="shared" si="5"/>
        <v>0</v>
      </c>
      <c r="C184" s="2">
        <f>149.747131525788*(1/3.6)</f>
        <v>41.596425423830041</v>
      </c>
      <c r="D184" s="2">
        <f t="shared" si="4"/>
        <v>0</v>
      </c>
    </row>
    <row r="185" spans="1:4" x14ac:dyDescent="0.3">
      <c r="A185" s="2">
        <f>114.543513274093*(1/3.6)</f>
        <v>31.817642576136993</v>
      </c>
      <c r="B185" s="2">
        <f t="shared" si="5"/>
        <v>0</v>
      </c>
      <c r="C185" s="2">
        <f>149.475966785351*(1/3.6)</f>
        <v>41.521101884819799</v>
      </c>
      <c r="D185" s="2">
        <f t="shared" si="4"/>
        <v>0</v>
      </c>
    </row>
    <row r="186" spans="1:4" x14ac:dyDescent="0.3">
      <c r="A186" s="2">
        <f>114.108974706824*(1/3.6)</f>
        <v>31.696937418562122</v>
      </c>
      <c r="B186" s="2">
        <f t="shared" si="5"/>
        <v>0</v>
      </c>
      <c r="C186" s="2">
        <f>149.181133183559*(1/3.6)</f>
        <v>41.439203662099658</v>
      </c>
      <c r="D186" s="2">
        <f t="shared" si="4"/>
        <v>0</v>
      </c>
    </row>
    <row r="187" spans="1:4" x14ac:dyDescent="0.3">
      <c r="A187" s="2">
        <f>113.867164116015*(1/3.6)</f>
        <v>31.629767810004282</v>
      </c>
      <c r="B187" s="2">
        <f t="shared" si="5"/>
        <v>0</v>
      </c>
      <c r="C187" s="2">
        <f>149.018453539396*(1/3.6)</f>
        <v>41.394014872054427</v>
      </c>
      <c r="D187" s="2">
        <f t="shared" si="4"/>
        <v>0</v>
      </c>
    </row>
    <row r="188" spans="1:4" x14ac:dyDescent="0.3">
      <c r="A188" s="2">
        <f>113.435238683688*(1/3.6)</f>
        <v>31.509788523246677</v>
      </c>
      <c r="B188" s="2">
        <f t="shared" si="5"/>
        <v>0</v>
      </c>
      <c r="C188" s="2">
        <f>148.726943258664*(1/3.6)</f>
        <v>41.313039794073326</v>
      </c>
      <c r="D188" s="2">
        <f t="shared" si="4"/>
        <v>0</v>
      </c>
    </row>
    <row r="189" spans="1:4" x14ac:dyDescent="0.3">
      <c r="A189" s="2">
        <f>113.87654606737*(1/3.6)</f>
        <v>31.632373907602716</v>
      </c>
      <c r="B189" s="2">
        <f t="shared" si="5"/>
        <v>0</v>
      </c>
      <c r="C189" s="2">
        <f>149.029156231242*(1/3.6)</f>
        <v>41.396987842011598</v>
      </c>
      <c r="D189" s="2">
        <f t="shared" si="4"/>
        <v>0</v>
      </c>
    </row>
    <row r="190" spans="1:4" x14ac:dyDescent="0.3">
      <c r="A190" s="2">
        <f>114.331923090849*(1/3.6)</f>
        <v>31.758867525235935</v>
      </c>
      <c r="B190" s="2">
        <f t="shared" si="5"/>
        <v>0</v>
      </c>
      <c r="C190" s="2">
        <f>149.342085360333*(1/3.6)</f>
        <v>41.48391260009263</v>
      </c>
      <c r="D190" s="2">
        <f t="shared" si="4"/>
        <v>0</v>
      </c>
    </row>
    <row r="191" spans="1:4" x14ac:dyDescent="0.3">
      <c r="A191" s="2">
        <f>114.062839398676*(1/3.6)</f>
        <v>31.684122055187913</v>
      </c>
      <c r="B191" s="2">
        <f t="shared" si="5"/>
        <v>0</v>
      </c>
      <c r="C191" s="2">
        <f>149.160475848865*(1/3.6)</f>
        <v>41.433465513573744</v>
      </c>
      <c r="D191" s="2">
        <f t="shared" si="4"/>
        <v>0</v>
      </c>
    </row>
    <row r="192" spans="1:4" x14ac:dyDescent="0.3">
      <c r="A192" s="2">
        <f>114.175770429521*(1/3.6)</f>
        <v>31.715491785978173</v>
      </c>
      <c r="B192" s="2">
        <f t="shared" si="5"/>
        <v>0</v>
      </c>
      <c r="C192" s="2">
        <f>149.2397270758*(1/3.6)</f>
        <v>41.455479743277685</v>
      </c>
      <c r="D192" s="2">
        <f t="shared" si="4"/>
        <v>0</v>
      </c>
    </row>
    <row r="193" spans="1:4" x14ac:dyDescent="0.3">
      <c r="A193" s="2">
        <f>114.897330107748*(1/3.6)</f>
        <v>31.915925029929877</v>
      </c>
      <c r="B193" s="2">
        <f t="shared" si="5"/>
        <v>0</v>
      </c>
      <c r="C193" s="2">
        <f>149.73610010169*(1/3.6)</f>
        <v>41.593361139358336</v>
      </c>
      <c r="D193" s="2">
        <f t="shared" si="4"/>
        <v>0</v>
      </c>
    </row>
    <row r="194" spans="1:4" x14ac:dyDescent="0.3">
      <c r="A194" s="2">
        <f>114.528628364831*(1/3.6)</f>
        <v>31.813507879119847</v>
      </c>
      <c r="B194" s="2">
        <f t="shared" si="5"/>
        <v>0</v>
      </c>
      <c r="C194" s="2">
        <f>149.48539966741*(1/3.6)</f>
        <v>41.523722129836031</v>
      </c>
      <c r="D194" s="2">
        <f t="shared" ref="D194:D257" si="6">0*(1/3.6)</f>
        <v>0</v>
      </c>
    </row>
    <row r="195" spans="1:4" x14ac:dyDescent="0.3">
      <c r="A195" s="2">
        <f>114.35947513195*(1/3.6)</f>
        <v>31.766520869986174</v>
      </c>
      <c r="B195" s="2">
        <f t="shared" si="5"/>
        <v>0</v>
      </c>
      <c r="C195" s="2">
        <f>149.371798340933*(1/3.6)</f>
        <v>41.492166205814797</v>
      </c>
      <c r="D195" s="2">
        <f t="shared" si="6"/>
        <v>0</v>
      </c>
    </row>
    <row r="196" spans="1:4" x14ac:dyDescent="0.3">
      <c r="A196" s="2">
        <f>114.622334315594*(1/3.6)</f>
        <v>31.839537309887245</v>
      </c>
      <c r="B196" s="2">
        <f t="shared" si="5"/>
        <v>0</v>
      </c>
      <c r="C196" s="2">
        <f>149.553972841028*(1/3.6)</f>
        <v>41.542770233618846</v>
      </c>
      <c r="D196" s="2">
        <f t="shared" si="6"/>
        <v>0</v>
      </c>
    </row>
    <row r="197" spans="1:4" x14ac:dyDescent="0.3">
      <c r="A197" s="2">
        <f>114.575513469622*(1/3.6)</f>
        <v>31.826531519339429</v>
      </c>
      <c r="B197" s="2">
        <f t="shared" si="5"/>
        <v>0</v>
      </c>
      <c r="C197" s="2">
        <f>149.524066974474*(1/3.6)</f>
        <v>41.534463048465071</v>
      </c>
      <c r="D197" s="2">
        <f t="shared" si="6"/>
        <v>0</v>
      </c>
    </row>
    <row r="198" spans="1:4" x14ac:dyDescent="0.3">
      <c r="A198" s="2">
        <f>114.019474201505*(1/3.6)</f>
        <v>31.672076167084697</v>
      </c>
      <c r="B198" s="2">
        <f t="shared" si="5"/>
        <v>0</v>
      </c>
      <c r="C198" s="2">
        <f>149.146033956422*(1/3.6)</f>
        <v>41.429453876783818</v>
      </c>
      <c r="D198" s="2">
        <f t="shared" si="6"/>
        <v>0</v>
      </c>
    </row>
    <row r="199" spans="1:4" x14ac:dyDescent="0.3">
      <c r="A199" s="2">
        <f>114.164566241884*(1/3.6)</f>
        <v>31.712379511634381</v>
      </c>
      <c r="B199" s="2">
        <f t="shared" si="5"/>
        <v>0</v>
      </c>
      <c r="C199" s="2">
        <f>149.247253397542*(1/3.6)</f>
        <v>41.45757038820603</v>
      </c>
      <c r="D199" s="2">
        <f t="shared" si="6"/>
        <v>0</v>
      </c>
    </row>
    <row r="200" spans="1:4" x14ac:dyDescent="0.3">
      <c r="A200" s="2">
        <f>113.985913155593*(1/3.6)</f>
        <v>31.662753654331411</v>
      </c>
      <c r="B200" s="2">
        <f t="shared" si="5"/>
        <v>0</v>
      </c>
      <c r="C200" s="2">
        <f>149.127463718445*(1/3.6)</f>
        <v>41.42429547734578</v>
      </c>
      <c r="D200" s="2">
        <f t="shared" si="6"/>
        <v>0</v>
      </c>
    </row>
    <row r="201" spans="1:4" x14ac:dyDescent="0.3">
      <c r="A201" s="2">
        <f>114.245506692326*(1/3.6)</f>
        <v>31.734862970090617</v>
      </c>
      <c r="B201" s="2">
        <f t="shared" ref="B201:B232" si="7">0*(1/3.6)</f>
        <v>0</v>
      </c>
      <c r="C201" s="2">
        <f>149.306906132629*(1/3.6)</f>
        <v>41.474140592397006</v>
      </c>
      <c r="D201" s="2">
        <f t="shared" si="6"/>
        <v>0</v>
      </c>
    </row>
    <row r="202" spans="1:4" x14ac:dyDescent="0.3">
      <c r="A202" s="2">
        <f>113.82218720401*(1/3.6)</f>
        <v>31.617274223336135</v>
      </c>
      <c r="B202" s="2">
        <f t="shared" si="7"/>
        <v>0</v>
      </c>
      <c r="C202" s="2">
        <f>149.02016186595*(1/3.6)</f>
        <v>41.394489407208425</v>
      </c>
      <c r="D202" s="2">
        <f t="shared" si="6"/>
        <v>0</v>
      </c>
    </row>
    <row r="203" spans="1:4" x14ac:dyDescent="0.3">
      <c r="A203" s="2">
        <f>124.27567224186*(1/3.6)</f>
        <v>34.521020067183464</v>
      </c>
      <c r="B203" s="2">
        <f t="shared" si="7"/>
        <v>0</v>
      </c>
      <c r="C203" s="2">
        <f>156.432911876543*(1/3.6)</f>
        <v>43.453586632373074</v>
      </c>
      <c r="D203" s="2">
        <f t="shared" si="6"/>
        <v>0</v>
      </c>
    </row>
    <row r="204" spans="1:4" x14ac:dyDescent="0.3">
      <c r="A204" s="2">
        <f>113.548924166281*(1/3.6)</f>
        <v>31.541367823967079</v>
      </c>
      <c r="B204" s="2">
        <f t="shared" si="7"/>
        <v>0</v>
      </c>
      <c r="C204" s="2">
        <f>148.838474361518*(1/3.6)</f>
        <v>41.344020655977168</v>
      </c>
      <c r="D204" s="2">
        <f t="shared" si="6"/>
        <v>0</v>
      </c>
    </row>
    <row r="205" spans="1:4" x14ac:dyDescent="0.3">
      <c r="A205" s="2">
        <f>113.946095136536*(1/3.6)</f>
        <v>31.651693093482312</v>
      </c>
      <c r="B205" s="2">
        <f t="shared" si="7"/>
        <v>0</v>
      </c>
      <c r="C205" s="2">
        <f>149.111113005763*(1/3.6)</f>
        <v>41.419753612711851</v>
      </c>
      <c r="D205" s="2">
        <f t="shared" si="6"/>
        <v>0</v>
      </c>
    </row>
    <row r="206" spans="1:4" x14ac:dyDescent="0.3">
      <c r="A206" s="2">
        <f>114.672425127449*(1/3.6)</f>
        <v>31.853451424291332</v>
      </c>
      <c r="B206" s="2">
        <f t="shared" si="7"/>
        <v>0</v>
      </c>
      <c r="C206" s="2">
        <f>149.610192642519*(1/3.6)</f>
        <v>41.55838684514427</v>
      </c>
      <c r="D206" s="2">
        <f t="shared" si="6"/>
        <v>0</v>
      </c>
    </row>
    <row r="207" spans="1:4" x14ac:dyDescent="0.3">
      <c r="A207" s="2">
        <f>114.317131315416*(1/3.6)</f>
        <v>31.754758698726683</v>
      </c>
      <c r="B207" s="2">
        <f t="shared" si="7"/>
        <v>0</v>
      </c>
      <c r="C207" s="2">
        <f>149.368935676316*(1/3.6)</f>
        <v>41.491371021198816</v>
      </c>
      <c r="D207" s="2">
        <f t="shared" si="6"/>
        <v>0</v>
      </c>
    </row>
    <row r="208" spans="1:4" x14ac:dyDescent="0.3">
      <c r="A208" s="2">
        <f>113.959906579159*(1/3.6)</f>
        <v>31.655529605321846</v>
      </c>
      <c r="B208" s="2">
        <f t="shared" si="7"/>
        <v>0</v>
      </c>
      <c r="C208" s="2">
        <f>149.127022885059*(1/3.6)</f>
        <v>41.424173023627461</v>
      </c>
      <c r="D208" s="2">
        <f t="shared" si="6"/>
        <v>0</v>
      </c>
    </row>
    <row r="209" spans="1:4" x14ac:dyDescent="0.3">
      <c r="A209" s="2">
        <f>113.836267644468*(1/3.6)</f>
        <v>31.621185456796653</v>
      </c>
      <c r="B209" s="2">
        <f t="shared" si="7"/>
        <v>0</v>
      </c>
      <c r="C209" s="2">
        <f>149.044862381076*(1/3.6)</f>
        <v>41.401350661409921</v>
      </c>
      <c r="D209" s="2">
        <f t="shared" si="6"/>
        <v>0</v>
      </c>
    </row>
    <row r="210" spans="1:4" x14ac:dyDescent="0.3">
      <c r="A210" s="2">
        <f>113.869619248361*(1/3.6)</f>
        <v>31.630449791211266</v>
      </c>
      <c r="B210" s="2">
        <f t="shared" si="7"/>
        <v>0</v>
      </c>
      <c r="C210" s="2">
        <f>149.069760383913*(1/3.6)</f>
        <v>41.408266773309208</v>
      </c>
      <c r="D210" s="2">
        <f t="shared" si="6"/>
        <v>0</v>
      </c>
    </row>
    <row r="211" spans="1:4" x14ac:dyDescent="0.3">
      <c r="A211" s="2">
        <f>114.010110236492*(1/3.6)</f>
        <v>31.669475065692147</v>
      </c>
      <c r="B211" s="2">
        <f t="shared" si="7"/>
        <v>0</v>
      </c>
      <c r="C211" s="2">
        <f>149.167779731674*(1/3.6)</f>
        <v>41.435494369909492</v>
      </c>
      <c r="D211" s="2">
        <f t="shared" si="6"/>
        <v>0</v>
      </c>
    </row>
    <row r="212" spans="1:4" x14ac:dyDescent="0.3">
      <c r="A212" s="2">
        <f>113.981437506472*(1/3.6)</f>
        <v>31.661510418464324</v>
      </c>
      <c r="B212" s="2">
        <f t="shared" si="7"/>
        <v>0</v>
      </c>
      <c r="C212" s="2">
        <f>149.150371480186*(1/3.6)</f>
        <v>41.430658744496043</v>
      </c>
      <c r="D212" s="2">
        <f t="shared" si="6"/>
        <v>0</v>
      </c>
    </row>
    <row r="213" spans="1:4" x14ac:dyDescent="0.3">
      <c r="A213" s="2">
        <f>113.802779219711*(1/3.6)</f>
        <v>31.611883116586405</v>
      </c>
      <c r="B213" s="2">
        <f t="shared" si="7"/>
        <v>0</v>
      </c>
      <c r="C213" s="2">
        <f>149.030668358651*(1/3.6)</f>
        <v>41.397407877402969</v>
      </c>
      <c r="D213" s="2">
        <f t="shared" si="6"/>
        <v>0</v>
      </c>
    </row>
    <row r="214" spans="1:4" x14ac:dyDescent="0.3">
      <c r="A214" s="2">
        <f>114.233344565044*(1/3.6)</f>
        <v>31.731484601401036</v>
      </c>
      <c r="B214" s="2">
        <f t="shared" si="7"/>
        <v>0</v>
      </c>
      <c r="C214" s="2">
        <f>149.32683888322*(1/3.6)</f>
        <v>41.479677467561061</v>
      </c>
      <c r="D214" s="2">
        <f t="shared" si="6"/>
        <v>0</v>
      </c>
    </row>
    <row r="215" spans="1:4" x14ac:dyDescent="0.3">
      <c r="A215" s="2">
        <f>114.124020890548*(1/3.6)</f>
        <v>31.701116914041176</v>
      </c>
      <c r="B215" s="2">
        <f t="shared" si="7"/>
        <v>0</v>
      </c>
      <c r="C215" s="2">
        <f>149.25426119242*(1/3.6)</f>
        <v>41.459516997894504</v>
      </c>
      <c r="D215" s="2">
        <f t="shared" si="6"/>
        <v>0</v>
      </c>
    </row>
    <row r="216" spans="1:4" x14ac:dyDescent="0.3">
      <c r="A216" s="2">
        <f>113.973756481827*(1/3.6)</f>
        <v>31.65937680050747</v>
      </c>
      <c r="B216" s="2">
        <f t="shared" si="7"/>
        <v>0</v>
      </c>
      <c r="C216" s="2">
        <f>149.153786844638*(1/3.6)</f>
        <v>41.431607456843921</v>
      </c>
      <c r="D216" s="2">
        <f t="shared" si="6"/>
        <v>0</v>
      </c>
    </row>
    <row r="217" spans="1:4" x14ac:dyDescent="0.3">
      <c r="A217" s="2">
        <f>117.015206707939*(1/3.6)</f>
        <v>32.504224085538667</v>
      </c>
      <c r="B217" s="2">
        <f t="shared" si="7"/>
        <v>0</v>
      </c>
      <c r="C217" s="2">
        <f>151.257410404464*(1/3.6)</f>
        <v>42.015947334573418</v>
      </c>
      <c r="D217" s="2">
        <f t="shared" si="6"/>
        <v>0</v>
      </c>
    </row>
    <row r="218" spans="1:4" x14ac:dyDescent="0.3">
      <c r="A218" s="2">
        <f>118.300065277543*(1/3.6)</f>
        <v>32.861129243762043</v>
      </c>
      <c r="B218" s="2">
        <f t="shared" si="7"/>
        <v>0</v>
      </c>
      <c r="C218" s="2">
        <f>152.162277950079*(1/3.6)</f>
        <v>42.267299430577637</v>
      </c>
      <c r="D218" s="2">
        <f t="shared" si="6"/>
        <v>0</v>
      </c>
    </row>
    <row r="219" spans="1:4" x14ac:dyDescent="0.3">
      <c r="A219" s="2">
        <f>118.142536066829*(1/3.6)</f>
        <v>32.817371129674626</v>
      </c>
      <c r="B219" s="2">
        <f t="shared" si="7"/>
        <v>0</v>
      </c>
      <c r="C219" s="2">
        <f>152.053469061651*(1/3.6)</f>
        <v>42.237074739347364</v>
      </c>
      <c r="D219" s="2">
        <f t="shared" si="6"/>
        <v>0</v>
      </c>
    </row>
    <row r="220" spans="1:4" x14ac:dyDescent="0.3">
      <c r="A220" s="2">
        <f>118.260655069248*(1/3.6)</f>
        <v>32.850181963679873</v>
      </c>
      <c r="B220" s="2">
        <f t="shared" si="7"/>
        <v>0</v>
      </c>
      <c r="C220" s="2">
        <f>152.139108800696*(1/3.6)</f>
        <v>42.260863555748955</v>
      </c>
      <c r="D220" s="2">
        <f t="shared" si="6"/>
        <v>0</v>
      </c>
    </row>
    <row r="221" spans="1:4" x14ac:dyDescent="0.3">
      <c r="A221" s="2">
        <f>118.330931002724*(1/3.6)</f>
        <v>32.869703056312325</v>
      </c>
      <c r="B221" s="2">
        <f t="shared" si="7"/>
        <v>0</v>
      </c>
      <c r="C221" s="2">
        <f>152.191041379798*(1/3.6)</f>
        <v>42.275289272166248</v>
      </c>
      <c r="D221" s="2">
        <f t="shared" si="6"/>
        <v>0</v>
      </c>
    </row>
    <row r="222" spans="1:4" x14ac:dyDescent="0.3">
      <c r="A222" s="2">
        <f>118.364081217292*(1/3.6)</f>
        <v>32.878911449247887</v>
      </c>
      <c r="B222" s="2">
        <f t="shared" si="7"/>
        <v>0</v>
      </c>
      <c r="C222" s="2">
        <f>152.216778587069*(1/3.6)</f>
        <v>42.282438496407941</v>
      </c>
      <c r="D222" s="2">
        <f t="shared" si="6"/>
        <v>0</v>
      </c>
    </row>
    <row r="223" spans="1:4" x14ac:dyDescent="0.3">
      <c r="A223" s="2">
        <f>118.207618818246*(1/3.6)</f>
        <v>32.835449671734992</v>
      </c>
      <c r="B223" s="2">
        <f t="shared" si="7"/>
        <v>0</v>
      </c>
      <c r="C223" s="2">
        <f>152.10864974381*(1/3.6)</f>
        <v>42.252402706613815</v>
      </c>
      <c r="D223" s="2">
        <f t="shared" si="6"/>
        <v>0</v>
      </c>
    </row>
    <row r="224" spans="1:4" x14ac:dyDescent="0.3">
      <c r="A224" s="2">
        <f>114.21360097826*(1/3.6)</f>
        <v>31.726000271738908</v>
      </c>
      <c r="B224" s="2">
        <f t="shared" si="7"/>
        <v>0</v>
      </c>
      <c r="C224" s="2">
        <f>149.335076037681*(1/3.6)</f>
        <v>41.481965566022581</v>
      </c>
      <c r="D224" s="2">
        <f t="shared" si="6"/>
        <v>0</v>
      </c>
    </row>
    <row r="225" spans="1:4" x14ac:dyDescent="0.3">
      <c r="A225" s="2">
        <f>114.906223512918*(1/3.6)</f>
        <v>31.918395420255006</v>
      </c>
      <c r="B225" s="2">
        <f t="shared" si="7"/>
        <v>0</v>
      </c>
      <c r="C225" s="2">
        <f>149.812530884958*(1/3.6)</f>
        <v>41.614591912488429</v>
      </c>
      <c r="D225" s="2">
        <f t="shared" si="6"/>
        <v>0</v>
      </c>
    </row>
    <row r="226" spans="1:4" x14ac:dyDescent="0.3">
      <c r="A226" s="2">
        <f>109.471169153942*(1/3.6)</f>
        <v>30.408658098317105</v>
      </c>
      <c r="B226" s="2">
        <f t="shared" si="7"/>
        <v>0</v>
      </c>
      <c r="C226" s="2">
        <f>146.156325184666*(1/3.6)</f>
        <v>40.598979217962643</v>
      </c>
      <c r="D226" s="2">
        <f t="shared" si="6"/>
        <v>0</v>
      </c>
    </row>
    <row r="227" spans="1:4" x14ac:dyDescent="0.3">
      <c r="A227" s="2">
        <f>113.164081573163*(1/3.6)</f>
        <v>31.434467103656509</v>
      </c>
      <c r="B227" s="2">
        <f t="shared" si="7"/>
        <v>0</v>
      </c>
      <c r="C227" s="2">
        <f>148.626334077369*(1/3.6)</f>
        <v>41.285092799269215</v>
      </c>
      <c r="D227" s="2">
        <f t="shared" si="6"/>
        <v>0</v>
      </c>
    </row>
    <row r="228" spans="1:4" x14ac:dyDescent="0.3">
      <c r="A228" s="2">
        <f>114.346078297656*(1/3.6)</f>
        <v>31.762799527126685</v>
      </c>
      <c r="B228" s="2">
        <f t="shared" si="7"/>
        <v>0</v>
      </c>
      <c r="C228" s="2">
        <f>149.434496563995*(1/3.6)</f>
        <v>41.509582378887451</v>
      </c>
      <c r="D228" s="2">
        <f t="shared" si="6"/>
        <v>0</v>
      </c>
    </row>
    <row r="229" spans="1:4" x14ac:dyDescent="0.3">
      <c r="A229" s="2">
        <f>0*(1/3.6)</f>
        <v>0</v>
      </c>
      <c r="B229" s="2">
        <f t="shared" si="7"/>
        <v>0</v>
      </c>
      <c r="C229" s="2">
        <f>101.451073212927*(1/3.6)</f>
        <v>28.180853670257623</v>
      </c>
      <c r="D229" s="2">
        <f t="shared" si="6"/>
        <v>0</v>
      </c>
    </row>
    <row r="230" spans="1:4" x14ac:dyDescent="0.3">
      <c r="A230" s="2">
        <f>92.9503307181284*(1/3.6)</f>
        <v>25.819536310591211</v>
      </c>
      <c r="B230" s="2">
        <f t="shared" si="7"/>
        <v>0</v>
      </c>
      <c r="C230" s="2">
        <f>136.126435406618*(1/3.6)</f>
        <v>37.812898724060446</v>
      </c>
      <c r="D230" s="2">
        <f t="shared" si="6"/>
        <v>0</v>
      </c>
    </row>
    <row r="231" spans="1:4" x14ac:dyDescent="0.3">
      <c r="A231" s="2">
        <f>104.417470572213*(1/3.6)</f>
        <v>29.004852936725754</v>
      </c>
      <c r="B231" s="2">
        <f t="shared" si="7"/>
        <v>0</v>
      </c>
      <c r="C231" s="2">
        <f>142.915815955044*(1/3.6)</f>
        <v>39.698837765289888</v>
      </c>
      <c r="D231" s="2">
        <f t="shared" si="6"/>
        <v>0</v>
      </c>
    </row>
    <row r="232" spans="1:4" x14ac:dyDescent="0.3">
      <c r="A232" s="2">
        <f>113.519174136154*(1/3.6)</f>
        <v>31.533103926709412</v>
      </c>
      <c r="B232" s="2">
        <f t="shared" si="7"/>
        <v>0</v>
      </c>
      <c r="C232" s="2">
        <f>148.878413457328*(1/3.6)</f>
        <v>41.355114849257788</v>
      </c>
      <c r="D232" s="2">
        <f t="shared" si="6"/>
        <v>0</v>
      </c>
    </row>
    <row r="233" spans="1:4" x14ac:dyDescent="0.3">
      <c r="A233" s="2">
        <f>114.745530101421*(1/3.6)</f>
        <v>31.873758361505942</v>
      </c>
      <c r="B233" s="2">
        <f t="shared" ref="B233:B264" si="8">0*(1/3.6)</f>
        <v>0</v>
      </c>
      <c r="C233" s="2">
        <f>149.719592608473*(1/3.6)</f>
        <v>41.588775724575704</v>
      </c>
      <c r="D233" s="2">
        <f t="shared" si="6"/>
        <v>0</v>
      </c>
    </row>
    <row r="234" spans="1:4" x14ac:dyDescent="0.3">
      <c r="A234" s="2">
        <f>114.767788608631*(1/3.6)</f>
        <v>31.879941280175323</v>
      </c>
      <c r="B234" s="2">
        <f t="shared" si="8"/>
        <v>0</v>
      </c>
      <c r="C234" s="2">
        <f>149.737093613777*(1/3.6)</f>
        <v>41.593637114938062</v>
      </c>
      <c r="D234" s="2">
        <f t="shared" si="6"/>
        <v>0</v>
      </c>
    </row>
    <row r="235" spans="1:4" x14ac:dyDescent="0.3">
      <c r="A235" s="2">
        <f>114.743280896832*(1/3.6)</f>
        <v>31.873133582453235</v>
      </c>
      <c r="B235" s="2">
        <f t="shared" si="8"/>
        <v>0</v>
      </c>
      <c r="C235" s="2">
        <f>149.72243841204*(1/3.6)</f>
        <v>41.58956622556677</v>
      </c>
      <c r="D235" s="2">
        <f t="shared" si="6"/>
        <v>0</v>
      </c>
    </row>
    <row r="236" spans="1:4" x14ac:dyDescent="0.3">
      <c r="A236" s="2">
        <f>114.618751470434*(1/3.6)</f>
        <v>31.838542075120628</v>
      </c>
      <c r="B236" s="2">
        <f t="shared" si="8"/>
        <v>0</v>
      </c>
      <c r="C236" s="2">
        <f>149.639050323177*(1/3.6)</f>
        <v>41.566402867549101</v>
      </c>
      <c r="D236" s="2">
        <f t="shared" si="6"/>
        <v>0</v>
      </c>
    </row>
    <row r="237" spans="1:4" x14ac:dyDescent="0.3">
      <c r="A237" s="2">
        <f>113.900865359503*(1/3.6)</f>
        <v>31.639129266528521</v>
      </c>
      <c r="B237" s="2">
        <f t="shared" si="8"/>
        <v>0</v>
      </c>
      <c r="C237" s="2">
        <f>149.149485387931*(1/3.6)</f>
        <v>41.430412607758527</v>
      </c>
      <c r="D237" s="2">
        <f t="shared" si="6"/>
        <v>0</v>
      </c>
    </row>
    <row r="238" spans="1:4" x14ac:dyDescent="0.3">
      <c r="A238" s="2">
        <f>114.569125747002*(1/3.6)</f>
        <v>31.824757151945082</v>
      </c>
      <c r="B238" s="2">
        <f t="shared" si="8"/>
        <v>0</v>
      </c>
      <c r="C238" s="2">
        <f>149.609348369961*(1/3.6)</f>
        <v>41.558152324989074</v>
      </c>
      <c r="D238" s="2">
        <f t="shared" si="6"/>
        <v>0</v>
      </c>
    </row>
    <row r="239" spans="1:4" x14ac:dyDescent="0.3">
      <c r="A239" s="2">
        <f>114.357340226658*(1/3.6)</f>
        <v>31.765927840738222</v>
      </c>
      <c r="B239" s="2">
        <f t="shared" si="8"/>
        <v>0</v>
      </c>
      <c r="C239" s="2">
        <f>149.466214056215*(1/3.6)</f>
        <v>41.518392793393105</v>
      </c>
      <c r="D239" s="2">
        <f t="shared" si="6"/>
        <v>0</v>
      </c>
    </row>
    <row r="240" spans="1:4" x14ac:dyDescent="0.3">
      <c r="A240" s="2">
        <f>111.242678899968*(1/3.6)</f>
        <v>30.900744138880047</v>
      </c>
      <c r="B240" s="2">
        <f t="shared" si="8"/>
        <v>0</v>
      </c>
      <c r="C240" s="2">
        <f>147.359556616975*(1/3.6)</f>
        <v>40.933210171381923</v>
      </c>
      <c r="D240" s="2">
        <f t="shared" si="6"/>
        <v>0</v>
      </c>
    </row>
    <row r="241" spans="1:4" x14ac:dyDescent="0.3">
      <c r="A241" s="2">
        <f>114.455447571021*(1/3.6)</f>
        <v>31.793179880839197</v>
      </c>
      <c r="B241" s="2">
        <f t="shared" si="8"/>
        <v>0</v>
      </c>
      <c r="C241" s="2">
        <f>149.537877140821*(1/3.6)</f>
        <v>41.538299205783474</v>
      </c>
      <c r="D241" s="2">
        <f t="shared" si="6"/>
        <v>0</v>
      </c>
    </row>
    <row r="242" spans="1:4" x14ac:dyDescent="0.3">
      <c r="A242" s="2">
        <f>114.134091057001*(1/3.6)</f>
        <v>31.703914182500313</v>
      </c>
      <c r="B242" s="2">
        <f t="shared" si="8"/>
        <v>0</v>
      </c>
      <c r="C242" s="2">
        <f>149.31981253409*(1/3.6)</f>
        <v>41.477725703913855</v>
      </c>
      <c r="D242" s="2">
        <f t="shared" si="6"/>
        <v>0</v>
      </c>
    </row>
    <row r="243" spans="1:4" x14ac:dyDescent="0.3">
      <c r="A243" s="2">
        <f>114.433613537628*(1/3.6)</f>
        <v>31.787114871563318</v>
      </c>
      <c r="B243" s="2">
        <f t="shared" si="8"/>
        <v>0</v>
      </c>
      <c r="C243" s="2">
        <f>149.527267888735*(1/3.6)</f>
        <v>41.535352191315312</v>
      </c>
      <c r="D243" s="2">
        <f t="shared" si="6"/>
        <v>0</v>
      </c>
    </row>
    <row r="244" spans="1:4" x14ac:dyDescent="0.3">
      <c r="A244" s="2">
        <f>114.304384552244*(1/3.6)</f>
        <v>31.7512179311788</v>
      </c>
      <c r="B244" s="2">
        <f t="shared" si="8"/>
        <v>0</v>
      </c>
      <c r="C244" s="2">
        <f>149.440821607115*(1/3.6)</f>
        <v>41.511339335309707</v>
      </c>
      <c r="D244" s="2">
        <f t="shared" si="6"/>
        <v>0</v>
      </c>
    </row>
    <row r="245" spans="1:4" x14ac:dyDescent="0.3">
      <c r="A245" s="2">
        <f>114.846586129856*(1/3.6)</f>
        <v>31.90182948051558</v>
      </c>
      <c r="B245" s="2">
        <f t="shared" si="8"/>
        <v>0</v>
      </c>
      <c r="C245" s="2">
        <f>149.815505254218*(1/3.6)</f>
        <v>41.615418126171569</v>
      </c>
      <c r="D245" s="2">
        <f t="shared" si="6"/>
        <v>0</v>
      </c>
    </row>
    <row r="246" spans="1:4" x14ac:dyDescent="0.3">
      <c r="A246" s="2">
        <f>115.001809001591*(1/3.6)</f>
        <v>31.94494694488629</v>
      </c>
      <c r="B246" s="2">
        <f t="shared" si="8"/>
        <v>0</v>
      </c>
      <c r="C246" s="2">
        <f>149.924647195316*(1/3.6)</f>
        <v>41.645735332032118</v>
      </c>
      <c r="D246" s="2">
        <f t="shared" si="6"/>
        <v>0</v>
      </c>
    </row>
    <row r="247" spans="1:4" x14ac:dyDescent="0.3">
      <c r="A247" s="2">
        <f>115.530857018157*(1/3.6)</f>
        <v>32.091904727265799</v>
      </c>
      <c r="B247" s="2">
        <f t="shared" si="8"/>
        <v>0</v>
      </c>
      <c r="C247" s="2">
        <f>150.292336886708*(1/3.6)</f>
        <v>41.747871357418902</v>
      </c>
      <c r="D247" s="2">
        <f t="shared" si="6"/>
        <v>0</v>
      </c>
    </row>
    <row r="248" spans="1:4" x14ac:dyDescent="0.3">
      <c r="A248" s="2">
        <f>115.200160887076*(1/3.6)</f>
        <v>32.000044690854573</v>
      </c>
      <c r="B248" s="2">
        <f t="shared" si="8"/>
        <v>0</v>
      </c>
      <c r="C248" s="2">
        <f>150.065920504742*(1/3.6)</f>
        <v>41.684977917983851</v>
      </c>
      <c r="D248" s="2">
        <f t="shared" si="6"/>
        <v>0</v>
      </c>
    </row>
    <row r="249" spans="1:4" x14ac:dyDescent="0.3">
      <c r="A249" s="2">
        <f>115.187209091194*(1/3.6)</f>
        <v>31.996446969776098</v>
      </c>
      <c r="B249" s="2">
        <f t="shared" si="8"/>
        <v>0</v>
      </c>
      <c r="C249" s="2">
        <f>150.059192465677*(1/3.6)</f>
        <v>41.683109018243627</v>
      </c>
      <c r="D249" s="2">
        <f t="shared" si="6"/>
        <v>0</v>
      </c>
    </row>
    <row r="250" spans="1:4" x14ac:dyDescent="0.3">
      <c r="A250" s="2">
        <f>115.288480856682*(1/3.6)</f>
        <v>32.024578015744886</v>
      </c>
      <c r="B250" s="2">
        <f t="shared" si="8"/>
        <v>0</v>
      </c>
      <c r="C250" s="2">
        <f>150.131364629827*(1/3.6)</f>
        <v>41.7031568416187</v>
      </c>
      <c r="D250" s="2">
        <f t="shared" si="6"/>
        <v>0</v>
      </c>
    </row>
    <row r="251" spans="1:4" x14ac:dyDescent="0.3">
      <c r="A251" s="2">
        <f>115.390728020851*(1/3.6)</f>
        <v>32.052980005791945</v>
      </c>
      <c r="B251" s="2">
        <f t="shared" si="8"/>
        <v>0</v>
      </c>
      <c r="C251" s="2">
        <f>150.204274296253*(1/3.6)</f>
        <v>41.723409526736923</v>
      </c>
      <c r="D251" s="2">
        <f t="shared" si="6"/>
        <v>0</v>
      </c>
    </row>
    <row r="252" spans="1:4" x14ac:dyDescent="0.3">
      <c r="A252" s="2">
        <f>115.609643467399*(1/3.6)</f>
        <v>32.113789852055149</v>
      </c>
      <c r="B252" s="2">
        <f t="shared" si="8"/>
        <v>0</v>
      </c>
      <c r="C252" s="2">
        <f>150.358046213411*(1/3.6)</f>
        <v>41.766123948169792</v>
      </c>
      <c r="D252" s="2">
        <f t="shared" si="6"/>
        <v>0</v>
      </c>
    </row>
    <row r="253" spans="1:4" x14ac:dyDescent="0.3">
      <c r="A253" s="2">
        <f>115.455191456341*(1/3.6)</f>
        <v>32.070886515650251</v>
      </c>
      <c r="B253" s="2">
        <f t="shared" si="8"/>
        <v>0</v>
      </c>
      <c r="C253" s="2">
        <f>150.253321955965*(1/3.6)</f>
        <v>41.737033876657065</v>
      </c>
      <c r="D253" s="2">
        <f t="shared" si="6"/>
        <v>0</v>
      </c>
    </row>
    <row r="254" spans="1:4" x14ac:dyDescent="0.3">
      <c r="A254" s="2">
        <f>115.382524024919*(1/3.6)</f>
        <v>32.050701118033089</v>
      </c>
      <c r="B254" s="2">
        <f t="shared" si="8"/>
        <v>0</v>
      </c>
      <c r="C254" s="2">
        <f>150.205268330987*(1/3.6)</f>
        <v>41.723685647496481</v>
      </c>
      <c r="D254" s="2">
        <f t="shared" si="6"/>
        <v>0</v>
      </c>
    </row>
    <row r="255" spans="1:4" x14ac:dyDescent="0.3">
      <c r="A255" s="2">
        <f>115.541665303616*(1/3.6)</f>
        <v>32.09490702878216</v>
      </c>
      <c r="B255" s="2">
        <f t="shared" si="8"/>
        <v>0</v>
      </c>
      <c r="C255" s="2">
        <f>150.317645351816*(1/3.6)</f>
        <v>41.754901486615637</v>
      </c>
      <c r="D255" s="2">
        <f t="shared" si="6"/>
        <v>0</v>
      </c>
    </row>
    <row r="256" spans="1:4" x14ac:dyDescent="0.3">
      <c r="A256" s="2">
        <f>115.341988113185*(1/3.6)</f>
        <v>32.039441142551382</v>
      </c>
      <c r="B256" s="2">
        <f t="shared" si="8"/>
        <v>0</v>
      </c>
      <c r="C256" s="2">
        <f>150.181676915202*(1/3.6)</f>
        <v>41.717132476444903</v>
      </c>
      <c r="D256" s="2">
        <f t="shared" si="6"/>
        <v>0</v>
      </c>
    </row>
    <row r="257" spans="1:4" x14ac:dyDescent="0.3">
      <c r="A257" s="2">
        <f>115.807369460088*(1/3.6)</f>
        <v>32.168713738913276</v>
      </c>
      <c r="B257" s="2">
        <f t="shared" si="8"/>
        <v>0</v>
      </c>
      <c r="C257" s="2">
        <f>150.506340794135*(1/3.6)</f>
        <v>41.807316887259852</v>
      </c>
      <c r="D257" s="2">
        <f t="shared" si="6"/>
        <v>0</v>
      </c>
    </row>
    <row r="258" spans="1:4" x14ac:dyDescent="0.3">
      <c r="A258" s="2">
        <f>116.080753856082*(1/3.6)</f>
        <v>32.244653848911732</v>
      </c>
      <c r="B258" s="2">
        <f t="shared" si="8"/>
        <v>0</v>
      </c>
      <c r="C258" s="2">
        <f>150.69854751798*(1/3.6)</f>
        <v>41.860707643883202</v>
      </c>
      <c r="D258" s="2">
        <f t="shared" ref="D258:D321" si="9">0*(1/3.6)</f>
        <v>0</v>
      </c>
    </row>
    <row r="259" spans="1:4" x14ac:dyDescent="0.3">
      <c r="A259" s="2">
        <f>115.90769097339*(1/3.6)</f>
        <v>32.196580825941588</v>
      </c>
      <c r="B259" s="2">
        <f t="shared" si="8"/>
        <v>0</v>
      </c>
      <c r="C259" s="2">
        <f>150.580487250113*(1/3.6)</f>
        <v>41.827913125031309</v>
      </c>
      <c r="D259" s="2">
        <f t="shared" si="9"/>
        <v>0</v>
      </c>
    </row>
    <row r="260" spans="1:4" x14ac:dyDescent="0.3">
      <c r="A260" s="2">
        <f>115.576677300088*(1/3.6)</f>
        <v>32.104632583357656</v>
      </c>
      <c r="B260" s="2">
        <f t="shared" si="8"/>
        <v>0</v>
      </c>
      <c r="C260" s="2">
        <f>150.353051681767*(1/3.6)</f>
        <v>41.764736578268689</v>
      </c>
      <c r="D260" s="2">
        <f t="shared" si="9"/>
        <v>0</v>
      </c>
    </row>
    <row r="261" spans="1:4" x14ac:dyDescent="0.3">
      <c r="A261" s="2">
        <f>115.943679175388*(1/3.6)</f>
        <v>32.206577548718975</v>
      </c>
      <c r="B261" s="2">
        <f t="shared" si="8"/>
        <v>0</v>
      </c>
      <c r="C261" s="2">
        <f>150.609981486153*(1/3.6)</f>
        <v>41.836105968375868</v>
      </c>
      <c r="D261" s="2">
        <f t="shared" si="9"/>
        <v>0</v>
      </c>
    </row>
    <row r="262" spans="1:4" x14ac:dyDescent="0.3">
      <c r="A262" s="2">
        <f>115.932082768314*(1/3.6)</f>
        <v>32.203356324531704</v>
      </c>
      <c r="B262" s="2">
        <f t="shared" si="8"/>
        <v>0</v>
      </c>
      <c r="C262" s="2">
        <f>150.604167005078*(1/3.6)</f>
        <v>41.834490834743981</v>
      </c>
      <c r="D262" s="2">
        <f t="shared" si="9"/>
        <v>0</v>
      </c>
    </row>
    <row r="263" spans="1:4" x14ac:dyDescent="0.3">
      <c r="A263" s="2">
        <f>115.782407213255*(1/3.6)</f>
        <v>32.161779781459742</v>
      </c>
      <c r="B263" s="2">
        <f t="shared" si="8"/>
        <v>0</v>
      </c>
      <c r="C263" s="2">
        <f>150.502448205221*(1/3.6)</f>
        <v>41.806235612561416</v>
      </c>
      <c r="D263" s="2">
        <f t="shared" si="9"/>
        <v>0</v>
      </c>
    </row>
    <row r="264" spans="1:4" x14ac:dyDescent="0.3">
      <c r="A264" s="2">
        <f>116.38747929577*(1/3.6)</f>
        <v>32.32985535993609</v>
      </c>
      <c r="B264" s="2">
        <f t="shared" si="8"/>
        <v>0</v>
      </c>
      <c r="C264" s="2">
        <f>150.925724653932*(1/3.6)</f>
        <v>41.923812403870002</v>
      </c>
      <c r="D264" s="2">
        <f t="shared" si="9"/>
        <v>0</v>
      </c>
    </row>
    <row r="265" spans="1:4" x14ac:dyDescent="0.3">
      <c r="A265" s="2">
        <f>115.696237660165*(1/3.6)</f>
        <v>32.137843794490408</v>
      </c>
      <c r="B265" s="2">
        <f t="shared" ref="B265:B296" si="10">0*(1/3.6)</f>
        <v>0</v>
      </c>
      <c r="C265" s="2">
        <f>150.447122526931*(1/3.6)</f>
        <v>41.790867368591847</v>
      </c>
      <c r="D265" s="2">
        <f t="shared" si="9"/>
        <v>0</v>
      </c>
    </row>
    <row r="266" spans="1:4" x14ac:dyDescent="0.3">
      <c r="A266" s="2">
        <f>115.996481842652*(1/3.6)</f>
        <v>32.221244956292267</v>
      </c>
      <c r="B266" s="2">
        <f t="shared" si="10"/>
        <v>0</v>
      </c>
      <c r="C266" s="2">
        <f>150.657921681074*(1/3.6)</f>
        <v>41.849422689187186</v>
      </c>
      <c r="D266" s="2">
        <f t="shared" si="9"/>
        <v>0</v>
      </c>
    </row>
    <row r="267" spans="1:4" x14ac:dyDescent="0.3">
      <c r="A267" s="2">
        <f>115.95339647031*(1/3.6)</f>
        <v>32.209276797308462</v>
      </c>
      <c r="B267" s="2">
        <f t="shared" si="10"/>
        <v>0</v>
      </c>
      <c r="C267" s="2">
        <f>150.630209170334*(1/3.6)</f>
        <v>41.841724769537251</v>
      </c>
      <c r="D267" s="2">
        <f t="shared" si="9"/>
        <v>0</v>
      </c>
    </row>
    <row r="268" spans="1:4" x14ac:dyDescent="0.3">
      <c r="A268" s="2">
        <f>118.191020707911*(1/3.6)</f>
        <v>32.830839085530847</v>
      </c>
      <c r="B268" s="2">
        <f t="shared" si="10"/>
        <v>0</v>
      </c>
      <c r="C268" s="2">
        <f>152.20154324642*(1/3.6)</f>
        <v>42.278206457338818</v>
      </c>
      <c r="D268" s="2">
        <f t="shared" si="9"/>
        <v>0</v>
      </c>
    </row>
    <row r="269" spans="1:4" x14ac:dyDescent="0.3">
      <c r="A269" s="2">
        <f>115.862388162486*(1/3.6)</f>
        <v>32.183996711801697</v>
      </c>
      <c r="B269" s="2">
        <f t="shared" si="10"/>
        <v>0</v>
      </c>
      <c r="C269" s="2">
        <f>150.571443636602*(1/3.6)</f>
        <v>41.825401010167212</v>
      </c>
      <c r="D269" s="2">
        <f t="shared" si="9"/>
        <v>0</v>
      </c>
    </row>
    <row r="270" spans="1:4" x14ac:dyDescent="0.3">
      <c r="A270" s="2">
        <f>116.324486102706*(1/3.6)</f>
        <v>32.31235725075171</v>
      </c>
      <c r="B270" s="2">
        <f t="shared" si="10"/>
        <v>0</v>
      </c>
      <c r="C270" s="2">
        <f>150.895358936685*(1/3.6)</f>
        <v>41.915377482412538</v>
      </c>
      <c r="D270" s="2">
        <f t="shared" si="9"/>
        <v>0</v>
      </c>
    </row>
    <row r="271" spans="1:4" x14ac:dyDescent="0.3">
      <c r="A271" s="2">
        <f>116.664757207461*(1/3.6)</f>
        <v>32.406877002072619</v>
      </c>
      <c r="B271" s="2">
        <f t="shared" si="10"/>
        <v>0</v>
      </c>
      <c r="C271" s="2">
        <f>151.135226808359*(1/3.6)</f>
        <v>41.982007446766431</v>
      </c>
      <c r="D271" s="2">
        <f t="shared" si="9"/>
        <v>0</v>
      </c>
    </row>
    <row r="272" spans="1:4" x14ac:dyDescent="0.3">
      <c r="A272" s="2">
        <f>116.416914698357*(1/3.6)</f>
        <v>32.33803186065461</v>
      </c>
      <c r="B272" s="2">
        <f t="shared" si="10"/>
        <v>0</v>
      </c>
      <c r="C272" s="2">
        <f>150.964364325036*(1/3.6)</f>
        <v>41.934545645843322</v>
      </c>
      <c r="D272" s="2">
        <f t="shared" si="9"/>
        <v>0</v>
      </c>
    </row>
    <row r="273" spans="1:4" x14ac:dyDescent="0.3">
      <c r="A273" s="2">
        <f>119.621876825842*(1/3.6)</f>
        <v>33.228299118289463</v>
      </c>
      <c r="B273" s="2">
        <f t="shared" si="10"/>
        <v>0</v>
      </c>
      <c r="C273" s="2">
        <f>153.23055364809*(1/3.6)</f>
        <v>42.564042680025096</v>
      </c>
      <c r="D273" s="2">
        <f t="shared" si="9"/>
        <v>0</v>
      </c>
    </row>
    <row r="274" spans="1:4" x14ac:dyDescent="0.3">
      <c r="A274" s="2">
        <f>116.132995576875*(1/3.6)</f>
        <v>32.259165438020723</v>
      </c>
      <c r="B274" s="2">
        <f t="shared" si="10"/>
        <v>0</v>
      </c>
      <c r="C274" s="2">
        <f>150.770936484861*(1/3.6)</f>
        <v>41.880815690239075</v>
      </c>
      <c r="D274" s="2">
        <f t="shared" si="9"/>
        <v>0</v>
      </c>
    </row>
    <row r="275" spans="1:4" x14ac:dyDescent="0.3">
      <c r="A275" s="2">
        <f>116.991970413487*(1/3.6)</f>
        <v>32.497769559301908</v>
      </c>
      <c r="B275" s="2">
        <f t="shared" si="10"/>
        <v>0</v>
      </c>
      <c r="C275" s="2">
        <f>151.373437860199*(1/3.6)</f>
        <v>42.048177183388525</v>
      </c>
      <c r="D275" s="2">
        <f t="shared" si="9"/>
        <v>0</v>
      </c>
    </row>
    <row r="276" spans="1:4" x14ac:dyDescent="0.3">
      <c r="A276" s="2">
        <f>117.597289979404*(1/3.6)</f>
        <v>32.665913883167732</v>
      </c>
      <c r="B276" s="2">
        <f t="shared" si="10"/>
        <v>0</v>
      </c>
      <c r="C276" s="2">
        <f>151.801087677648*(1/3.6)</f>
        <v>42.166968799346641</v>
      </c>
      <c r="D276" s="2">
        <f t="shared" si="9"/>
        <v>0</v>
      </c>
    </row>
    <row r="277" spans="1:4" x14ac:dyDescent="0.3">
      <c r="A277" s="2">
        <f>118.231775255066*(1/3.6)</f>
        <v>32.842159793073868</v>
      </c>
      <c r="B277" s="2">
        <f t="shared" si="10"/>
        <v>0</v>
      </c>
      <c r="C277" s="2">
        <f>152.251345371996*(1/3.6)</f>
        <v>42.292040381110034</v>
      </c>
      <c r="D277" s="2">
        <f t="shared" si="9"/>
        <v>0</v>
      </c>
    </row>
    <row r="278" spans="1:4" x14ac:dyDescent="0.3">
      <c r="A278" s="2">
        <f>118.23298786581*(1/3.6)</f>
        <v>32.842496629391711</v>
      </c>
      <c r="B278" s="2">
        <f t="shared" si="10"/>
        <v>0</v>
      </c>
      <c r="C278" s="2">
        <f>152.254535527896*(1/3.6)</f>
        <v>42.292926535526583</v>
      </c>
      <c r="D278" s="2">
        <f t="shared" si="9"/>
        <v>0</v>
      </c>
    </row>
    <row r="279" spans="1:4" x14ac:dyDescent="0.3">
      <c r="A279" s="2">
        <f>117.624389198489*(1/3.6)</f>
        <v>32.673441444024682</v>
      </c>
      <c r="B279" s="2">
        <f t="shared" si="10"/>
        <v>0</v>
      </c>
      <c r="C279" s="2">
        <f>151.82710443536*(1/3.6)</f>
        <v>42.174195676488957</v>
      </c>
      <c r="D279" s="2">
        <f t="shared" si="9"/>
        <v>0</v>
      </c>
    </row>
    <row r="280" spans="1:4" x14ac:dyDescent="0.3">
      <c r="A280" s="2">
        <f>117.300191187213*(1/3.6)</f>
        <v>32.583386440892461</v>
      </c>
      <c r="B280" s="2">
        <f t="shared" si="10"/>
        <v>0</v>
      </c>
      <c r="C280" s="2">
        <f>151.601262942796*(1/3.6)</f>
        <v>42.111461928554505</v>
      </c>
      <c r="D280" s="2">
        <f t="shared" si="9"/>
        <v>0</v>
      </c>
    </row>
    <row r="281" spans="1:4" x14ac:dyDescent="0.3">
      <c r="A281" s="2">
        <f>118.12193152365*(1/3.6)</f>
        <v>32.811647645458208</v>
      </c>
      <c r="B281" s="2">
        <f t="shared" si="10"/>
        <v>0</v>
      </c>
      <c r="C281" s="2">
        <f>152.182957292143*(1/3.6)</f>
        <v>42.273043692261901</v>
      </c>
      <c r="D281" s="2">
        <f t="shared" si="9"/>
        <v>0</v>
      </c>
    </row>
    <row r="282" spans="1:4" x14ac:dyDescent="0.3">
      <c r="A282" s="2">
        <f>117.224076856403*(1/3.6)</f>
        <v>32.562243571223043</v>
      </c>
      <c r="B282" s="2">
        <f t="shared" si="10"/>
        <v>0</v>
      </c>
      <c r="C282" s="2">
        <f>151.552369389938*(1/3.6)</f>
        <v>42.097880386093891</v>
      </c>
      <c r="D282" s="2">
        <f t="shared" si="9"/>
        <v>0</v>
      </c>
    </row>
    <row r="283" spans="1:4" x14ac:dyDescent="0.3">
      <c r="A283" s="2">
        <f>118.002184865895*(1/3.6)</f>
        <v>32.778384684970881</v>
      </c>
      <c r="B283" s="2">
        <f t="shared" si="10"/>
        <v>0</v>
      </c>
      <c r="C283" s="2">
        <f>152.102954112289*(1/3.6)</f>
        <v>42.250820586746876</v>
      </c>
      <c r="D283" s="2">
        <f t="shared" si="9"/>
        <v>0</v>
      </c>
    </row>
    <row r="284" spans="1:4" x14ac:dyDescent="0.3">
      <c r="A284" s="2">
        <f>117.448994502174*(1/3.6)</f>
        <v>32.624720695048218</v>
      </c>
      <c r="B284" s="2">
        <f t="shared" si="10"/>
        <v>0</v>
      </c>
      <c r="C284" s="2">
        <f>151.715129035121*(1/3.6)</f>
        <v>42.143091398644621</v>
      </c>
      <c r="D284" s="2">
        <f t="shared" si="9"/>
        <v>0</v>
      </c>
    </row>
    <row r="285" spans="1:4" x14ac:dyDescent="0.3">
      <c r="A285" s="2">
        <f>121.631499166257*(1/3.6)</f>
        <v>33.786527546182633</v>
      </c>
      <c r="B285" s="2">
        <f t="shared" si="10"/>
        <v>0</v>
      </c>
      <c r="C285" s="2">
        <f>154.706649584365*(1/3.6)</f>
        <v>42.974069328990225</v>
      </c>
      <c r="D285" s="2">
        <f t="shared" si="9"/>
        <v>0</v>
      </c>
    </row>
    <row r="286" spans="1:4" x14ac:dyDescent="0.3">
      <c r="A286" s="2">
        <f>121.519290533123*(1/3.6)</f>
        <v>33.755358481423194</v>
      </c>
      <c r="B286" s="2">
        <f t="shared" si="10"/>
        <v>0</v>
      </c>
      <c r="C286" s="2">
        <f>154.627744460652*(1/3.6)</f>
        <v>42.952151239069892</v>
      </c>
      <c r="D286" s="2">
        <f t="shared" si="9"/>
        <v>0</v>
      </c>
    </row>
    <row r="287" spans="1:4" x14ac:dyDescent="0.3">
      <c r="A287" s="2">
        <f>121.012640683844*(1/3.6)</f>
        <v>33.614622412178868</v>
      </c>
      <c r="B287" s="2">
        <f t="shared" si="10"/>
        <v>0</v>
      </c>
      <c r="C287" s="2">
        <f>154.263588674395*(1/3.6)</f>
        <v>42.850996853998723</v>
      </c>
      <c r="D287" s="2">
        <f t="shared" si="9"/>
        <v>0</v>
      </c>
    </row>
    <row r="288" spans="1:4" x14ac:dyDescent="0.3">
      <c r="A288" s="2">
        <f>120.230672308933*(1/3.6)</f>
        <v>33.397408974703644</v>
      </c>
      <c r="B288" s="2">
        <f t="shared" si="10"/>
        <v>0</v>
      </c>
      <c r="C288" s="2">
        <f>153.702715420262*(1/3.6)</f>
        <v>42.695198727850602</v>
      </c>
      <c r="D288" s="2">
        <f t="shared" si="9"/>
        <v>0</v>
      </c>
    </row>
    <row r="289" spans="1:4" x14ac:dyDescent="0.3">
      <c r="A289" s="2">
        <f>120.922320026871*(1/3.6)</f>
        <v>33.589533340797395</v>
      </c>
      <c r="B289" s="2">
        <f t="shared" si="10"/>
        <v>0</v>
      </c>
      <c r="C289" s="2">
        <f>154.203236213706*(1/3.6)</f>
        <v>42.834232281584967</v>
      </c>
      <c r="D289" s="2">
        <f t="shared" si="9"/>
        <v>0</v>
      </c>
    </row>
    <row r="290" spans="1:4" x14ac:dyDescent="0.3">
      <c r="A290" s="2">
        <f>120.965744622792*(1/3.6)</f>
        <v>33.601595728553235</v>
      </c>
      <c r="B290" s="2">
        <f t="shared" si="10"/>
        <v>0</v>
      </c>
      <c r="C290" s="2">
        <f>154.237026442791*(1/3.6)</f>
        <v>42.843618456330965</v>
      </c>
      <c r="D290" s="2">
        <f t="shared" si="9"/>
        <v>0</v>
      </c>
    </row>
    <row r="291" spans="1:4" x14ac:dyDescent="0.3">
      <c r="A291" s="2">
        <f>121.22884179542*(1/3.6)</f>
        <v>33.67467827650546</v>
      </c>
      <c r="B291" s="2">
        <f t="shared" si="10"/>
        <v>0</v>
      </c>
      <c r="C291" s="2">
        <f>154.429654415745*(1/3.6)</f>
        <v>42.897126226595752</v>
      </c>
      <c r="D291" s="2">
        <f t="shared" si="9"/>
        <v>0</v>
      </c>
    </row>
    <row r="292" spans="1:4" x14ac:dyDescent="0.3">
      <c r="A292" s="2">
        <f>121.088384292336*(1/3.6)</f>
        <v>33.635662303426621</v>
      </c>
      <c r="B292" s="2">
        <f t="shared" si="10"/>
        <v>0</v>
      </c>
      <c r="C292" s="2">
        <f>154.330515117123*(1/3.6)</f>
        <v>42.869587532534197</v>
      </c>
      <c r="D292" s="2">
        <f t="shared" si="9"/>
        <v>0</v>
      </c>
    </row>
    <row r="293" spans="1:4" x14ac:dyDescent="0.3">
      <c r="A293" s="2">
        <f>120.234407679642*(1/3.6)</f>
        <v>33.398446577678392</v>
      </c>
      <c r="B293" s="2">
        <f t="shared" si="10"/>
        <v>0</v>
      </c>
      <c r="C293" s="2">
        <f>153.71744190312*(1/3.6)</f>
        <v>42.699289417533222</v>
      </c>
      <c r="D293" s="2">
        <f t="shared" si="9"/>
        <v>0</v>
      </c>
    </row>
    <row r="294" spans="1:4" x14ac:dyDescent="0.3">
      <c r="A294" s="2">
        <f>120.633512750298*(1/3.6)</f>
        <v>33.509309097305106</v>
      </c>
      <c r="B294" s="2">
        <f t="shared" si="10"/>
        <v>0</v>
      </c>
      <c r="C294" s="2">
        <f>154.007064745759*(1/3.6)</f>
        <v>42.779740207155257</v>
      </c>
      <c r="D294" s="2">
        <f t="shared" si="9"/>
        <v>0</v>
      </c>
    </row>
    <row r="295" spans="1:4" x14ac:dyDescent="0.3">
      <c r="A295" s="2">
        <f>120.610352852059*(1/3.6)</f>
        <v>33.502875792238576</v>
      </c>
      <c r="B295" s="2">
        <f t="shared" si="10"/>
        <v>0</v>
      </c>
      <c r="C295" s="2">
        <f>153.992799049901*(1/3.6)</f>
        <v>42.775777513861293</v>
      </c>
      <c r="D295" s="2">
        <f t="shared" si="9"/>
        <v>0</v>
      </c>
    </row>
    <row r="296" spans="1:4" x14ac:dyDescent="0.3">
      <c r="A296" s="2">
        <f>120.495130805546*(1/3.6)</f>
        <v>33.470869668207172</v>
      </c>
      <c r="B296" s="2">
        <f t="shared" si="10"/>
        <v>0</v>
      </c>
      <c r="C296" s="2">
        <f>184.06755997959*(1/3.6)</f>
        <v>51.129877772108465</v>
      </c>
      <c r="D296" s="2">
        <f t="shared" si="9"/>
        <v>0</v>
      </c>
    </row>
    <row r="297" spans="1:4" x14ac:dyDescent="0.3">
      <c r="A297" s="2">
        <f>120.47751822178*(1/3.6)</f>
        <v>33.465977283827904</v>
      </c>
      <c r="B297" s="2">
        <f t="shared" ref="B297:B316" si="11">0*(1/3.6)</f>
        <v>0</v>
      </c>
      <c r="C297" s="2">
        <f>184.03695022991*(1/3.6)</f>
        <v>51.121375063863816</v>
      </c>
      <c r="D297" s="2">
        <f t="shared" si="9"/>
        <v>0</v>
      </c>
    </row>
    <row r="298" spans="1:4" x14ac:dyDescent="0.3">
      <c r="A298" s="2">
        <f>120.68176679304*(1/3.6)</f>
        <v>33.522712998066666</v>
      </c>
      <c r="B298" s="2">
        <f t="shared" si="11"/>
        <v>0</v>
      </c>
      <c r="C298" s="2">
        <f>184.482748305445*(1/3.6)</f>
        <v>51.245207862623701</v>
      </c>
      <c r="D298" s="2">
        <f t="shared" si="9"/>
        <v>0</v>
      </c>
    </row>
    <row r="299" spans="1:4" x14ac:dyDescent="0.3">
      <c r="A299" s="2">
        <f>120.455828727648*(1/3.6)</f>
        <v>33.45995242434676</v>
      </c>
      <c r="B299" s="2">
        <f t="shared" si="11"/>
        <v>0</v>
      </c>
      <c r="C299" s="2">
        <f>184.004796450518*(1/3.6)</f>
        <v>51.112443458477323</v>
      </c>
      <c r="D299" s="2">
        <f t="shared" si="9"/>
        <v>0</v>
      </c>
    </row>
    <row r="300" spans="1:4" x14ac:dyDescent="0.3">
      <c r="A300" s="2">
        <f>120.170417583239*(1/3.6)</f>
        <v>33.380671550899713</v>
      </c>
      <c r="B300" s="2">
        <f t="shared" si="11"/>
        <v>0</v>
      </c>
      <c r="C300" s="2">
        <f>183.398785757632*(1/3.6)</f>
        <v>50.94410715489775</v>
      </c>
      <c r="D300" s="2">
        <f t="shared" si="9"/>
        <v>0</v>
      </c>
    </row>
    <row r="301" spans="1:4" x14ac:dyDescent="0.3">
      <c r="A301" s="2">
        <f>120.071747469135*(1/3.6)</f>
        <v>33.353263185870937</v>
      </c>
      <c r="B301" s="2">
        <f t="shared" si="11"/>
        <v>0</v>
      </c>
      <c r="C301" s="2">
        <f>183.193899686588*(1/3.6)</f>
        <v>50.887194357385489</v>
      </c>
      <c r="D301" s="2">
        <f t="shared" si="9"/>
        <v>0</v>
      </c>
    </row>
    <row r="302" spans="1:4" x14ac:dyDescent="0.3">
      <c r="A302" s="2">
        <f>120.311776132046*(1/3.6)</f>
        <v>33.419937814457292</v>
      </c>
      <c r="B302" s="2">
        <f t="shared" si="11"/>
        <v>0</v>
      </c>
      <c r="C302" s="2">
        <f>183.716969159383*(1/3.6)</f>
        <v>51.03249143316188</v>
      </c>
      <c r="D302" s="2">
        <f t="shared" si="9"/>
        <v>0</v>
      </c>
    </row>
    <row r="303" spans="1:4" x14ac:dyDescent="0.3">
      <c r="A303" s="2">
        <f>120.774004370878*(1/3.6)</f>
        <v>33.548334547466126</v>
      </c>
      <c r="B303" s="2">
        <f t="shared" si="11"/>
        <v>0</v>
      </c>
      <c r="C303" s="2">
        <f>184.716900244485*(1/3.6)</f>
        <v>51.310250067912598</v>
      </c>
      <c r="D303" s="2">
        <f t="shared" si="9"/>
        <v>0</v>
      </c>
    </row>
    <row r="304" spans="1:4" x14ac:dyDescent="0.3">
      <c r="A304" s="2">
        <f>120.506274926355*(1/3.6)</f>
        <v>33.4739652573207</v>
      </c>
      <c r="B304" s="2">
        <f t="shared" si="11"/>
        <v>0</v>
      </c>
      <c r="C304" s="2">
        <f>184.149235907569*(1/3.6)</f>
        <v>51.15256552988015</v>
      </c>
      <c r="D304" s="2">
        <f t="shared" si="9"/>
        <v>0</v>
      </c>
    </row>
    <row r="305" spans="1:4" x14ac:dyDescent="0.3">
      <c r="A305" s="2">
        <f>121.002017354507*(1/3.6)</f>
        <v>33.611671487363104</v>
      </c>
      <c r="B305" s="2">
        <f t="shared" si="11"/>
        <v>0</v>
      </c>
      <c r="C305" s="2">
        <f>185.22073774701*(1/3.6)</f>
        <v>51.450204929725054</v>
      </c>
      <c r="D305" s="2">
        <f t="shared" si="9"/>
        <v>0</v>
      </c>
    </row>
    <row r="306" spans="1:4" x14ac:dyDescent="0.3">
      <c r="A306" s="2">
        <f>120.89238200481*(1/3.6)</f>
        <v>33.581217223558291</v>
      </c>
      <c r="B306" s="2">
        <f t="shared" si="11"/>
        <v>0</v>
      </c>
      <c r="C306" s="2">
        <f>184.992697567364*(1/3.6)</f>
        <v>51.386860435378807</v>
      </c>
      <c r="D306" s="2">
        <f t="shared" si="9"/>
        <v>0</v>
      </c>
    </row>
    <row r="307" spans="1:4" x14ac:dyDescent="0.3">
      <c r="A307" s="2">
        <f>120.706165115101*(1/3.6)</f>
        <v>33.5294903097504</v>
      </c>
      <c r="B307" s="2">
        <f t="shared" si="11"/>
        <v>0</v>
      </c>
      <c r="C307" s="2">
        <f>184.600176626235*(1/3.6)</f>
        <v>51.277826840620747</v>
      </c>
      <c r="D307" s="2">
        <f t="shared" si="9"/>
        <v>0</v>
      </c>
    </row>
    <row r="308" spans="1:4" x14ac:dyDescent="0.3">
      <c r="A308" s="2">
        <f>120.832486257882*(1/3.6)</f>
        <v>33.564579516078332</v>
      </c>
      <c r="B308" s="2">
        <f t="shared" si="11"/>
        <v>0</v>
      </c>
      <c r="C308" s="2">
        <f>184.878606633098*(1/3.6)</f>
        <v>51.355168509193859</v>
      </c>
      <c r="D308" s="2">
        <f t="shared" si="9"/>
        <v>0</v>
      </c>
    </row>
    <row r="309" spans="1:4" x14ac:dyDescent="0.3">
      <c r="A309" s="2">
        <f>120.009996220801*(1/3.6)</f>
        <v>33.336110061333578</v>
      </c>
      <c r="B309" s="2">
        <f t="shared" si="11"/>
        <v>0</v>
      </c>
      <c r="C309" s="2">
        <f>183.118723526777*(1/3.6)</f>
        <v>50.866312090771494</v>
      </c>
      <c r="D309" s="2">
        <f t="shared" si="9"/>
        <v>0</v>
      </c>
    </row>
    <row r="310" spans="1:4" x14ac:dyDescent="0.3">
      <c r="A310" s="2">
        <f>120.295650837398*(1/3.6)</f>
        <v>33.415458565943986</v>
      </c>
      <c r="B310" s="2">
        <f t="shared" si="11"/>
        <v>0</v>
      </c>
      <c r="C310" s="2">
        <f>183.740005120857*(1/3.6)</f>
        <v>51.038890311349142</v>
      </c>
      <c r="D310" s="2">
        <f t="shared" si="9"/>
        <v>0</v>
      </c>
    </row>
    <row r="311" spans="1:4" x14ac:dyDescent="0.3">
      <c r="A311" s="2">
        <f>119.857688029766*(1/3.6)</f>
        <v>33.293802230490613</v>
      </c>
      <c r="B311" s="2">
        <f t="shared" si="11"/>
        <v>0</v>
      </c>
      <c r="C311" s="2">
        <f>182.805541899592*(1/3.6)</f>
        <v>50.779317194331085</v>
      </c>
      <c r="D311" s="2">
        <f t="shared" si="9"/>
        <v>0</v>
      </c>
    </row>
    <row r="312" spans="1:4" x14ac:dyDescent="0.3">
      <c r="A312" s="2">
        <f>119.675426566407*(1/3.6)</f>
        <v>33.243174046224198</v>
      </c>
      <c r="B312" s="2">
        <f t="shared" si="11"/>
        <v>0</v>
      </c>
      <c r="C312" s="2">
        <f>182.420585556698*(1/3.6)</f>
        <v>50.67238487686064</v>
      </c>
      <c r="D312" s="2">
        <f t="shared" si="9"/>
        <v>0</v>
      </c>
    </row>
    <row r="313" spans="1:4" x14ac:dyDescent="0.3">
      <c r="A313" s="2">
        <f>120.310443048114*(1/3.6)</f>
        <v>33.419567513365088</v>
      </c>
      <c r="B313" s="2">
        <f t="shared" si="11"/>
        <v>0</v>
      </c>
      <c r="C313" s="2">
        <f>183.793434008077*(1/3.6)</f>
        <v>51.053731668910203</v>
      </c>
      <c r="D313" s="2">
        <f t="shared" si="9"/>
        <v>0</v>
      </c>
    </row>
    <row r="314" spans="1:4" x14ac:dyDescent="0.3">
      <c r="A314" s="2">
        <f>119.71019317022*(1/3.6)</f>
        <v>33.252831436172336</v>
      </c>
      <c r="B314" s="2">
        <f t="shared" si="11"/>
        <v>0</v>
      </c>
      <c r="C314" s="2">
        <f>182.509773679754*(1/3.6)</f>
        <v>50.697159355487223</v>
      </c>
      <c r="D314" s="2">
        <f t="shared" si="9"/>
        <v>0</v>
      </c>
    </row>
    <row r="315" spans="1:4" x14ac:dyDescent="0.3">
      <c r="A315" s="2">
        <f>119.681787848481*(1/3.6)</f>
        <v>33.244941069022367</v>
      </c>
      <c r="B315" s="2">
        <f t="shared" si="11"/>
        <v>0</v>
      </c>
      <c r="C315" s="2">
        <f>182.455831815671*(1/3.6)</f>
        <v>50.682175504353175</v>
      </c>
      <c r="D315" s="2">
        <f t="shared" si="9"/>
        <v>0</v>
      </c>
    </row>
    <row r="316" spans="1:4" x14ac:dyDescent="0.3">
      <c r="A316" s="2">
        <f>120.387748014531*(1/3.6)</f>
        <v>33.441041115147591</v>
      </c>
      <c r="B316" s="2">
        <f t="shared" si="11"/>
        <v>0</v>
      </c>
      <c r="C316" s="2">
        <f>183.981215048805*(1/3.6)</f>
        <v>51.105893069112376</v>
      </c>
      <c r="D316" s="2">
        <f t="shared" si="9"/>
        <v>0</v>
      </c>
    </row>
    <row r="317" spans="1:4" x14ac:dyDescent="0.3">
      <c r="A317" s="2">
        <f>112.622633948472*(1/3.6)</f>
        <v>31.284064985686761</v>
      </c>
      <c r="B317" s="2">
        <f>119.891980450639*(1/3.6)</f>
        <v>33.303327902955189</v>
      </c>
      <c r="C317" s="2">
        <f>167.15207088006*(1/3.6)</f>
        <v>46.431130800016746</v>
      </c>
      <c r="D317" s="2">
        <f t="shared" si="9"/>
        <v>0</v>
      </c>
    </row>
    <row r="318" spans="1:4" x14ac:dyDescent="0.3">
      <c r="A318" s="2">
        <f>112.453730736407*(1/3.6)</f>
        <v>31.237147426779835</v>
      </c>
      <c r="B318" s="2">
        <f>119.417532860073*(1/3.6)</f>
        <v>33.171536905575749</v>
      </c>
      <c r="C318" s="2">
        <f>166.789030439368*(1/3.6)</f>
        <v>46.330286233157828</v>
      </c>
      <c r="D318" s="2">
        <f t="shared" si="9"/>
        <v>0</v>
      </c>
    </row>
    <row r="319" spans="1:4" x14ac:dyDescent="0.3">
      <c r="A319" s="2">
        <f>112.286353086919*(1/3.6)</f>
        <v>31.190653635255345</v>
      </c>
      <c r="B319" s="2">
        <f>118.945087500271*(1/3.6)</f>
        <v>33.040302083408562</v>
      </c>
      <c r="C319" s="2">
        <f>166.429143722803*(1/3.6)</f>
        <v>46.230317700778564</v>
      </c>
      <c r="D319" s="2">
        <f t="shared" si="9"/>
        <v>0</v>
      </c>
    </row>
    <row r="320" spans="1:4" x14ac:dyDescent="0.3">
      <c r="A320" s="2">
        <f>112.208560387646*(1/3.6)</f>
        <v>31.16904455212379</v>
      </c>
      <c r="B320" s="2">
        <f>118.539760715158*(1/3.6)</f>
        <v>32.927711309765996</v>
      </c>
      <c r="C320" s="2">
        <f>166.265487864201*(1/3.6)</f>
        <v>46.184857740055698</v>
      </c>
      <c r="D320" s="2">
        <f t="shared" si="9"/>
        <v>0</v>
      </c>
    </row>
    <row r="321" spans="1:4" x14ac:dyDescent="0.3">
      <c r="A321" s="2">
        <f>111.870766937311*(1/3.6)</f>
        <v>31.075213038141808</v>
      </c>
      <c r="B321" s="2">
        <f>117.943273103828*(1/3.6)</f>
        <v>32.762020306618986</v>
      </c>
      <c r="C321" s="2">
        <f>165.531448725162*(1/3.6)</f>
        <v>45.980957979211787</v>
      </c>
      <c r="D321" s="2">
        <f t="shared" si="9"/>
        <v>0</v>
      </c>
    </row>
    <row r="322" spans="1:4" x14ac:dyDescent="0.3">
      <c r="A322" s="2">
        <f>119.215341170779*(1/3.6)</f>
        <v>33.115372547438582</v>
      </c>
      <c r="B322" s="2">
        <f>123.131872972027*(1/3.6)</f>
        <v>34.203298047785395</v>
      </c>
      <c r="C322" s="2">
        <f>181.501659289053*(1/3.6)</f>
        <v>50.417127580292522</v>
      </c>
      <c r="D322" s="2">
        <f t="shared" ref="D322:D385" si="12">0*(1/3.6)</f>
        <v>0</v>
      </c>
    </row>
    <row r="323" spans="1:4" x14ac:dyDescent="0.3">
      <c r="A323" s="2">
        <f>116.815426288089*(1/3.6)</f>
        <v>32.448729524469108</v>
      </c>
      <c r="B323" s="2">
        <f>280.316699339111*(1/3.6)</f>
        <v>77.865749816419779</v>
      </c>
      <c r="C323" s="2">
        <f>176.324119958306*(1/3.6)</f>
        <v>48.978922210640661</v>
      </c>
      <c r="D323" s="2">
        <f t="shared" si="12"/>
        <v>0</v>
      </c>
    </row>
    <row r="324" spans="1:4" x14ac:dyDescent="0.3">
      <c r="A324" s="2">
        <f>111.216217409948*(1/3.6)</f>
        <v>30.893393724985689</v>
      </c>
      <c r="B324" s="2">
        <f>271.215232900507*(1/3.6)</f>
        <v>75.337564694585168</v>
      </c>
      <c r="C324" s="2">
        <f>164.114189093581*(1/3.6)</f>
        <v>45.587274748217048</v>
      </c>
      <c r="D324" s="2">
        <f t="shared" si="12"/>
        <v>0</v>
      </c>
    </row>
    <row r="325" spans="1:4" x14ac:dyDescent="0.3">
      <c r="A325" s="2">
        <f>111.052732080672*(1/3.6)</f>
        <v>30.847981133519887</v>
      </c>
      <c r="B325" s="2">
        <f>270.815605259278*(1/3.6)</f>
        <v>75.226557016466103</v>
      </c>
      <c r="C325" s="2">
        <f>163.761454927203*(1/3.6)</f>
        <v>45.489293035334107</v>
      </c>
      <c r="D325" s="2">
        <f t="shared" si="12"/>
        <v>0</v>
      </c>
    </row>
    <row r="326" spans="1:4" x14ac:dyDescent="0.3">
      <c r="A326" s="2">
        <f>111.444147135129*(1/3.6)</f>
        <v>30.956707537535966</v>
      </c>
      <c r="B326" s="2">
        <f>271.284532143362*(1/3.6)</f>
        <v>75.356814484267147</v>
      </c>
      <c r="C326" s="2">
        <f>164.62885063418*(1/3.6)</f>
        <v>45.730236287272241</v>
      </c>
      <c r="D326" s="2">
        <f t="shared" si="12"/>
        <v>0</v>
      </c>
    </row>
    <row r="327" spans="1:4" x14ac:dyDescent="0.3">
      <c r="A327" s="2">
        <f>111.560105392311*(1/3.6)</f>
        <v>30.988918164530894</v>
      </c>
      <c r="B327" s="2">
        <f>271.322261484132*(1/3.6)</f>
        <v>75.36729485670341</v>
      </c>
      <c r="C327" s="2">
        <f>164.890448845501*(1/3.6)</f>
        <v>45.802902457083611</v>
      </c>
      <c r="D327" s="2">
        <f t="shared" si="12"/>
        <v>0</v>
      </c>
    </row>
    <row r="328" spans="1:4" x14ac:dyDescent="0.3">
      <c r="A328" s="2">
        <f>110.882574951672*(1/3.6)</f>
        <v>30.800715264353418</v>
      </c>
      <c r="B328" s="2">
        <f>270.118953736938*(1/3.6)</f>
        <v>75.033042704705025</v>
      </c>
      <c r="C328" s="2">
        <f>163.407470641635*(1/3.6)</f>
        <v>45.390964067120755</v>
      </c>
      <c r="D328" s="2">
        <f t="shared" si="12"/>
        <v>0</v>
      </c>
    </row>
    <row r="329" spans="1:4" x14ac:dyDescent="0.3">
      <c r="A329" s="2">
        <f>110.713115737763*(1/3.6)</f>
        <v>30.753643260489692</v>
      </c>
      <c r="B329" s="2">
        <f>269.711414756318*(1/3.6)</f>
        <v>74.919837432310459</v>
      </c>
      <c r="C329" s="2">
        <f>163.04118154543*(1/3.6)</f>
        <v>45.289217095952864</v>
      </c>
      <c r="D329" s="2">
        <f t="shared" si="12"/>
        <v>0</v>
      </c>
    </row>
    <row r="330" spans="1:4" x14ac:dyDescent="0.3">
      <c r="A330" s="2">
        <f>110.760495752262*(1/3.6)</f>
        <v>30.766804375628301</v>
      </c>
      <c r="B330" s="2">
        <f>269.641674993522*(1/3.6)</f>
        <v>74.900465275978362</v>
      </c>
      <c r="C330" s="2">
        <f>163.15232556721*(1/3.6)</f>
        <v>45.320090435336049</v>
      </c>
      <c r="D330" s="2">
        <f t="shared" si="12"/>
        <v>0</v>
      </c>
    </row>
    <row r="331" spans="1:4" x14ac:dyDescent="0.3">
      <c r="A331" s="2">
        <f>110.289464219079*(1/3.6)</f>
        <v>30.635962283077518</v>
      </c>
      <c r="B331" s="2">
        <f>268.766737952806*(1/3.6)</f>
        <v>74.657427209112782</v>
      </c>
      <c r="C331" s="2">
        <f>162.121156513837*(1/3.6)</f>
        <v>45.033654587176954</v>
      </c>
      <c r="D331" s="2">
        <f t="shared" si="12"/>
        <v>0</v>
      </c>
    </row>
    <row r="332" spans="1:4" x14ac:dyDescent="0.3">
      <c r="A332" s="2">
        <f>110.244901865364*(1/3.6)</f>
        <v>30.623583851489879</v>
      </c>
      <c r="B332" s="2">
        <f>268.554561343556*(1/3.6)</f>
        <v>74.598489262098894</v>
      </c>
      <c r="C332" s="2">
        <f>162.029667256356*(1/3.6)</f>
        <v>45.008240904543342</v>
      </c>
      <c r="D332" s="2">
        <f t="shared" si="12"/>
        <v>0</v>
      </c>
    </row>
    <row r="333" spans="1:4" x14ac:dyDescent="0.3">
      <c r="A333" s="2">
        <f>110.97687137619*(1/3.6)</f>
        <v>30.826908715608251</v>
      </c>
      <c r="B333" s="2">
        <f>269.547662417133*(1/3.6)</f>
        <v>74.874350671425972</v>
      </c>
      <c r="C333" s="2">
        <f>163.649081417151*(1/3.6)</f>
        <v>45.458078171430785</v>
      </c>
      <c r="D333" s="2">
        <f t="shared" si="12"/>
        <v>0</v>
      </c>
    </row>
    <row r="334" spans="1:4" x14ac:dyDescent="0.3">
      <c r="A334" s="2">
        <f>110.964282050787*(1/3.6)</f>
        <v>30.82341168077404</v>
      </c>
      <c r="B334" s="2">
        <f>269.384385479091*(1/3.6)</f>
        <v>74.828995966414084</v>
      </c>
      <c r="C334" s="2">
        <f>163.628192654203*(1/3.6)</f>
        <v>45.452275737278605</v>
      </c>
      <c r="D334" s="2">
        <f t="shared" si="12"/>
        <v>0</v>
      </c>
    </row>
    <row r="335" spans="1:4" x14ac:dyDescent="0.3">
      <c r="A335" s="2">
        <f>111.674892918296*(1/3.6)</f>
        <v>31.020803588415514</v>
      </c>
      <c r="B335" s="2">
        <f>270.348542565967*(1/3.6)</f>
        <v>75.096817379435322</v>
      </c>
      <c r="C335" s="2">
        <f>165.197319552738*(1/3.6)</f>
        <v>45.888144320204951</v>
      </c>
      <c r="D335" s="2">
        <f t="shared" si="12"/>
        <v>0</v>
      </c>
    </row>
    <row r="336" spans="1:4" x14ac:dyDescent="0.3">
      <c r="A336" s="2">
        <f>110.815567003524*(1/3.6)</f>
        <v>30.782101945423268</v>
      </c>
      <c r="B336" s="2">
        <f>268.866021086155*(1/3.6)</f>
        <v>74.685005857265381</v>
      </c>
      <c r="C336" s="2">
        <f>163.314447401976*(1/3.6)</f>
        <v>45.365124278326547</v>
      </c>
      <c r="D336" s="2">
        <f t="shared" si="12"/>
        <v>0</v>
      </c>
    </row>
    <row r="337" spans="1:4" x14ac:dyDescent="0.3">
      <c r="A337" s="2">
        <f>111.319877658512*(1/3.6)</f>
        <v>30.922188238475517</v>
      </c>
      <c r="B337" s="2">
        <f>269.506394827001*(1/3.6)</f>
        <v>74.862887451944772</v>
      </c>
      <c r="C337" s="2">
        <f>164.430877002967*(1/3.6)</f>
        <v>45.67524361193535</v>
      </c>
      <c r="D337" s="2">
        <f t="shared" si="12"/>
        <v>0</v>
      </c>
    </row>
    <row r="338" spans="1:4" x14ac:dyDescent="0.3">
      <c r="A338" s="2">
        <f>110.935492621205*(1/3.6)</f>
        <v>30.815414617001512</v>
      </c>
      <c r="B338" s="2">
        <f>268.764917480635*(1/3.6)</f>
        <v>74.656921522398505</v>
      </c>
      <c r="C338" s="2">
        <f>163.592096169085*(1/3.6)</f>
        <v>45.442248935856995</v>
      </c>
      <c r="D338" s="2">
        <f t="shared" si="12"/>
        <v>0</v>
      </c>
    </row>
    <row r="339" spans="1:4" x14ac:dyDescent="0.3">
      <c r="A339" s="2">
        <f>111.266585099736*(1/3.6)</f>
        <v>30.907384749926532</v>
      </c>
      <c r="B339" s="2">
        <f>269.135531956646*(1/3.6)</f>
        <v>74.759869987957146</v>
      </c>
      <c r="C339" s="2">
        <f>164.327359558615*(1/3.6)</f>
        <v>45.646488766282083</v>
      </c>
      <c r="D339" s="2">
        <f t="shared" si="12"/>
        <v>0</v>
      </c>
    </row>
    <row r="340" spans="1:4" x14ac:dyDescent="0.3">
      <c r="A340" s="2">
        <f>111.15191123669*(1/3.6)</f>
        <v>30.875530899080534</v>
      </c>
      <c r="B340" s="2">
        <f>268.813402625039*(1/3.6)</f>
        <v>74.670389618066451</v>
      </c>
      <c r="C340" s="2">
        <f>164.081970174519*(1/3.6)</f>
        <v>45.578325048477389</v>
      </c>
      <c r="D340" s="2">
        <f t="shared" si="12"/>
        <v>0</v>
      </c>
    </row>
    <row r="341" spans="1:4" x14ac:dyDescent="0.3">
      <c r="A341" s="2">
        <f>113.218594037522*(1/3.6)</f>
        <v>31.449609454867314</v>
      </c>
      <c r="B341" s="2">
        <f>271.902562617315*(1/3.6)</f>
        <v>75.528489615920847</v>
      </c>
      <c r="C341" s="2">
        <f>168.621717210644*(1/3.6)</f>
        <v>46.839365891845681</v>
      </c>
      <c r="D341" s="2">
        <f t="shared" si="12"/>
        <v>0</v>
      </c>
    </row>
    <row r="342" spans="1:4" x14ac:dyDescent="0.3">
      <c r="A342" s="2">
        <f>113.138978038613*(1/3.6)</f>
        <v>31.42749389961482</v>
      </c>
      <c r="B342" s="2">
        <f>271.631671659785*(1/3.6)</f>
        <v>75.453242127718141</v>
      </c>
      <c r="C342" s="2">
        <f>168.454489583301*(1/3.6)</f>
        <v>46.79291377313929</v>
      </c>
      <c r="D342" s="2">
        <f t="shared" si="12"/>
        <v>0</v>
      </c>
    </row>
    <row r="343" spans="1:4" x14ac:dyDescent="0.3">
      <c r="A343" s="2">
        <f>112.466505677098*(1/3.6)</f>
        <v>31.24069602141612</v>
      </c>
      <c r="B343" s="2">
        <f>270.430508163135*(1/3.6)</f>
        <v>75.119585600870963</v>
      </c>
      <c r="C343" s="2">
        <f>166.988972916405*(1/3.6)</f>
        <v>46.385825810112593</v>
      </c>
      <c r="D343" s="2">
        <f t="shared" si="12"/>
        <v>0</v>
      </c>
    </row>
    <row r="344" spans="1:4" x14ac:dyDescent="0.3">
      <c r="A344" s="2">
        <f>112.523395872926*(1/3.6)</f>
        <v>31.25649885359044</v>
      </c>
      <c r="B344" s="2">
        <f>270.37466671402*(1/3.6)</f>
        <v>75.104074087227701</v>
      </c>
      <c r="C344" s="2">
        <f>167.120529696671*(1/3.6)</f>
        <v>46.422369360186401</v>
      </c>
      <c r="D344" s="2">
        <f t="shared" si="12"/>
        <v>0</v>
      </c>
    </row>
    <row r="345" spans="1:4" x14ac:dyDescent="0.3">
      <c r="A345" s="2">
        <f>112.621368155973*(1/3.6)</f>
        <v>31.283713376659222</v>
      </c>
      <c r="B345" s="2">
        <f>270.383103096049*(1/3.6)</f>
        <v>75.106417526680374</v>
      </c>
      <c r="C345" s="2">
        <f>167.342077696751*(1/3.6)</f>
        <v>46.483910471319597</v>
      </c>
      <c r="D345" s="2">
        <f t="shared" si="12"/>
        <v>0</v>
      </c>
    </row>
    <row r="346" spans="1:4" x14ac:dyDescent="0.3">
      <c r="A346" s="2">
        <f>113.105410418445*(1/3.6)</f>
        <v>31.418169560679079</v>
      </c>
      <c r="B346" s="2">
        <f>270.997164053888*(1/3.6)</f>
        <v>75.276990014968874</v>
      </c>
      <c r="C346" s="2">
        <f>168.40869508263*(1/3.6)</f>
        <v>46.780193078508297</v>
      </c>
      <c r="D346" s="2">
        <f t="shared" si="12"/>
        <v>0</v>
      </c>
    </row>
    <row r="347" spans="1:4" x14ac:dyDescent="0.3">
      <c r="A347" s="2">
        <f>112.943752504086*(1/3.6)</f>
        <v>31.373264584468416</v>
      </c>
      <c r="B347" s="2">
        <f>270.598043697782*(1/3.6)</f>
        <v>75.166123249383929</v>
      </c>
      <c r="C347" s="2">
        <f>168.061833700046*(1/3.6)</f>
        <v>46.683842694457219</v>
      </c>
      <c r="D347" s="2">
        <f t="shared" si="12"/>
        <v>0</v>
      </c>
    </row>
    <row r="348" spans="1:4" x14ac:dyDescent="0.3">
      <c r="A348" s="2">
        <f>112.93913756279*(1/3.6)</f>
        <v>31.371982656330488</v>
      </c>
      <c r="B348" s="2">
        <f>270.445504776249*(1/3.6)</f>
        <v>75.1237513267358</v>
      </c>
      <c r="C348" s="2">
        <f>168.058635714118*(1/3.6)</f>
        <v>46.682954365032899</v>
      </c>
      <c r="D348" s="2">
        <f t="shared" si="12"/>
        <v>0</v>
      </c>
    </row>
    <row r="349" spans="1:4" x14ac:dyDescent="0.3">
      <c r="A349" s="2">
        <f>112.342792314059*(1/3.6)</f>
        <v>31.206331198349659</v>
      </c>
      <c r="B349" s="2">
        <f>269.367918839689*(1/3.6)</f>
        <v>74.824421899913744</v>
      </c>
      <c r="C349" s="2">
        <f>166.759061496152*(1/3.6)</f>
        <v>46.321961526708883</v>
      </c>
      <c r="D349" s="2">
        <f t="shared" si="12"/>
        <v>0</v>
      </c>
    </row>
    <row r="350" spans="1:4" x14ac:dyDescent="0.3">
      <c r="A350" s="2">
        <f>112.306056420926*(1/3.6)</f>
        <v>31.196126783590426</v>
      </c>
      <c r="B350" s="2">
        <f>269.165811031166*(1/3.6)</f>
        <v>74.768280841990432</v>
      </c>
      <c r="C350" s="2">
        <f>166.68538655201*(1/3.6)</f>
        <v>46.301496264447231</v>
      </c>
      <c r="D350" s="2">
        <f t="shared" si="12"/>
        <v>0</v>
      </c>
    </row>
    <row r="351" spans="1:4" x14ac:dyDescent="0.3">
      <c r="A351" s="2">
        <f>112.650406684666*(1/3.6)</f>
        <v>31.291779634629531</v>
      </c>
      <c r="B351" s="2">
        <f>269.558136666088*(1/3.6)</f>
        <v>74.877260185024312</v>
      </c>
      <c r="C351" s="2">
        <f>167.447041477643*(1/3.6)</f>
        <v>46.513067077123118</v>
      </c>
      <c r="D351" s="2">
        <f t="shared" si="12"/>
        <v>0</v>
      </c>
    </row>
    <row r="352" spans="1:4" x14ac:dyDescent="0.3">
      <c r="A352" s="2">
        <f>112.62628980487*(1/3.6)</f>
        <v>31.28508050135278</v>
      </c>
      <c r="B352" s="2">
        <f>269.375398753224*(1/3.6)</f>
        <v>74.826499653673238</v>
      </c>
      <c r="C352" s="2">
        <f>167.401095493226*(1/3.6)</f>
        <v>46.500304303673779</v>
      </c>
      <c r="D352" s="2">
        <f t="shared" si="12"/>
        <v>0</v>
      </c>
    </row>
    <row r="353" spans="1:4" x14ac:dyDescent="0.3">
      <c r="A353" s="2">
        <f>112.187730194051*(1/3.6)</f>
        <v>31.163258387236265</v>
      </c>
      <c r="B353" s="2">
        <f>268.547273206842*(1/3.6)</f>
        <v>74.596464779678328</v>
      </c>
      <c r="C353" s="2">
        <f>166.446484998505*(1/3.6)</f>
        <v>46.235134721806972</v>
      </c>
      <c r="D353" s="2">
        <f t="shared" si="12"/>
        <v>0</v>
      </c>
    </row>
    <row r="354" spans="1:4" x14ac:dyDescent="0.3">
      <c r="A354" s="2">
        <f>112.265070838012*(1/3.6)</f>
        <v>31.184741899447687</v>
      </c>
      <c r="B354" s="2">
        <f>268.522769165074*(1/3.6)</f>
        <v>74.58965810140954</v>
      </c>
      <c r="C354" s="2">
        <f>166.623011083526*(1/3.6)</f>
        <v>46.284169745423888</v>
      </c>
      <c r="D354" s="2">
        <f t="shared" si="12"/>
        <v>0</v>
      </c>
    </row>
    <row r="355" spans="1:4" x14ac:dyDescent="0.3">
      <c r="A355" s="2">
        <f>110.164971539442*(1/3.6)</f>
        <v>30.601380983178327</v>
      </c>
      <c r="B355" s="2">
        <f>265.139261298768*(1/3.6)</f>
        <v>73.649794805213304</v>
      </c>
      <c r="C355" s="2">
        <f>162.009468684729*(1/3.6)</f>
        <v>45.002630190202431</v>
      </c>
      <c r="D355" s="2">
        <f t="shared" si="12"/>
        <v>0</v>
      </c>
    </row>
    <row r="356" spans="1:4" x14ac:dyDescent="0.3">
      <c r="A356" s="2">
        <f>108.106226202106*(1/3.6)</f>
        <v>30.029507278362825</v>
      </c>
      <c r="B356" s="2">
        <f>261.872458312061*(1/3.6)</f>
        <v>72.742349531128056</v>
      </c>
      <c r="C356" s="2">
        <f>157.457517119029*(1/3.6)</f>
        <v>43.738199199730168</v>
      </c>
      <c r="D356" s="2">
        <f t="shared" si="12"/>
        <v>0</v>
      </c>
    </row>
    <row r="357" spans="1:4" x14ac:dyDescent="0.3">
      <c r="A357" s="2">
        <f>108.594510462322*(1/3.6)</f>
        <v>30.165141795089326</v>
      </c>
      <c r="B357" s="2">
        <f>262.46685948016*(1/3.6)</f>
        <v>72.90746096671117</v>
      </c>
      <c r="C357" s="2">
        <f>158.548236599771*(1/3.6)</f>
        <v>44.041176833269667</v>
      </c>
      <c r="D357" s="2">
        <f t="shared" si="12"/>
        <v>0</v>
      </c>
    </row>
    <row r="358" spans="1:4" x14ac:dyDescent="0.3">
      <c r="A358" s="2">
        <f>108.456200111655*(1/3.6)</f>
        <v>30.126722253237535</v>
      </c>
      <c r="B358" s="2">
        <f>262.116236416157*(1/3.6)</f>
        <v>72.81006567115476</v>
      </c>
      <c r="C358" s="2">
        <f>158.248085011691*(1/3.6)</f>
        <v>43.957801392136268</v>
      </c>
      <c r="D358" s="2">
        <f t="shared" si="12"/>
        <v>0</v>
      </c>
    </row>
    <row r="359" spans="1:4" x14ac:dyDescent="0.3">
      <c r="A359" s="2">
        <f>109.018305110004*(1/3.6)</f>
        <v>30.282862530556777</v>
      </c>
      <c r="B359" s="2">
        <f>262.823318888046*(1/3.6)</f>
        <v>73.00647746890175</v>
      </c>
      <c r="C359" s="2">
        <f>159.501148915982*(1/3.6)</f>
        <v>44.305874698883827</v>
      </c>
      <c r="D359" s="2">
        <f t="shared" si="12"/>
        <v>0</v>
      </c>
    </row>
    <row r="360" spans="1:4" x14ac:dyDescent="0.3">
      <c r="A360" s="2">
        <f>108.949162725813*(1/3.6)</f>
        <v>30.263656312725939</v>
      </c>
      <c r="B360" s="2">
        <f>262.576442948858*(1/3.6)</f>
        <v>72.937900819127123</v>
      </c>
      <c r="C360" s="2">
        <f>159.354708812697*(1/3.6)</f>
        <v>44.265196892415872</v>
      </c>
      <c r="D360" s="2">
        <f t="shared" si="12"/>
        <v>0</v>
      </c>
    </row>
    <row r="361" spans="1:4" x14ac:dyDescent="0.3">
      <c r="A361" s="2">
        <f>107.310841427366*(1/3.6)</f>
        <v>29.808567063157238</v>
      </c>
      <c r="B361" s="2">
        <f>259.973996144072*(1/3.6)</f>
        <v>72.214998928908855</v>
      </c>
      <c r="C361" s="2">
        <f>155.72130178017*(1/3.6)</f>
        <v>43.255917161158457</v>
      </c>
      <c r="D361" s="2">
        <f t="shared" si="12"/>
        <v>0</v>
      </c>
    </row>
    <row r="362" spans="1:4" x14ac:dyDescent="0.3">
      <c r="A362" s="2">
        <f>109.855672955905*(1/3.6)</f>
        <v>30.515464709973511</v>
      </c>
      <c r="B362" s="2">
        <f>263.665972995769*(1/3.6)</f>
        <v>73.240548054380383</v>
      </c>
      <c r="C362" s="2">
        <f>161.373965327004*(1/3.6)</f>
        <v>44.826101479723299</v>
      </c>
      <c r="D362" s="2">
        <f t="shared" si="12"/>
        <v>0</v>
      </c>
    </row>
    <row r="363" spans="1:4" x14ac:dyDescent="0.3">
      <c r="A363" s="2">
        <f>107.147503867654*(1/3.6)</f>
        <v>29.76319551879277</v>
      </c>
      <c r="B363" s="2">
        <f>259.448673376995*(1/3.6)</f>
        <v>72.069075938054098</v>
      </c>
      <c r="C363" s="2">
        <f>155.370610919705*(1/3.6)</f>
        <v>43.158503033251392</v>
      </c>
      <c r="D363" s="2">
        <f t="shared" si="12"/>
        <v>0</v>
      </c>
    </row>
    <row r="364" spans="1:4" x14ac:dyDescent="0.3">
      <c r="A364" s="2">
        <f>109.133452760881*(1/3.6)</f>
        <v>30.31484798913349</v>
      </c>
      <c r="B364" s="2">
        <f>262.285673700211*(1/3.6)</f>
        <v>72.857131583392004</v>
      </c>
      <c r="C364" s="2">
        <f>159.789938174831*(1/3.6)</f>
        <v>44.386093937453019</v>
      </c>
      <c r="D364" s="2">
        <f t="shared" si="12"/>
        <v>0</v>
      </c>
    </row>
    <row r="365" spans="1:4" x14ac:dyDescent="0.3">
      <c r="A365" s="2">
        <f>109.896984981649*(1/3.6)</f>
        <v>30.526940272680228</v>
      </c>
      <c r="B365" s="2">
        <f>263.299817482226*(1/3.6)</f>
        <v>73.13883818950714</v>
      </c>
      <c r="C365" s="2">
        <f>161.485585103311*(1/3.6)</f>
        <v>44.857106973141946</v>
      </c>
      <c r="D365" s="2">
        <f t="shared" si="12"/>
        <v>0</v>
      </c>
    </row>
    <row r="366" spans="1:4" x14ac:dyDescent="0.3">
      <c r="A366" s="2">
        <f>109.040371902011*(1/3.6)</f>
        <v>30.288992195002965</v>
      </c>
      <c r="B366" s="2">
        <f>261.860376721723*(1/3.6)</f>
        <v>72.738993533812049</v>
      </c>
      <c r="C366" s="2">
        <f>159.597267525482*(1/3.6)</f>
        <v>44.332574312633902</v>
      </c>
      <c r="D366" s="2">
        <f t="shared" si="12"/>
        <v>0</v>
      </c>
    </row>
    <row r="367" spans="1:4" x14ac:dyDescent="0.3">
      <c r="A367" s="2">
        <f>109.997483148942*(1/3.6)</f>
        <v>30.554856430261584</v>
      </c>
      <c r="B367" s="2">
        <f>263.166368872468*(1/3.6)</f>
        <v>73.101769131240985</v>
      </c>
      <c r="C367" s="2">
        <f>161.721154861992*(1/3.6)</f>
        <v>44.922543017219887</v>
      </c>
      <c r="D367" s="2">
        <f t="shared" si="12"/>
        <v>0</v>
      </c>
    </row>
    <row r="368" spans="1:4" x14ac:dyDescent="0.3">
      <c r="A368" s="2">
        <f>107.590799731721*(1/3.6)</f>
        <v>29.886333258811515</v>
      </c>
      <c r="B368" s="2">
        <f>259.403505678271*(1/3.6)</f>
        <v>72.056529355075398</v>
      </c>
      <c r="C368" s="2">
        <f>156.391614601046*(1/3.6)</f>
        <v>43.44211516695713</v>
      </c>
      <c r="D368" s="2">
        <f t="shared" si="12"/>
        <v>0</v>
      </c>
    </row>
    <row r="369" spans="1:4" x14ac:dyDescent="0.3">
      <c r="A369" s="2">
        <f>109.248730819347*(1/3.6)</f>
        <v>30.346869672040736</v>
      </c>
      <c r="B369" s="2">
        <f>261.747373593197*(1/3.6)</f>
        <v>72.70760377588816</v>
      </c>
      <c r="C369" s="2">
        <f>160.078975225003*(1/3.6)</f>
        <v>44.46638200694521</v>
      </c>
      <c r="D369" s="2">
        <f t="shared" si="12"/>
        <v>0</v>
      </c>
    </row>
    <row r="370" spans="1:4" x14ac:dyDescent="0.3">
      <c r="A370" s="2">
        <f>108.717159512384*(1/3.6)</f>
        <v>30.199210975662353</v>
      </c>
      <c r="B370" s="2">
        <f>260.80497662874*(1/3.6)</f>
        <v>72.44582684131656</v>
      </c>
      <c r="C370" s="2">
        <f>158.907808421969*(1/3.6)</f>
        <v>44.141057894991512</v>
      </c>
      <c r="D370" s="2">
        <f t="shared" si="12"/>
        <v>0</v>
      </c>
    </row>
    <row r="371" spans="1:4" x14ac:dyDescent="0.3">
      <c r="A371" s="2">
        <f>108.633505612527*(1/3.6)</f>
        <v>30.175973781257444</v>
      </c>
      <c r="B371" s="2">
        <f>260.537338673064*(1/3.6)</f>
        <v>72.371482964739968</v>
      </c>
      <c r="C371" s="2">
        <f>158.728985272112*(1/3.6)</f>
        <v>44.091384797808786</v>
      </c>
      <c r="D371" s="2">
        <f t="shared" si="12"/>
        <v>0</v>
      </c>
    </row>
    <row r="372" spans="1:4" x14ac:dyDescent="0.3">
      <c r="A372" s="2">
        <f>108.074514492465*(1/3.6)</f>
        <v>30.020698470129183</v>
      </c>
      <c r="B372" s="2">
        <f>259.559091074361*(1/3.6)</f>
        <v>72.099747520655839</v>
      </c>
      <c r="C372" s="2">
        <f>157.494420504253*(1/3.6)</f>
        <v>43.748450140070339</v>
      </c>
      <c r="D372" s="2">
        <f t="shared" si="12"/>
        <v>0</v>
      </c>
    </row>
    <row r="373" spans="1:4" x14ac:dyDescent="0.3">
      <c r="A373" s="2">
        <f>107.88273514866*(1/3.6)</f>
        <v>29.967426430183451</v>
      </c>
      <c r="B373" s="2">
        <f>259.131555966697*(1/3.6)</f>
        <v>71.980987768526958</v>
      </c>
      <c r="C373" s="2">
        <f>157.074721485596*(1/3.6)</f>
        <v>43.631867079332316</v>
      </c>
      <c r="D373" s="2">
        <f t="shared" si="12"/>
        <v>0</v>
      </c>
    </row>
    <row r="374" spans="1:4" x14ac:dyDescent="0.3">
      <c r="A374" s="2">
        <f>107.33249354578*(1/3.6)</f>
        <v>29.814581540494551</v>
      </c>
      <c r="B374" s="2">
        <f>258.172595656695*(1/3.6)</f>
        <v>71.714609904637598</v>
      </c>
      <c r="C374" s="2">
        <f>155.85641345001*(1/3.6)</f>
        <v>43.293448180558364</v>
      </c>
      <c r="D374" s="2">
        <f t="shared" si="12"/>
        <v>0</v>
      </c>
    </row>
    <row r="375" spans="1:4" x14ac:dyDescent="0.3">
      <c r="A375" s="2">
        <f>108.622329592281*(1/3.6)</f>
        <v>30.172869331189283</v>
      </c>
      <c r="B375" s="2">
        <f>259.952319711832*(1/3.6)</f>
        <v>72.208977697731115</v>
      </c>
      <c r="C375" s="2">
        <f>158.731129803324*(1/3.6)</f>
        <v>44.09198050092327</v>
      </c>
      <c r="D375" s="2">
        <f t="shared" si="12"/>
        <v>0</v>
      </c>
    </row>
    <row r="376" spans="1:4" x14ac:dyDescent="0.3">
      <c r="A376" s="2">
        <f>108.705977172833*(1/3.6)</f>
        <v>30.196104770231504</v>
      </c>
      <c r="B376" s="2">
        <f>259.935415282591*(1/3.6)</f>
        <v>72.204282022942039</v>
      </c>
      <c r="C376" s="2">
        <f>158.92343570595*(1/3.6)</f>
        <v>44.145398807208245</v>
      </c>
      <c r="D376" s="2">
        <f t="shared" si="12"/>
        <v>0</v>
      </c>
    </row>
    <row r="377" spans="1:4" x14ac:dyDescent="0.3">
      <c r="A377" s="2">
        <f>108.857760273791*(1/3.6)</f>
        <v>30.238266742719695</v>
      </c>
      <c r="B377" s="2">
        <f>260.020491552929*(1/3.6)</f>
        <v>72.22791432025808</v>
      </c>
      <c r="C377" s="2">
        <f>159.266778389641*(1/3.6)</f>
        <v>44.240771774900139</v>
      </c>
      <c r="D377" s="2">
        <f t="shared" si="12"/>
        <v>0</v>
      </c>
    </row>
    <row r="378" spans="1:4" x14ac:dyDescent="0.3">
      <c r="A378" s="2">
        <f>108.990588534191*(1/3.6)</f>
        <v>30.275163481719755</v>
      </c>
      <c r="B378" s="2">
        <f>260.077187404598*(1/3.6)</f>
        <v>72.243663167943865</v>
      </c>
      <c r="C378" s="2">
        <f>159.567960489982*(1/3.6)</f>
        <v>44.324433469439484</v>
      </c>
      <c r="D378" s="2">
        <f t="shared" si="12"/>
        <v>0</v>
      </c>
    </row>
    <row r="379" spans="1:4" x14ac:dyDescent="0.3">
      <c r="A379" s="2">
        <f>109.812032902637*(1/3.6)</f>
        <v>30.503342472954724</v>
      </c>
      <c r="B379" s="2">
        <f>261.169136804798*(1/3.6)</f>
        <v>72.546982445777132</v>
      </c>
      <c r="C379" s="2">
        <f>161.392827982068*(1/3.6)</f>
        <v>44.831341106129862</v>
      </c>
      <c r="D379" s="2">
        <f t="shared" si="12"/>
        <v>0</v>
      </c>
    </row>
    <row r="380" spans="1:4" x14ac:dyDescent="0.3">
      <c r="A380" s="2">
        <f>109.925088666793*(1/3.6)</f>
        <v>30.534746851886826</v>
      </c>
      <c r="B380" s="2">
        <f>261.196524823458*(1/3.6)</f>
        <v>72.554590228738377</v>
      </c>
      <c r="C380" s="2">
        <f>161.649475669086*(1/3.6)</f>
        <v>44.902632130301647</v>
      </c>
      <c r="D380" s="2">
        <f t="shared" si="12"/>
        <v>0</v>
      </c>
    </row>
    <row r="381" spans="1:4" x14ac:dyDescent="0.3">
      <c r="A381" s="2">
        <f>109.417351455767*(1/3.6)</f>
        <v>30.39370873771302</v>
      </c>
      <c r="B381" s="2">
        <f>260.28968917594*(1/3.6)</f>
        <v>72.302691437761183</v>
      </c>
      <c r="C381" s="2">
        <f>160.533404546714*(1/3.6)</f>
        <v>44.592612374087153</v>
      </c>
      <c r="D381" s="2">
        <f t="shared" si="12"/>
        <v>0</v>
      </c>
    </row>
    <row r="382" spans="1:4" x14ac:dyDescent="0.3">
      <c r="A382" s="2">
        <f>107.99802830523*(1/3.6)</f>
        <v>29.999452307008301</v>
      </c>
      <c r="B382" s="2">
        <f>258.028905876901*(1/3.6)</f>
        <v>71.67469607691686</v>
      </c>
      <c r="C382" s="2">
        <f>157.391506275189*(1/3.6)</f>
        <v>43.719862854219251</v>
      </c>
      <c r="D382" s="2">
        <f t="shared" si="12"/>
        <v>0</v>
      </c>
    </row>
    <row r="383" spans="1:4" x14ac:dyDescent="0.3">
      <c r="A383" s="2">
        <f>109.092127626906*(1/3.6)</f>
        <v>30.303368785251582</v>
      </c>
      <c r="B383" s="2">
        <f>259.517113397044*(1/3.6)</f>
        <v>72.08808705473443</v>
      </c>
      <c r="C383" s="2">
        <f>159.826732890177*(1/3.6)</f>
        <v>44.396314691715723</v>
      </c>
      <c r="D383" s="2">
        <f t="shared" si="12"/>
        <v>0</v>
      </c>
    </row>
    <row r="384" spans="1:4" x14ac:dyDescent="0.3">
      <c r="A384" s="2">
        <f>107.349554280336*(1/3.6)</f>
        <v>29.819320633426628</v>
      </c>
      <c r="B384" s="2">
        <f>256.786678051146*(1/3.6)</f>
        <v>71.329632791984992</v>
      </c>
      <c r="C384" s="2">
        <f>155.961296030979*(1/3.6)</f>
        <v>43.322582230827386</v>
      </c>
      <c r="D384" s="2">
        <f t="shared" si="12"/>
        <v>0</v>
      </c>
    </row>
    <row r="385" spans="1:4" x14ac:dyDescent="0.3">
      <c r="A385" s="2">
        <f>107.689975679341*(1/3.6)</f>
        <v>29.913882133150224</v>
      </c>
      <c r="B385" s="2">
        <f>359.19128664987*(1/3.6)</f>
        <v>99.77535740274179</v>
      </c>
      <c r="C385" s="2">
        <f>156.726246653464*(1/3.6)</f>
        <v>43.535068514851176</v>
      </c>
      <c r="D385" s="2">
        <f t="shared" si="12"/>
        <v>0</v>
      </c>
    </row>
    <row r="386" spans="1:4" x14ac:dyDescent="0.3">
      <c r="A386" s="2">
        <f>110.00225125033*(1/3.6)</f>
        <v>30.556180902869464</v>
      </c>
      <c r="B386" s="2">
        <f>362.428409872462*(1/3.6)</f>
        <v>100.6745582979061</v>
      </c>
      <c r="C386" s="2">
        <f>161.860721522127*(1/3.6)</f>
        <v>44.961311533924068</v>
      </c>
      <c r="D386" s="2">
        <f t="shared" ref="D386:D449" si="13">0*(1/3.6)</f>
        <v>0</v>
      </c>
    </row>
    <row r="387" spans="1:4" x14ac:dyDescent="0.3">
      <c r="A387" s="2">
        <f>109.980742479136*(1/3.6)</f>
        <v>30.550206244204354</v>
      </c>
      <c r="B387" s="2">
        <f>362.061827902887*(1/3.6)</f>
        <v>100.57272997302425</v>
      </c>
      <c r="C387" s="2">
        <f>161.819991832609*(1/3.6)</f>
        <v>44.949997731280241</v>
      </c>
      <c r="D387" s="2">
        <f t="shared" si="13"/>
        <v>0</v>
      </c>
    </row>
    <row r="388" spans="1:4" x14ac:dyDescent="0.3">
      <c r="A388" s="2">
        <f>109.750206462117*(1/3.6)</f>
        <v>30.486168461699112</v>
      </c>
      <c r="B388" s="2">
        <f>361.370903130599*(1/3.6)</f>
        <v>100.38080642516648</v>
      </c>
      <c r="C388" s="2">
        <f>161.317201122002*(1/3.6)</f>
        <v>44.81033364500064</v>
      </c>
      <c r="D388" s="2">
        <f t="shared" si="13"/>
        <v>0</v>
      </c>
    </row>
    <row r="389" spans="1:4" x14ac:dyDescent="0.3">
      <c r="A389" s="2">
        <f>109.227025675639*(1/3.6)</f>
        <v>30.340840465455248</v>
      </c>
      <c r="B389" s="2">
        <f>360.229128216278*(1/3.6)</f>
        <v>100.06364672674401</v>
      </c>
      <c r="C389" s="2">
        <f>160.166134626004*(1/3.6)</f>
        <v>44.490592951667658</v>
      </c>
      <c r="D389" s="2">
        <f t="shared" si="13"/>
        <v>0</v>
      </c>
    </row>
    <row r="390" spans="1:4" x14ac:dyDescent="0.3">
      <c r="A390" s="2">
        <f>108.213974531832*(1/3.6)</f>
        <v>30.059437369953379</v>
      </c>
      <c r="B390" s="2">
        <f>358.341212868286*(1/3.6)</f>
        <v>99.539225796746194</v>
      </c>
      <c r="C390" s="2">
        <f>157.92530231306*(1/3.6)</f>
        <v>43.868139531405618</v>
      </c>
      <c r="D390" s="2">
        <f t="shared" si="13"/>
        <v>0</v>
      </c>
    </row>
    <row r="391" spans="1:4" x14ac:dyDescent="0.3">
      <c r="A391" s="2">
        <f>113.835416361317*(1/3.6)</f>
        <v>31.620948989254742</v>
      </c>
      <c r="B391" s="2">
        <f>366.788381225616*(1/3.6)</f>
        <v>101.8856614515599</v>
      </c>
      <c r="C391" s="2">
        <f>170.316957740886*(1/3.6)</f>
        <v>47.310266039135051</v>
      </c>
      <c r="D391" s="2">
        <f t="shared" si="13"/>
        <v>0</v>
      </c>
    </row>
    <row r="392" spans="1:4" x14ac:dyDescent="0.3">
      <c r="A392" s="2">
        <f>109.897129586438*(1/3.6)</f>
        <v>30.526980440677189</v>
      </c>
      <c r="B392" s="2">
        <f>360.266773545416*(1/3.6)</f>
        <v>100.07410376261544</v>
      </c>
      <c r="C392" s="2">
        <f>161.669172629596*(1/3.6)</f>
        <v>44.908103508221096</v>
      </c>
      <c r="D392" s="2">
        <f t="shared" si="13"/>
        <v>0</v>
      </c>
    </row>
    <row r="393" spans="1:4" x14ac:dyDescent="0.3">
      <c r="A393" s="2">
        <f>109.542019106432*(1/3.6)</f>
        <v>30.428338640675474</v>
      </c>
      <c r="B393" s="2">
        <f>359.385615537896*(1/3.6)</f>
        <v>99.829337649415493</v>
      </c>
      <c r="C393" s="2">
        <f>160.890585525779*(1/3.6)</f>
        <v>44.691829312716351</v>
      </c>
      <c r="D393" s="2">
        <f t="shared" si="13"/>
        <v>0</v>
      </c>
    </row>
    <row r="394" spans="1:4" x14ac:dyDescent="0.3">
      <c r="A394" s="2">
        <f>109.349936847087*(1/3.6)</f>
        <v>30.374982457524183</v>
      </c>
      <c r="B394" s="2">
        <f>358.757451452417*(1/3.6)</f>
        <v>99.654847625671351</v>
      </c>
      <c r="C394" s="2">
        <f>160.472170608779*(1/3.6)</f>
        <v>44.575602946883038</v>
      </c>
      <c r="D394" s="2">
        <f t="shared" si="13"/>
        <v>0</v>
      </c>
    </row>
    <row r="395" spans="1:4" x14ac:dyDescent="0.3">
      <c r="A395" s="2">
        <f>109.870472054264*(1/3.6)</f>
        <v>30.519575570629016</v>
      </c>
      <c r="B395" s="2">
        <f>359.226490365744*(1/3.6)</f>
        <v>99.78513621270659</v>
      </c>
      <c r="C395" s="2">
        <f>161.630620991595*(1/3.6)</f>
        <v>44.897394719887565</v>
      </c>
      <c r="D395" s="2">
        <f t="shared" si="13"/>
        <v>0</v>
      </c>
    </row>
    <row r="396" spans="1:4" x14ac:dyDescent="0.3">
      <c r="A396" s="2">
        <f>109.468610867771*(1/3.6)</f>
        <v>30.407947463269632</v>
      </c>
      <c r="B396" s="2">
        <f>358.275070785044*(1/3.6)</f>
        <v>99.520852995845601</v>
      </c>
      <c r="C396" s="2">
        <f>160.748448878376*(1/3.6)</f>
        <v>44.65234691065988</v>
      </c>
      <c r="D396" s="2">
        <f t="shared" si="13"/>
        <v>0</v>
      </c>
    </row>
    <row r="397" spans="1:4" x14ac:dyDescent="0.3">
      <c r="A397" s="2">
        <f>111.309998760132*(1/3.6)</f>
        <v>30.919444100036738</v>
      </c>
      <c r="B397" s="2">
        <f>360.789102020504*(1/3.6)</f>
        <v>100.21919500569548</v>
      </c>
      <c r="C397" s="2">
        <f>164.819673791322*(1/3.6)</f>
        <v>45.783242719811803</v>
      </c>
      <c r="D397" s="2">
        <f t="shared" si="13"/>
        <v>0</v>
      </c>
    </row>
    <row r="398" spans="1:4" x14ac:dyDescent="0.3">
      <c r="A398" s="2">
        <f>110.025553817813*(1/3.6)</f>
        <v>30.562653838281516</v>
      </c>
      <c r="B398" s="2">
        <f>358.466086396595*(1/3.6)</f>
        <v>99.573912887943081</v>
      </c>
      <c r="C398" s="2">
        <f>161.993770733864*(1/3.6)</f>
        <v>44.998269648295491</v>
      </c>
      <c r="D398" s="2">
        <f t="shared" si="13"/>
        <v>0</v>
      </c>
    </row>
    <row r="399" spans="1:4" x14ac:dyDescent="0.3">
      <c r="A399" s="2">
        <f>109.654153183186*(1/3.6)</f>
        <v>30.459486995329403</v>
      </c>
      <c r="B399" s="2">
        <f>357.562086241402*(1/3.6)</f>
        <v>99.322801733722642</v>
      </c>
      <c r="C399" s="2">
        <f>161.179381345495*(1/3.6)</f>
        <v>44.772050373748584</v>
      </c>
      <c r="D399" s="2">
        <f t="shared" si="13"/>
        <v>0</v>
      </c>
    </row>
    <row r="400" spans="1:4" x14ac:dyDescent="0.3">
      <c r="A400" s="2">
        <f>109.648491620038*(1/3.6)</f>
        <v>30.457914338899425</v>
      </c>
      <c r="B400" s="2">
        <f>357.220635310818*(1/3.6)</f>
        <v>99.227954253004995</v>
      </c>
      <c r="C400" s="2">
        <f>161.173640128651*(1/3.6)</f>
        <v>44.770455591291814</v>
      </c>
      <c r="D400" s="2">
        <f t="shared" si="13"/>
        <v>0</v>
      </c>
    </row>
    <row r="401" spans="1:4" x14ac:dyDescent="0.3">
      <c r="A401" s="2">
        <f>109.58300716335*(1/3.6)</f>
        <v>30.439724212041735</v>
      </c>
      <c r="B401" s="2">
        <f>356.787585212289*(1/3.6)</f>
        <v>99.107662558969153</v>
      </c>
      <c r="C401" s="2">
        <f>161.035527703287*(1/3.6)</f>
        <v>44.732091028690967</v>
      </c>
      <c r="D401" s="2">
        <f t="shared" si="13"/>
        <v>0</v>
      </c>
    </row>
    <row r="402" spans="1:4" x14ac:dyDescent="0.3">
      <c r="A402" s="2">
        <f>110.285121746357*(1/3.6)</f>
        <v>30.6347560406548</v>
      </c>
      <c r="B402" s="2">
        <f>357.531710094547*(1/3.6)</f>
        <v>99.314363915152057</v>
      </c>
      <c r="C402" s="2">
        <f>162.59436004785*(1/3.6)</f>
        <v>45.165100013291692</v>
      </c>
      <c r="D402" s="2">
        <f t="shared" si="13"/>
        <v>0</v>
      </c>
    </row>
    <row r="403" spans="1:4" x14ac:dyDescent="0.3">
      <c r="A403" s="2">
        <f>110.098069256397*(1/3.6)</f>
        <v>30.582797015665939</v>
      </c>
      <c r="B403" s="2">
        <f>356.910864760251*(1/3.6)</f>
        <v>99.141906877847603</v>
      </c>
      <c r="C403" s="2">
        <f>162.188007120112*(1/3.6)</f>
        <v>45.052224200031056</v>
      </c>
      <c r="D403" s="2">
        <f t="shared" si="13"/>
        <v>0</v>
      </c>
    </row>
    <row r="404" spans="1:4" x14ac:dyDescent="0.3">
      <c r="A404" s="2">
        <f>110.002011275825*(1/3.6)</f>
        <v>30.556114243284728</v>
      </c>
      <c r="B404" s="2">
        <f>356.430262589992*(1/3.6)</f>
        <v>99.008406274997753</v>
      </c>
      <c r="C404" s="2">
        <f>161.982540270231*(1/3.6)</f>
        <v>44.995150075064096</v>
      </c>
      <c r="D404" s="2">
        <f t="shared" si="13"/>
        <v>0</v>
      </c>
    </row>
    <row r="405" spans="1:4" x14ac:dyDescent="0.3">
      <c r="A405" s="2">
        <f>108.874937515013*(1/3.6)</f>
        <v>30.243038198614624</v>
      </c>
      <c r="B405" s="2">
        <f>354.379560594797*(1/3.6)</f>
        <v>98.438766831887932</v>
      </c>
      <c r="C405" s="2">
        <f>159.49387271582*(1/3.6)</f>
        <v>44.303853532172319</v>
      </c>
      <c r="D405" s="2">
        <f t="shared" si="13"/>
        <v>0</v>
      </c>
    </row>
    <row r="406" spans="1:4" x14ac:dyDescent="0.3">
      <c r="A406" s="2">
        <f>114.498302199121*(1/3.6)</f>
        <v>31.805083944200213</v>
      </c>
      <c r="B406" s="2">
        <f>362.754998061002*(1/3.6)</f>
        <v>100.76527723916718</v>
      </c>
      <c r="C406" s="2">
        <f>171.86923125397*(1/3.6)</f>
        <v>47.74145312610279</v>
      </c>
      <c r="D406" s="2">
        <f t="shared" si="13"/>
        <v>0</v>
      </c>
    </row>
    <row r="407" spans="1:4" x14ac:dyDescent="0.3">
      <c r="A407" s="2">
        <f>110.08915578782*(1/3.6)</f>
        <v>30.58032105217211</v>
      </c>
      <c r="B407" s="2">
        <f>355.563529976701*(1/3.6)</f>
        <v>98.767647215750202</v>
      </c>
      <c r="C407" s="2">
        <f>162.195528484859*(1/3.6)</f>
        <v>45.054313468016261</v>
      </c>
      <c r="D407" s="2">
        <f t="shared" si="13"/>
        <v>0</v>
      </c>
    </row>
    <row r="408" spans="1:4" x14ac:dyDescent="0.3">
      <c r="A408" s="2">
        <f>110.594848599318*(1/3.6)</f>
        <v>30.720791277588319</v>
      </c>
      <c r="B408" s="2">
        <f>356.00388606666*(1/3.6)</f>
        <v>98.88996835184993</v>
      </c>
      <c r="C408" s="2">
        <f>163.318904675016*(1/3.6)</f>
        <v>45.366362409726754</v>
      </c>
      <c r="D408" s="2">
        <f t="shared" si="13"/>
        <v>0</v>
      </c>
    </row>
    <row r="409" spans="1:4" x14ac:dyDescent="0.3">
      <c r="A409" s="2">
        <f>109.739554202054*(1/3.6)</f>
        <v>30.483209500570673</v>
      </c>
      <c r="B409" s="2">
        <f>354.363913642186*(1/3.6)</f>
        <v>98.434420456162869</v>
      </c>
      <c r="C409" s="2">
        <f>161.436185679647*(1/3.6)</f>
        <v>44.843384911013096</v>
      </c>
      <c r="D409" s="2">
        <f t="shared" si="13"/>
        <v>0</v>
      </c>
    </row>
    <row r="410" spans="1:4" x14ac:dyDescent="0.3">
      <c r="A410" s="2">
        <f>110.068596527138*(1/3.6)</f>
        <v>30.574610146427311</v>
      </c>
      <c r="B410" s="2">
        <f>354.531855011027*(1/3.6)</f>
        <v>98.481070836396299</v>
      </c>
      <c r="C410" s="2">
        <f>162.170510219562*(1/3.6)</f>
        <v>45.04736394987836</v>
      </c>
      <c r="D410" s="2">
        <f t="shared" si="13"/>
        <v>0</v>
      </c>
    </row>
    <row r="411" spans="1:4" x14ac:dyDescent="0.3">
      <c r="A411" s="2">
        <f>109.506190409231*(1/3.6)</f>
        <v>30.41838622478646</v>
      </c>
      <c r="B411" s="2">
        <f>353.343779616056*(1/3.6)</f>
        <v>98.151049893348883</v>
      </c>
      <c r="C411" s="2">
        <f>160.933322651079*(1/3.6)</f>
        <v>44.703700736410894</v>
      </c>
      <c r="D411" s="2">
        <f t="shared" si="13"/>
        <v>0</v>
      </c>
    </row>
    <row r="412" spans="1:4" x14ac:dyDescent="0.3">
      <c r="A412" s="2">
        <f>110.197203232668*(1/3.6)</f>
        <v>30.610334231296562</v>
      </c>
      <c r="B412" s="2">
        <f>354.060748553873*(1/3.6)</f>
        <v>98.350207931631516</v>
      </c>
      <c r="C412" s="2">
        <f>162.468286819876*(1/3.6)</f>
        <v>45.130079672187676</v>
      </c>
      <c r="D412" s="2">
        <f t="shared" si="13"/>
        <v>0</v>
      </c>
    </row>
    <row r="413" spans="1:4" x14ac:dyDescent="0.3">
      <c r="A413" s="2">
        <f>108.75203549752*(1/3.6)</f>
        <v>30.208898749311157</v>
      </c>
      <c r="B413" s="2">
        <f>351.540225809038*(1/3.6)</f>
        <v>97.650062724732791</v>
      </c>
      <c r="C413" s="2">
        <f>159.275216984009*(1/3.6)</f>
        <v>44.243115828891476</v>
      </c>
      <c r="D413" s="2">
        <f t="shared" si="13"/>
        <v>0</v>
      </c>
    </row>
    <row r="414" spans="1:4" x14ac:dyDescent="0.3">
      <c r="A414" s="2">
        <f>108.994764524463*(1/3.6)</f>
        <v>30.276323479017389</v>
      </c>
      <c r="B414" s="2">
        <f>351.573854249542*(1/3.6)</f>
        <v>97.659403958206212</v>
      </c>
      <c r="C414" s="2">
        <f>159.820458874823*(1/3.6)</f>
        <v>44.394571909673182</v>
      </c>
      <c r="D414" s="2">
        <f t="shared" si="13"/>
        <v>0</v>
      </c>
    </row>
    <row r="415" spans="1:4" x14ac:dyDescent="0.3">
      <c r="A415" s="2">
        <f>109.634577153912*(1/3.6)</f>
        <v>30.454049209420109</v>
      </c>
      <c r="B415" s="2">
        <f>352.207118508121*(1/3.6)</f>
        <v>97.835310696700276</v>
      </c>
      <c r="C415" s="2">
        <f>161.244647275072*(1/3.6)</f>
        <v>44.790179798631165</v>
      </c>
      <c r="D415" s="2">
        <f t="shared" si="13"/>
        <v>0</v>
      </c>
    </row>
    <row r="416" spans="1:4" x14ac:dyDescent="0.3">
      <c r="A416" s="2">
        <f>109.407526951741*(1/3.6)</f>
        <v>30.39097970881706</v>
      </c>
      <c r="B416" s="2">
        <f>351.531464931755*(1/3.6)</f>
        <v>97.647629147709694</v>
      </c>
      <c r="C416" s="2">
        <f>160.748755461141*(1/3.6)</f>
        <v>44.652432072539298</v>
      </c>
      <c r="D416" s="2">
        <f t="shared" si="13"/>
        <v>0</v>
      </c>
    </row>
    <row r="417" spans="1:4" x14ac:dyDescent="0.3">
      <c r="A417" s="2">
        <f>109.900642231893*(1/3.6)</f>
        <v>30.527956175525862</v>
      </c>
      <c r="B417" s="2">
        <f>351.943413412313*(1/3.6)</f>
        <v>97.762059281197978</v>
      </c>
      <c r="C417" s="2">
        <f>161.846837677907*(1/3.6)</f>
        <v>44.957454910529741</v>
      </c>
      <c r="D417" s="2">
        <f t="shared" si="13"/>
        <v>0</v>
      </c>
    </row>
    <row r="418" spans="1:4" x14ac:dyDescent="0.3">
      <c r="A418" s="2">
        <f>109.908474330588*(1/3.6)</f>
        <v>30.530131758496637</v>
      </c>
      <c r="B418" s="2">
        <f>351.621987502132*(1/3.6)</f>
        <v>97.672774306147844</v>
      </c>
      <c r="C418" s="2">
        <f>161.870957592846*(1/3.6)</f>
        <v>44.964154886901781</v>
      </c>
      <c r="D418" s="2">
        <f t="shared" si="13"/>
        <v>0</v>
      </c>
    </row>
    <row r="419" spans="1:4" x14ac:dyDescent="0.3">
      <c r="A419" s="2">
        <f>109.034569053778*(1/3.6)</f>
        <v>30.287380292716104</v>
      </c>
      <c r="B419" s="2">
        <f>349.97348226697*(1/3.6)</f>
        <v>97.214856185269525</v>
      </c>
      <c r="C419" s="2">
        <f>159.942547744152*(1/3.6)</f>
        <v>44.428485484486558</v>
      </c>
      <c r="D419" s="2">
        <f t="shared" si="13"/>
        <v>0</v>
      </c>
    </row>
    <row r="420" spans="1:4" x14ac:dyDescent="0.3">
      <c r="A420" s="2">
        <f>109.835051550362*(1/3.6)</f>
        <v>30.509736541767307</v>
      </c>
      <c r="B420" s="2">
        <f>350.844676113984*(1/3.6)</f>
        <v>97.456854476106543</v>
      </c>
      <c r="C420" s="2">
        <f>161.722170891959*(1/3.6)</f>
        <v>44.922825247766319</v>
      </c>
      <c r="D420" s="2">
        <f t="shared" si="13"/>
        <v>0</v>
      </c>
    </row>
    <row r="421" spans="1:4" x14ac:dyDescent="0.3">
      <c r="A421" s="2">
        <f>110.401627031798*(1/3.6)</f>
        <v>30.667118619943757</v>
      </c>
      <c r="B421" s="2">
        <f>351.366823466573*(1/3.6)</f>
        <v>97.601895407381505</v>
      </c>
      <c r="C421" s="2">
        <f>162.981129657781*(1/3.6)</f>
        <v>45.272536016050282</v>
      </c>
      <c r="D421" s="2">
        <f t="shared" si="13"/>
        <v>0</v>
      </c>
    </row>
    <row r="422" spans="1:4" x14ac:dyDescent="0.3">
      <c r="A422" s="2">
        <f>109.255399938865*(1/3.6)</f>
        <v>30.348722205240207</v>
      </c>
      <c r="B422" s="2">
        <f>349.307789885217*(1/3.6)</f>
        <v>97.029941634782475</v>
      </c>
      <c r="C422" s="2">
        <f>160.452396133667*(1/3.6)</f>
        <v>44.570110037129623</v>
      </c>
      <c r="D422" s="2">
        <f t="shared" si="13"/>
        <v>0</v>
      </c>
    </row>
    <row r="423" spans="1:4" x14ac:dyDescent="0.3">
      <c r="A423" s="2">
        <f>109.704105363414*(1/3.6)</f>
        <v>30.473362600948462</v>
      </c>
      <c r="B423" s="2">
        <f>349.648251773718*(1/3.6)</f>
        <v>97.124514381588313</v>
      </c>
      <c r="C423" s="2">
        <f>161.452846220036*(1/3.6)</f>
        <v>44.84801283889886</v>
      </c>
      <c r="D423" s="2">
        <f t="shared" si="13"/>
        <v>0</v>
      </c>
    </row>
    <row r="424" spans="1:4" x14ac:dyDescent="0.3">
      <c r="A424" s="2">
        <f>110.161947122347*(1/3.6)</f>
        <v>30.600540867318575</v>
      </c>
      <c r="B424" s="2">
        <f>350.003538949468*(1/3.6)</f>
        <v>97.223205263741164</v>
      </c>
      <c r="C424" s="2">
        <f>162.472128328728*(1/3.6)</f>
        <v>45.131146757980112</v>
      </c>
      <c r="D424" s="2">
        <f t="shared" si="13"/>
        <v>0</v>
      </c>
    </row>
    <row r="425" spans="1:4" x14ac:dyDescent="0.3">
      <c r="A425" s="2">
        <f>109.201408958267*(1/3.6)</f>
        <v>30.333724710629706</v>
      </c>
      <c r="B425" s="2">
        <f>348.229841128293*(1/3.6)</f>
        <v>96.730511424525744</v>
      </c>
      <c r="C425" s="2">
        <f>160.35305886649*(1/3.6)</f>
        <v>44.542516351802895</v>
      </c>
      <c r="D425" s="2">
        <f t="shared" si="13"/>
        <v>0</v>
      </c>
    </row>
    <row r="426" spans="1:4" x14ac:dyDescent="0.3">
      <c r="A426" s="2">
        <f>109.687301590124*(1/3.6)</f>
        <v>30.46869488614557</v>
      </c>
      <c r="B426" s="2">
        <f>348.623922002197*(1/3.6)</f>
        <v>96.839978333943534</v>
      </c>
      <c r="C426" s="2">
        <f>161.436039943279*(1/3.6)</f>
        <v>44.843344428688475</v>
      </c>
      <c r="D426" s="2">
        <f t="shared" si="13"/>
        <v>0</v>
      </c>
    </row>
    <row r="427" spans="1:4" x14ac:dyDescent="0.3">
      <c r="A427" s="2">
        <f>108.968969797043*(1/3.6)</f>
        <v>30.2691582769565</v>
      </c>
      <c r="B427" s="2">
        <f>347.218845544435*(1/3.6)</f>
        <v>96.449679317898628</v>
      </c>
      <c r="C427" s="2">
        <f>159.851177653105*(1/3.6)</f>
        <v>44.403104903640369</v>
      </c>
      <c r="D427" s="2">
        <f t="shared" si="13"/>
        <v>0</v>
      </c>
    </row>
    <row r="428" spans="1:4" x14ac:dyDescent="0.3">
      <c r="A428" s="2">
        <f>112.621346250535*(1/3.6)</f>
        <v>31.28370729181534</v>
      </c>
      <c r="B428" s="2">
        <f>352.393409369467*(1/3.6)</f>
        <v>97.887058158185226</v>
      </c>
      <c r="C428" s="2">
        <f>167.914976197422*(1/3.6)</f>
        <v>46.643048943728239</v>
      </c>
      <c r="D428" s="2">
        <f t="shared" si="13"/>
        <v>0</v>
      </c>
    </row>
    <row r="429" spans="1:4" x14ac:dyDescent="0.3">
      <c r="A429" s="2">
        <f>109.005373648129*(1/3.6)</f>
        <v>30.279270457813741</v>
      </c>
      <c r="B429" s="2">
        <f>346.608781820068*(1/3.6)</f>
        <v>96.280217172241251</v>
      </c>
      <c r="C429" s="2">
        <f>159.94546241232*(1/3.6)</f>
        <v>44.429295114533403</v>
      </c>
      <c r="D429" s="2">
        <f t="shared" si="13"/>
        <v>0</v>
      </c>
    </row>
    <row r="430" spans="1:4" x14ac:dyDescent="0.3">
      <c r="A430" s="2">
        <f>109.319721594869*(1/3.6)</f>
        <v>30.366589331907946</v>
      </c>
      <c r="B430" s="2">
        <f>346.743887024719*(1/3.6)</f>
        <v>96.317746395755307</v>
      </c>
      <c r="C430" s="2">
        <f>160.649156753068*(1/3.6)</f>
        <v>44.624765764741063</v>
      </c>
      <c r="D430" s="2">
        <f t="shared" si="13"/>
        <v>0</v>
      </c>
    </row>
    <row r="431" spans="1:4" x14ac:dyDescent="0.3">
      <c r="A431" s="2">
        <f>110.264623566021*(1/3.6)</f>
        <v>30.629062101672584</v>
      </c>
      <c r="B431" s="2">
        <f>347.821282333219*(1/3.6)</f>
        <v>96.617022870338701</v>
      </c>
      <c r="C431" s="2">
        <f>162.746721726292*(1/3.6)</f>
        <v>45.207422701747767</v>
      </c>
      <c r="D431" s="2">
        <f t="shared" si="13"/>
        <v>0</v>
      </c>
    </row>
    <row r="432" spans="1:4" x14ac:dyDescent="0.3">
      <c r="A432" s="2">
        <f>110.421623981225*(1/3.6)</f>
        <v>30.672673328118087</v>
      </c>
      <c r="B432" s="2">
        <f>347.72243695677*(1/3.6)</f>
        <v>96.589565821324939</v>
      </c>
      <c r="C432" s="2">
        <f>163.100351548569*(1/3.6)</f>
        <v>45.305653207935777</v>
      </c>
      <c r="D432" s="2">
        <f t="shared" si="13"/>
        <v>0</v>
      </c>
    </row>
    <row r="433" spans="1:4" x14ac:dyDescent="0.3">
      <c r="A433" s="2">
        <f>109.672132588925*(1/3.6)</f>
        <v>30.464481274701402</v>
      </c>
      <c r="B433" s="2">
        <f>346.269841219983*(1/3.6)</f>
        <v>96.186067005550782</v>
      </c>
      <c r="C433" s="2">
        <f>161.450029262173*(1/3.6)</f>
        <v>44.847230350603745</v>
      </c>
      <c r="D433" s="2">
        <f t="shared" si="13"/>
        <v>0</v>
      </c>
    </row>
    <row r="434" spans="1:4" x14ac:dyDescent="0.3">
      <c r="A434" s="2">
        <f>110.10693190863*(1/3.6)</f>
        <v>30.585258863508354</v>
      </c>
      <c r="B434" s="2">
        <f>346.584244112991*(1/3.6)</f>
        <v>96.273401142497448</v>
      </c>
      <c r="C434" s="2">
        <f>162.418663347329*(1/3.6)</f>
        <v>45.116295374258137</v>
      </c>
      <c r="D434" s="2">
        <f t="shared" si="13"/>
        <v>0</v>
      </c>
    </row>
    <row r="435" spans="1:4" x14ac:dyDescent="0.3">
      <c r="A435" s="2">
        <f>109.370538492238*(1/3.6)</f>
        <v>30.380705136732701</v>
      </c>
      <c r="B435" s="2">
        <f>345.156210832372*(1/3.6)</f>
        <v>95.876725231214451</v>
      </c>
      <c r="C435" s="2">
        <f>160.795671524636*(1/3.6)</f>
        <v>44.66546431239891</v>
      </c>
      <c r="D435" s="2">
        <f t="shared" si="13"/>
        <v>0</v>
      </c>
    </row>
    <row r="436" spans="1:4" x14ac:dyDescent="0.3">
      <c r="A436" s="2">
        <f>109.762376807052*(1/3.6)</f>
        <v>30.489549113069955</v>
      </c>
      <c r="B436" s="2">
        <f>345.404522636611*(1/3.6)</f>
        <v>95.945700732391899</v>
      </c>
      <c r="C436" s="2">
        <f>161.670165200943*(1/3.6)</f>
        <v>44.908379222484051</v>
      </c>
      <c r="D436" s="2">
        <f t="shared" si="13"/>
        <v>0</v>
      </c>
    </row>
    <row r="437" spans="1:4" x14ac:dyDescent="0.3">
      <c r="A437" s="2">
        <f>111.474450639578*(1/3.6)</f>
        <v>30.965125177660511</v>
      </c>
      <c r="B437" s="2">
        <f>347.627833436491*(1/3.6)</f>
        <v>96.563287065691966</v>
      </c>
      <c r="C437" s="2">
        <f>165.456164735366*(1/3.6)</f>
        <v>45.960045759823942</v>
      </c>
      <c r="D437" s="2">
        <f t="shared" si="13"/>
        <v>0</v>
      </c>
    </row>
    <row r="438" spans="1:4" x14ac:dyDescent="0.3">
      <c r="A438" s="2">
        <f>113.715191515511*(1/3.6)</f>
        <v>31.587553198753145</v>
      </c>
      <c r="B438" s="2">
        <f>350.684650700957*(1/3.6)</f>
        <v>97.412402972487939</v>
      </c>
      <c r="C438" s="2">
        <f>170.38121860519*(1/3.6)</f>
        <v>47.328116279219572</v>
      </c>
      <c r="D438" s="2">
        <f t="shared" si="13"/>
        <v>0</v>
      </c>
    </row>
    <row r="439" spans="1:4" x14ac:dyDescent="0.3">
      <c r="A439" s="2">
        <f>107.01874987667*(1/3.6)</f>
        <v>29.727430521297173</v>
      </c>
      <c r="B439" s="2">
        <f>340.384635348704*(1/3.6)</f>
        <v>94.551287596862238</v>
      </c>
      <c r="C439" s="2">
        <f>155.591196230937*(1/3.6)</f>
        <v>43.219776730815745</v>
      </c>
      <c r="D439" s="2">
        <f t="shared" si="13"/>
        <v>0</v>
      </c>
    </row>
    <row r="440" spans="1:4" x14ac:dyDescent="0.3">
      <c r="A440" s="2">
        <f>109.444522461469*(1/3.6)</f>
        <v>30.401256239296924</v>
      </c>
      <c r="B440" s="2">
        <f>343.601843182386*(1/3.6)</f>
        <v>95.444956439551589</v>
      </c>
      <c r="C440" s="2">
        <f>160.993524400533*(1/3.6)</f>
        <v>44.720423444592633</v>
      </c>
      <c r="D440" s="2">
        <f t="shared" si="13"/>
        <v>0</v>
      </c>
    </row>
    <row r="441" spans="1:4" x14ac:dyDescent="0.3">
      <c r="A441" s="2">
        <f>108.574250319543*(1/3.6)</f>
        <v>30.159513977650846</v>
      </c>
      <c r="B441" s="2">
        <f>341.990067665458*(1/3.6)</f>
        <v>94.997241018182663</v>
      </c>
      <c r="C441" s="2">
        <f>159.069528320501*(1/3.6)</f>
        <v>44.185980089028106</v>
      </c>
      <c r="D441" s="2">
        <f t="shared" si="13"/>
        <v>0</v>
      </c>
    </row>
    <row r="442" spans="1:4" x14ac:dyDescent="0.3">
      <c r="A442" s="2">
        <f>108.229346958809*(1/3.6)</f>
        <v>30.063707488558116</v>
      </c>
      <c r="B442" s="2">
        <f>341.154397066518*(1/3.6)</f>
        <v>94.765110296255045</v>
      </c>
      <c r="C442" s="2">
        <f>158.30955029252*(1/3.6)</f>
        <v>43.974875081255611</v>
      </c>
      <c r="D442" s="2">
        <f t="shared" si="13"/>
        <v>0</v>
      </c>
    </row>
    <row r="443" spans="1:4" x14ac:dyDescent="0.3">
      <c r="A443" s="2">
        <f>109.410759720628*(1/3.6)</f>
        <v>30.391877700174501</v>
      </c>
      <c r="B443" s="2">
        <f>342.553634980935*(1/3.6)</f>
        <v>95.153787494704261</v>
      </c>
      <c r="C443" s="2">
        <f>160.939083399937*(1/3.6)</f>
        <v>44.705300944426845</v>
      </c>
      <c r="D443" s="2">
        <f t="shared" si="13"/>
        <v>0</v>
      </c>
    </row>
    <row r="444" spans="1:4" x14ac:dyDescent="0.3">
      <c r="A444" s="2">
        <f>107.983964879131*(1/3.6)</f>
        <v>29.995545799758567</v>
      </c>
      <c r="B444" s="2">
        <f>340.134915357488*(1/3.6)</f>
        <v>94.481920932635617</v>
      </c>
      <c r="C444" s="2">
        <f>157.77698339872*(1/3.6)</f>
        <v>43.826939832977658</v>
      </c>
      <c r="D444" s="2">
        <f t="shared" si="13"/>
        <v>0</v>
      </c>
    </row>
    <row r="445" spans="1:4" x14ac:dyDescent="0.3">
      <c r="A445" s="2">
        <f>108.427118461888*(1/3.6)</f>
        <v>30.118644017191215</v>
      </c>
      <c r="B445" s="2">
        <f>340.44884374521*(1/3.6)</f>
        <v>94.569123262558392</v>
      </c>
      <c r="C445" s="2">
        <f>158.769556527031*(1/3.6)</f>
        <v>44.102654590841915</v>
      </c>
      <c r="D445" s="2">
        <f t="shared" si="13"/>
        <v>0</v>
      </c>
    </row>
    <row r="446" spans="1:4" x14ac:dyDescent="0.3">
      <c r="A446" s="2">
        <f>109.633774534929*(1/3.6)</f>
        <v>30.453826259702499</v>
      </c>
      <c r="B446" s="2">
        <f>341.882673998537*(1/3.6)</f>
        <v>94.967409444037969</v>
      </c>
      <c r="C446" s="2">
        <f>161.453465450003*(1/3.6)</f>
        <v>44.848184847223074</v>
      </c>
      <c r="D446" s="2">
        <f t="shared" si="13"/>
        <v>0</v>
      </c>
    </row>
    <row r="447" spans="1:4" x14ac:dyDescent="0.3">
      <c r="A447" s="2">
        <f>110.327797391513*(1/3.6)</f>
        <v>30.646610386531467</v>
      </c>
      <c r="B447" s="2">
        <f>342.571321578996*(1/3.6)</f>
        <v>95.158700438610069</v>
      </c>
      <c r="C447" s="2">
        <f>162.995479364377*(1/3.6)</f>
        <v>45.276522045660151</v>
      </c>
      <c r="D447" s="2">
        <f t="shared" si="13"/>
        <v>0</v>
      </c>
    </row>
    <row r="448" spans="1:4" x14ac:dyDescent="0.3">
      <c r="A448" s="2">
        <f>109.76820720876*(1/3.6)</f>
        <v>30.491168669099967</v>
      </c>
      <c r="B448" s="2">
        <f>341.413692889219*(1/3.6)</f>
        <v>94.837136913672069</v>
      </c>
      <c r="C448" s="2">
        <f>161.764697944693*(1/3.6)</f>
        <v>44.934638317970219</v>
      </c>
      <c r="D448" s="2">
        <f t="shared" si="13"/>
        <v>0</v>
      </c>
    </row>
    <row r="449" spans="1:4" x14ac:dyDescent="0.3">
      <c r="A449" s="2">
        <f>109.352511710984*(1/3.6)</f>
        <v>30.375697697495475</v>
      </c>
      <c r="B449" s="2">
        <f>340.47142931086*(1/3.6)</f>
        <v>94.575397030794434</v>
      </c>
      <c r="C449" s="2">
        <f>160.850724882458*(1/3.6)</f>
        <v>44.6807569117938</v>
      </c>
      <c r="D449" s="2">
        <f t="shared" si="13"/>
        <v>0</v>
      </c>
    </row>
    <row r="450" spans="1:4" x14ac:dyDescent="0.3">
      <c r="A450" s="2">
        <f>109.853543874132*(1/3.6)</f>
        <v>30.51487329837008</v>
      </c>
      <c r="B450" s="2">
        <f>340.872115514715*(1/3.6)</f>
        <v>94.686698754087459</v>
      </c>
      <c r="C450" s="2">
        <f>161.967185852426*(1/3.6)</f>
        <v>44.990884959007246</v>
      </c>
      <c r="D450" s="2">
        <f t="shared" ref="D450:D513" si="14">0*(1/3.6)</f>
        <v>0</v>
      </c>
    </row>
    <row r="451" spans="1:4" x14ac:dyDescent="0.3">
      <c r="A451" s="2">
        <f>108.823464177967*(1/3.6)</f>
        <v>30.228740049435309</v>
      </c>
      <c r="B451" s="2">
        <f>339.035149326732*(1/3.6)</f>
        <v>94.176430368536614</v>
      </c>
      <c r="C451" s="2">
        <f>159.690643259712*(1/3.6)</f>
        <v>44.358512016586538</v>
      </c>
      <c r="D451" s="2">
        <f t="shared" si="14"/>
        <v>0</v>
      </c>
    </row>
    <row r="452" spans="1:4" x14ac:dyDescent="0.3">
      <c r="A452" s="2">
        <f>108.644014245797*(1/3.6)</f>
        <v>30.178892846054612</v>
      </c>
      <c r="B452" s="2">
        <f>338.442613954385*(1/3.6)</f>
        <v>94.01183720955143</v>
      </c>
      <c r="C452" s="2">
        <f>159.298849773754*(1/3.6)</f>
        <v>44.249680492709416</v>
      </c>
      <c r="D452" s="2">
        <f t="shared" si="14"/>
        <v>0</v>
      </c>
    </row>
    <row r="453" spans="1:4" x14ac:dyDescent="0.3">
      <c r="A453" s="2">
        <f>109.723897131726*(1/3.6)</f>
        <v>30.478860314368351</v>
      </c>
      <c r="B453" s="2">
        <f>339.682121291056*(1/3.6)</f>
        <v>94.356144803071174</v>
      </c>
      <c r="C453" s="2">
        <f>161.700625496933*(1/3.6)</f>
        <v>44.916840415814647</v>
      </c>
      <c r="D453" s="2">
        <f t="shared" si="14"/>
        <v>0</v>
      </c>
    </row>
    <row r="454" spans="1:4" x14ac:dyDescent="0.3">
      <c r="A454" s="2">
        <f>108.845187990426*(1/3.6)</f>
        <v>30.234774441785</v>
      </c>
      <c r="B454" s="2">
        <f>338.07039533069*(1/3.6)</f>
        <v>93.908443147414019</v>
      </c>
      <c r="C454" s="2">
        <f>159.759180591735*(1/3.6)</f>
        <v>44.377550164370739</v>
      </c>
      <c r="D454" s="2">
        <f t="shared" si="14"/>
        <v>0</v>
      </c>
    </row>
    <row r="455" spans="1:4" x14ac:dyDescent="0.3">
      <c r="A455" s="2">
        <f>108.921717713232*(1/3.6)</f>
        <v>30.256032698120141</v>
      </c>
      <c r="B455" s="2">
        <f>337.849157810793*(1/3.6)</f>
        <v>93.846988280775832</v>
      </c>
      <c r="C455" s="2">
        <f>159.935849757408*(1/3.6)</f>
        <v>44.426624932613372</v>
      </c>
      <c r="D455" s="2">
        <f t="shared" si="14"/>
        <v>0</v>
      </c>
    </row>
    <row r="456" spans="1:4" x14ac:dyDescent="0.3">
      <c r="A456" s="2">
        <f>108.978223488263*(1/3.6)</f>
        <v>30.27172874673979</v>
      </c>
      <c r="B456" s="2">
        <f>337.598756723123*(1/3.6)</f>
        <v>93.777432423089678</v>
      </c>
      <c r="C456" s="2">
        <f>160.068043392421*(1/3.6)</f>
        <v>44.463345386783743</v>
      </c>
      <c r="D456" s="2">
        <f t="shared" si="14"/>
        <v>0</v>
      </c>
    </row>
    <row r="457" spans="1:4" x14ac:dyDescent="0.3">
      <c r="A457" s="2">
        <f>109.916790268956*(1/3.6)</f>
        <v>30.532441741376662</v>
      </c>
      <c r="B457" s="2">
        <f>338.629742805934*(1/3.6)</f>
        <v>94.063817446092699</v>
      </c>
      <c r="C457" s="2">
        <f>162.154824192796*(1/3.6)</f>
        <v>45.043006720221165</v>
      </c>
      <c r="D457" s="2">
        <f t="shared" si="14"/>
        <v>0</v>
      </c>
    </row>
    <row r="458" spans="1:4" x14ac:dyDescent="0.3">
      <c r="A458" s="2">
        <f>122.26116211676*(1/3.6)</f>
        <v>33.961433921322353</v>
      </c>
      <c r="B458" s="2">
        <f>357.112772899117*(1/3.6)</f>
        <v>99.197992471976917</v>
      </c>
      <c r="C458" s="2">
        <f>189.040166833639*(1/3.6)</f>
        <v>52.511157453788691</v>
      </c>
      <c r="D458" s="2">
        <f t="shared" si="14"/>
        <v>0</v>
      </c>
    </row>
    <row r="459" spans="1:4" x14ac:dyDescent="0.3">
      <c r="A459" s="2">
        <f>110.811418006648*(1/3.6)</f>
        <v>30.780949446291125</v>
      </c>
      <c r="B459" s="2">
        <f>339.268578595129*(1/3.6)</f>
        <v>94.2412718319802</v>
      </c>
      <c r="C459" s="2">
        <f>164.145540179787*(1/3.6)</f>
        <v>45.595983383274245</v>
      </c>
      <c r="D459" s="2">
        <f t="shared" si="14"/>
        <v>0</v>
      </c>
    </row>
    <row r="460" spans="1:4" x14ac:dyDescent="0.3">
      <c r="A460" s="2">
        <f>115.507131549267*(1/3.6)</f>
        <v>32.085314319240773</v>
      </c>
      <c r="B460" s="2">
        <f>345.926359129217*(1/3.6)</f>
        <v>96.090655313671292</v>
      </c>
      <c r="C460" s="2">
        <f>174.448318134148*(1/3.6)</f>
        <v>48.457866148374329</v>
      </c>
      <c r="D460" s="2">
        <f t="shared" si="14"/>
        <v>0</v>
      </c>
    </row>
    <row r="461" spans="1:4" x14ac:dyDescent="0.3">
      <c r="A461" s="2">
        <f>115.455261381292*(1/3.6)</f>
        <v>32.070905939247709</v>
      </c>
      <c r="B461" s="2">
        <f>345.506338079181*(1/3.6)</f>
        <v>95.973982799772372</v>
      </c>
      <c r="C461" s="2">
        <f>174.342326118193*(1/3.6)</f>
        <v>48.428423921720373</v>
      </c>
      <c r="D461" s="2">
        <f t="shared" si="14"/>
        <v>0</v>
      </c>
    </row>
    <row r="462" spans="1:4" x14ac:dyDescent="0.3">
      <c r="A462" s="2">
        <f>114.848371837284*(1/3.6)</f>
        <v>31.902325510356651</v>
      </c>
      <c r="B462" s="2">
        <f>344.249661590122*(1/3.6)</f>
        <v>95.624905997256064</v>
      </c>
      <c r="C462" s="2">
        <f>173.025641172941*(1/3.6)</f>
        <v>48.062678103594813</v>
      </c>
      <c r="D462" s="2">
        <f t="shared" si="14"/>
        <v>0</v>
      </c>
    </row>
    <row r="463" spans="1:4" x14ac:dyDescent="0.3">
      <c r="A463" s="2">
        <f>115.917522463887*(1/3.6)</f>
        <v>32.199311795524054</v>
      </c>
      <c r="B463" s="2">
        <f>345.522504711169*(1/3.6)</f>
        <v>95.978473530880393</v>
      </c>
      <c r="C463" s="2">
        <f>175.363391503406*(1/3.6)</f>
        <v>48.712053195390652</v>
      </c>
      <c r="D463" s="2">
        <f t="shared" si="14"/>
        <v>0</v>
      </c>
    </row>
    <row r="464" spans="1:4" x14ac:dyDescent="0.3">
      <c r="A464" s="2">
        <f>111.158281606567*(1/3.6)</f>
        <v>30.877300446268645</v>
      </c>
      <c r="B464" s="2">
        <f>338.100420390161*(1/3.6)</f>
        <v>93.916783441711274</v>
      </c>
      <c r="C464" s="2">
        <f>164.944997902972*(1/3.6)</f>
        <v>45.8180549730479</v>
      </c>
      <c r="D464" s="2">
        <f t="shared" si="14"/>
        <v>0</v>
      </c>
    </row>
    <row r="465" spans="1:4" x14ac:dyDescent="0.3">
      <c r="A465" s="2">
        <f>116.495754698011*(1/3.6)</f>
        <v>32.35993186055866</v>
      </c>
      <c r="B465" s="2">
        <f>345.71429914463*(1/3.6)</f>
        <v>96.031749762397197</v>
      </c>
      <c r="C465" s="2">
        <f>176.635595096064*(1/3.6)</f>
        <v>49.065443082239923</v>
      </c>
      <c r="D465" s="2">
        <f t="shared" si="14"/>
        <v>0</v>
      </c>
    </row>
    <row r="466" spans="1:4" x14ac:dyDescent="0.3">
      <c r="A466" s="2">
        <f>116.475595316287*(1/3.6)</f>
        <v>32.354332032301819</v>
      </c>
      <c r="B466" s="2">
        <f>345.340707218063*(1/3.6)</f>
        <v>95.927974227239773</v>
      </c>
      <c r="C466" s="2">
        <f>176.598859090216*(1/3.6)</f>
        <v>49.055238636171175</v>
      </c>
      <c r="D466" s="2">
        <f t="shared" si="14"/>
        <v>0</v>
      </c>
    </row>
    <row r="467" spans="1:4" x14ac:dyDescent="0.3">
      <c r="A467" s="2">
        <f>116.141014423312*(1/3.6)</f>
        <v>32.261392895364352</v>
      </c>
      <c r="B467" s="2">
        <f>344.491362853403*(1/3.6)</f>
        <v>95.692045237056291</v>
      </c>
      <c r="C467" s="2">
        <f>175.878153681909*(1/3.6)</f>
        <v>48.855042689419072</v>
      </c>
      <c r="D467" s="2">
        <f t="shared" si="14"/>
        <v>0</v>
      </c>
    </row>
    <row r="468" spans="1:4" x14ac:dyDescent="0.3">
      <c r="A468" s="2">
        <f>115.741350539135*(1/3.6)</f>
        <v>32.150375149759689</v>
      </c>
      <c r="B468" s="2">
        <f>343.546168737786*(1/3.6)</f>
        <v>95.429491316051681</v>
      </c>
      <c r="C468" s="2">
        <f>175.015078382522*(1/3.6)</f>
        <v>48.615299550700662</v>
      </c>
      <c r="D468" s="2">
        <f t="shared" si="14"/>
        <v>0</v>
      </c>
    </row>
    <row r="469" spans="1:4" x14ac:dyDescent="0.3">
      <c r="A469" s="2">
        <f>116.447887857513*(1/3.6)</f>
        <v>32.346635515975734</v>
      </c>
      <c r="B469" s="2">
        <f>344.26979471214*(1/3.6)</f>
        <v>95.630498531149939</v>
      </c>
      <c r="C469" s="2">
        <f>176.559896795543*(1/3.6)</f>
        <v>49.044415776539687</v>
      </c>
      <c r="D469" s="2">
        <f t="shared" si="14"/>
        <v>0</v>
      </c>
    </row>
    <row r="470" spans="1:4" x14ac:dyDescent="0.3">
      <c r="A470" s="2">
        <f>116.446130577556*(1/3.6)</f>
        <v>32.346147382654571</v>
      </c>
      <c r="B470" s="2">
        <f>343.924156404226*(1/3.6)</f>
        <v>95.534487890062806</v>
      </c>
      <c r="C470" s="2">
        <f>176.563171140291*(1/3.6)</f>
        <v>49.045325316747579</v>
      </c>
      <c r="D470" s="2">
        <f t="shared" si="14"/>
        <v>0</v>
      </c>
    </row>
    <row r="471" spans="1:4" x14ac:dyDescent="0.3">
      <c r="A471" s="2">
        <f>115.751944033469*(1/3.6)</f>
        <v>32.153317787074727</v>
      </c>
      <c r="B471" s="2">
        <f>342.536189836551*(1/3.6)</f>
        <v>95.148941621264186</v>
      </c>
      <c r="C471" s="2">
        <f>175.059349337401*(1/3.6)</f>
        <v>48.627597038166918</v>
      </c>
      <c r="D471" s="2">
        <f t="shared" si="14"/>
        <v>0</v>
      </c>
    </row>
    <row r="472" spans="1:4" x14ac:dyDescent="0.3">
      <c r="A472" s="2">
        <f>115.758911910574*(1/3.6)</f>
        <v>32.155253308492817</v>
      </c>
      <c r="B472" s="2">
        <f>342.204646835585*(1/3.6)</f>
        <v>95.056846343218069</v>
      </c>
      <c r="C472" s="2">
        <f>175.081593908624*(1/3.6)</f>
        <v>48.633776085728897</v>
      </c>
      <c r="D472" s="2">
        <f t="shared" si="14"/>
        <v>0</v>
      </c>
    </row>
    <row r="473" spans="1:4" x14ac:dyDescent="0.3">
      <c r="A473" s="2">
        <f>115.91528542661*(1/3.6)</f>
        <v>32.198690396280519</v>
      </c>
      <c r="B473" s="2">
        <f>342.097129430029*(1/3.6)</f>
        <v>95.026980397230219</v>
      </c>
      <c r="C473" s="2">
        <f>175.429240144251*(1/3.6)</f>
        <v>48.730344484514106</v>
      </c>
      <c r="D473" s="2">
        <f t="shared" si="14"/>
        <v>0</v>
      </c>
    </row>
    <row r="474" spans="1:4" x14ac:dyDescent="0.3">
      <c r="A474" s="2">
        <f>116.106215614811*(1/3.6)</f>
        <v>32.251726559669756</v>
      </c>
      <c r="B474" s="2">
        <f>342.041279472378*(1/3.6)</f>
        <v>95.011466520105017</v>
      </c>
      <c r="C474" s="2">
        <f>175.85199177806*(1/3.6)</f>
        <v>48.847775493905587</v>
      </c>
      <c r="D474" s="2">
        <f t="shared" si="14"/>
        <v>0</v>
      </c>
    </row>
    <row r="475" spans="1:4" x14ac:dyDescent="0.3">
      <c r="A475" s="2">
        <f>115.746328989908*(1/3.6)</f>
        <v>32.151758052752179</v>
      </c>
      <c r="B475" s="2">
        <f>341.159750297919*(1/3.6)</f>
        <v>94.76659730497741</v>
      </c>
      <c r="C475" s="2">
        <f>175.07538245029*(1/3.6)</f>
        <v>48.632050680635977</v>
      </c>
      <c r="D475" s="2">
        <f t="shared" si="14"/>
        <v>0</v>
      </c>
    </row>
    <row r="476" spans="1:4" x14ac:dyDescent="0.3">
      <c r="A476" s="2">
        <f>113.680619141845*(1/3.6)</f>
        <v>31.577949761623653</v>
      </c>
      <c r="B476" s="2">
        <f>337.753863384565*(1/3.6)</f>
        <v>93.820517606823628</v>
      </c>
      <c r="C476" s="2">
        <f>170.570468308759*(1/3.6)</f>
        <v>47.380685641321996</v>
      </c>
      <c r="D476" s="2">
        <f t="shared" si="14"/>
        <v>0</v>
      </c>
    </row>
    <row r="477" spans="1:4" x14ac:dyDescent="0.3">
      <c r="A477" s="2">
        <f>109.231559233267*(1/3.6)</f>
        <v>30.34209978701875</v>
      </c>
      <c r="B477" s="2">
        <f>330.978126124926*(1/3.6)</f>
        <v>91.938368368034887</v>
      </c>
      <c r="C477" s="2">
        <f>160.728580761027*(1/3.6)</f>
        <v>44.646827989174142</v>
      </c>
      <c r="D477" s="2">
        <f t="shared" si="14"/>
        <v>0</v>
      </c>
    </row>
    <row r="478" spans="1:4" x14ac:dyDescent="0.3">
      <c r="A478" s="2">
        <f>109.672763372107*(1/3.6)</f>
        <v>30.464656492251887</v>
      </c>
      <c r="B478" s="2">
        <f>331.273405904748*(1/3.6)</f>
        <v>92.020390529096531</v>
      </c>
      <c r="C478" s="2">
        <f>161.668919178407*(1/3.6)</f>
        <v>44.90803310511302</v>
      </c>
      <c r="D478" s="2">
        <f t="shared" si="14"/>
        <v>0</v>
      </c>
    </row>
    <row r="479" spans="1:4" x14ac:dyDescent="0.3">
      <c r="A479" s="2">
        <f>109.298344326937*(1/3.6)</f>
        <v>30.360651201926949</v>
      </c>
      <c r="B479" s="2">
        <f>330.407259441043*(1/3.6)</f>
        <v>91.77979428917871</v>
      </c>
      <c r="C479" s="2">
        <f>160.802087492985*(1/3.6)</f>
        <v>44.667246525829249</v>
      </c>
      <c r="D479" s="2">
        <f t="shared" si="14"/>
        <v>0</v>
      </c>
    </row>
    <row r="480" spans="1:4" x14ac:dyDescent="0.3">
      <c r="A480" s="2">
        <f>109.315649877605*(1/3.6)</f>
        <v>30.365458299334815</v>
      </c>
      <c r="B480" s="2">
        <f>330.098857595431*(1/3.6)</f>
        <v>91.694127109842029</v>
      </c>
      <c r="C480" s="2">
        <f>160.803126269055*(1/3.6)</f>
        <v>44.667535074737614</v>
      </c>
      <c r="D480" s="2">
        <f t="shared" si="14"/>
        <v>0</v>
      </c>
    </row>
    <row r="481" spans="1:4" x14ac:dyDescent="0.3">
      <c r="A481" s="2">
        <f>109.581298894498*(1/3.6)</f>
        <v>30.43924969291615</v>
      </c>
      <c r="B481" s="2">
        <f>330.142951566175*(1/3.6)</f>
        <v>91.706375435048614</v>
      </c>
      <c r="C481" s="2">
        <f>161.353975436958*(1/3.6)</f>
        <v>44.82054873248844</v>
      </c>
      <c r="D481" s="2">
        <f t="shared" si="14"/>
        <v>0</v>
      </c>
    </row>
    <row r="482" spans="1:4" x14ac:dyDescent="0.3">
      <c r="A482" s="2">
        <f>110.498171338678*(1/3.6)</f>
        <v>30.693936482966048</v>
      </c>
      <c r="B482" s="2">
        <f>331.115690550241*(1/3.6)</f>
        <v>91.97658070840022</v>
      </c>
      <c r="C482" s="2">
        <f>163.342291667775*(1/3.6)</f>
        <v>45.372858796604206</v>
      </c>
      <c r="D482" s="2">
        <f t="shared" si="14"/>
        <v>0</v>
      </c>
    </row>
    <row r="483" spans="1:4" x14ac:dyDescent="0.3">
      <c r="A483" s="2">
        <f>110.402233712292*(1/3.6)</f>
        <v>30.667287142303291</v>
      </c>
      <c r="B483" s="2">
        <f>330.644081982485*(1/3.6)</f>
        <v>91.845578328468193</v>
      </c>
      <c r="C483" s="2">
        <f>163.092648675327*(1/3.6)</f>
        <v>45.303513520924177</v>
      </c>
      <c r="D483" s="2">
        <f t="shared" si="14"/>
        <v>0</v>
      </c>
    </row>
    <row r="484" spans="1:4" x14ac:dyDescent="0.3">
      <c r="A484" s="2">
        <f>110.218627851352*(1/3.6)</f>
        <v>30.616285514264394</v>
      </c>
      <c r="B484" s="2">
        <f>330.047976896261*(1/3.6)</f>
        <v>91.679993582294628</v>
      </c>
      <c r="C484" s="2">
        <f>162.649581943753*(1/3.6)</f>
        <v>45.180439428820307</v>
      </c>
      <c r="D484" s="2">
        <f t="shared" si="14"/>
        <v>0</v>
      </c>
    </row>
    <row r="485" spans="1:4" x14ac:dyDescent="0.3">
      <c r="A485" s="2">
        <f t="shared" ref="A485:A516" si="15">0*(1/3.6)</f>
        <v>0</v>
      </c>
      <c r="B485" s="2">
        <f>354.105847239921*(1/3.6)</f>
        <v>98.362735344422603</v>
      </c>
      <c r="C485" s="2">
        <f>0*(1/3.6)</f>
        <v>0</v>
      </c>
      <c r="D485" s="2">
        <f t="shared" si="14"/>
        <v>0</v>
      </c>
    </row>
    <row r="486" spans="1:4" x14ac:dyDescent="0.3">
      <c r="A486" s="2">
        <f t="shared" si="15"/>
        <v>0</v>
      </c>
      <c r="B486" s="2">
        <f>352.871256633559*(1/3.6)</f>
        <v>98.019793509322085</v>
      </c>
      <c r="C486" s="2">
        <f>0*(1/3.6)</f>
        <v>0</v>
      </c>
      <c r="D486" s="2">
        <f t="shared" si="14"/>
        <v>0</v>
      </c>
    </row>
    <row r="487" spans="1:4" x14ac:dyDescent="0.3">
      <c r="A487" s="2">
        <f t="shared" si="15"/>
        <v>0</v>
      </c>
      <c r="B487" s="2">
        <f>352.02753854645*(1/3.6)</f>
        <v>97.785427374013821</v>
      </c>
      <c r="C487" s="2">
        <f>0*(1/3.6)</f>
        <v>0</v>
      </c>
      <c r="D487" s="2">
        <f t="shared" si="14"/>
        <v>0</v>
      </c>
    </row>
    <row r="488" spans="1:4" x14ac:dyDescent="0.3">
      <c r="A488" s="2">
        <f t="shared" si="15"/>
        <v>0</v>
      </c>
      <c r="B488" s="2">
        <f>351.044456450326*(1/3.6)</f>
        <v>97.512349013979559</v>
      </c>
      <c r="C488" s="2">
        <f>0*(1/3.6)</f>
        <v>0</v>
      </c>
      <c r="D488" s="2">
        <f t="shared" si="14"/>
        <v>0</v>
      </c>
    </row>
    <row r="489" spans="1:4" x14ac:dyDescent="0.3">
      <c r="A489" s="2">
        <f t="shared" si="15"/>
        <v>0</v>
      </c>
      <c r="B489" s="2">
        <f>350.95133269167*(1/3.6)</f>
        <v>97.486481303241661</v>
      </c>
      <c r="C489" s="2">
        <f>151.156400528702*(1/3.6)</f>
        <v>41.987889035750477</v>
      </c>
      <c r="D489" s="2">
        <f t="shared" si="14"/>
        <v>0</v>
      </c>
    </row>
    <row r="490" spans="1:4" x14ac:dyDescent="0.3">
      <c r="A490" s="2">
        <f t="shared" si="15"/>
        <v>0</v>
      </c>
      <c r="B490" s="2">
        <f>351.242947978452*(1/3.6)</f>
        <v>97.567485549569966</v>
      </c>
      <c r="C490" s="2">
        <f>150.278175418602*(1/3.6)</f>
        <v>41.743937616278274</v>
      </c>
      <c r="D490" s="2">
        <f t="shared" si="14"/>
        <v>0</v>
      </c>
    </row>
    <row r="491" spans="1:4" x14ac:dyDescent="0.3">
      <c r="A491" s="2">
        <f t="shared" si="15"/>
        <v>0</v>
      </c>
      <c r="B491" s="2">
        <f>349.924653286232*(1/3.6)</f>
        <v>97.201292579508774</v>
      </c>
      <c r="C491" s="2">
        <f>150.310681388344*(1/3.6)</f>
        <v>41.752967052317807</v>
      </c>
      <c r="D491" s="2">
        <f t="shared" si="14"/>
        <v>0</v>
      </c>
    </row>
    <row r="492" spans="1:4" x14ac:dyDescent="0.3">
      <c r="A492" s="2">
        <f t="shared" si="15"/>
        <v>0</v>
      </c>
      <c r="B492" s="2">
        <f>348.56692225334*(1/3.6)</f>
        <v>96.824145070372182</v>
      </c>
      <c r="C492" s="2">
        <f>150.708200955679*(1/3.6)</f>
        <v>41.863389154355346</v>
      </c>
      <c r="D492" s="2">
        <f t="shared" si="14"/>
        <v>0</v>
      </c>
    </row>
    <row r="493" spans="1:4" x14ac:dyDescent="0.3">
      <c r="A493" s="2">
        <f t="shared" si="15"/>
        <v>0</v>
      </c>
      <c r="B493" s="2">
        <f>352.34541006175*(1/3.6)</f>
        <v>97.873725017152864</v>
      </c>
      <c r="C493" s="2">
        <f>150.600938219392*(1/3.6)</f>
        <v>41.833593949830991</v>
      </c>
      <c r="D493" s="2">
        <f t="shared" si="14"/>
        <v>0</v>
      </c>
    </row>
    <row r="494" spans="1:4" x14ac:dyDescent="0.3">
      <c r="A494" s="2">
        <f t="shared" si="15"/>
        <v>0</v>
      </c>
      <c r="B494" s="2">
        <f>351.166858163714*(1/3.6)</f>
        <v>97.546349489920672</v>
      </c>
      <c r="C494" s="2">
        <f>150.579841839265*(1/3.6)</f>
        <v>41.827733844240278</v>
      </c>
      <c r="D494" s="2">
        <f t="shared" si="14"/>
        <v>0</v>
      </c>
    </row>
    <row r="495" spans="1:4" x14ac:dyDescent="0.3">
      <c r="A495" s="2">
        <f t="shared" si="15"/>
        <v>0</v>
      </c>
      <c r="B495" s="2">
        <f>349.855234674635*(1/3.6)</f>
        <v>97.182009631843201</v>
      </c>
      <c r="C495" s="2">
        <f>151.125673383737*(1/3.6)</f>
        <v>41.979353717704711</v>
      </c>
      <c r="D495" s="2">
        <f t="shared" si="14"/>
        <v>0</v>
      </c>
    </row>
    <row r="496" spans="1:4" x14ac:dyDescent="0.3">
      <c r="A496" s="2">
        <f t="shared" si="15"/>
        <v>0</v>
      </c>
      <c r="B496" s="2">
        <f>348.33977674331*(1/3.6)</f>
        <v>96.761049095363958</v>
      </c>
      <c r="C496" s="2">
        <f>152.057799731366*(1/3.6)</f>
        <v>42.238277703157259</v>
      </c>
      <c r="D496" s="2">
        <f t="shared" si="14"/>
        <v>0</v>
      </c>
    </row>
    <row r="497" spans="1:4" x14ac:dyDescent="0.3">
      <c r="A497" s="2">
        <f t="shared" si="15"/>
        <v>0</v>
      </c>
      <c r="B497" s="2">
        <f>349.988079243644*(1/3.6)</f>
        <v>97.218910901012322</v>
      </c>
      <c r="C497" s="2">
        <f>151.514327532747*(1/3.6)</f>
        <v>42.087313203540866</v>
      </c>
      <c r="D497" s="2">
        <f t="shared" si="14"/>
        <v>0</v>
      </c>
    </row>
    <row r="498" spans="1:4" x14ac:dyDescent="0.3">
      <c r="A498" s="2">
        <f t="shared" si="15"/>
        <v>0</v>
      </c>
      <c r="B498" s="2">
        <f>348.439142215471*(1/3.6)</f>
        <v>96.788650615408727</v>
      </c>
      <c r="C498" s="2">
        <f>152.057342415413*(1/3.6)</f>
        <v>42.238150670947931</v>
      </c>
      <c r="D498" s="2">
        <f t="shared" si="14"/>
        <v>0</v>
      </c>
    </row>
    <row r="499" spans="1:4" x14ac:dyDescent="0.3">
      <c r="A499" s="2">
        <f t="shared" si="15"/>
        <v>0</v>
      </c>
      <c r="B499" s="2">
        <f>349.527750020095*(1/3.6)</f>
        <v>97.09104167224875</v>
      </c>
      <c r="C499" s="2">
        <f>152.924663632232*(1/3.6)</f>
        <v>42.479073231175647</v>
      </c>
      <c r="D499" s="2">
        <f t="shared" si="14"/>
        <v>0</v>
      </c>
    </row>
    <row r="500" spans="1:4" x14ac:dyDescent="0.3">
      <c r="A500" s="2">
        <f t="shared" si="15"/>
        <v>0</v>
      </c>
      <c r="B500" s="2">
        <f>347.857255981698*(1/3.6)</f>
        <v>96.627015550471612</v>
      </c>
      <c r="C500" s="2">
        <f>153.205046576997*(1/3.6)</f>
        <v>42.556957382499036</v>
      </c>
      <c r="D500" s="2">
        <f t="shared" si="14"/>
        <v>0</v>
      </c>
    </row>
    <row r="501" spans="1:4" x14ac:dyDescent="0.3">
      <c r="A501" s="2">
        <f t="shared" si="15"/>
        <v>0</v>
      </c>
      <c r="B501" s="2">
        <f>348.783300599842*(1/3.6)</f>
        <v>96.884250166622721</v>
      </c>
      <c r="C501" s="2">
        <f>152.346017261977*(1/3.6)</f>
        <v>42.318338128326815</v>
      </c>
      <c r="D501" s="2">
        <f t="shared" si="14"/>
        <v>0</v>
      </c>
    </row>
    <row r="502" spans="1:4" x14ac:dyDescent="0.3">
      <c r="A502" s="2">
        <f t="shared" si="15"/>
        <v>0</v>
      </c>
      <c r="B502" s="2">
        <f>349.733824665725*(1/3.6)</f>
        <v>97.148284629368078</v>
      </c>
      <c r="C502" s="2">
        <f>152.216291499084*(1/3.6)</f>
        <v>42.282303194190007</v>
      </c>
      <c r="D502" s="2">
        <f t="shared" si="14"/>
        <v>0</v>
      </c>
    </row>
    <row r="503" spans="1:4" x14ac:dyDescent="0.3">
      <c r="A503" s="2">
        <f t="shared" si="15"/>
        <v>0</v>
      </c>
      <c r="B503" s="2">
        <f>326.821069224139*(1/3.6)</f>
        <v>90.783630340038485</v>
      </c>
      <c r="C503" s="2">
        <f>153.140740500312*(1/3.6)</f>
        <v>42.539094583419939</v>
      </c>
      <c r="D503" s="2">
        <f t="shared" si="14"/>
        <v>0</v>
      </c>
    </row>
    <row r="504" spans="1:4" x14ac:dyDescent="0.3">
      <c r="A504" s="2">
        <f t="shared" si="15"/>
        <v>0</v>
      </c>
      <c r="B504" s="2">
        <f>326.14225943817*(1/3.6)</f>
        <v>90.595072066158281</v>
      </c>
      <c r="C504" s="2">
        <f>152.80146396399*(1/3.6)</f>
        <v>42.444851101108291</v>
      </c>
      <c r="D504" s="2">
        <f t="shared" si="14"/>
        <v>0</v>
      </c>
    </row>
    <row r="505" spans="1:4" x14ac:dyDescent="0.3">
      <c r="A505" s="2">
        <f t="shared" si="15"/>
        <v>0</v>
      </c>
      <c r="B505" s="2">
        <f>325.774697593668*(1/3.6)</f>
        <v>90.492971553796778</v>
      </c>
      <c r="C505" s="2">
        <f>151.731484550682*(1/3.6)</f>
        <v>42.147634597411539</v>
      </c>
      <c r="D505" s="2">
        <f t="shared" si="14"/>
        <v>0</v>
      </c>
    </row>
    <row r="506" spans="1:4" x14ac:dyDescent="0.3">
      <c r="A506" s="2">
        <f t="shared" si="15"/>
        <v>0</v>
      </c>
      <c r="B506" s="2">
        <f>325.181833161595*(1/3.6)</f>
        <v>90.328286989331829</v>
      </c>
      <c r="C506" s="2">
        <f>152.135884824374*(1/3.6)</f>
        <v>42.259968006770499</v>
      </c>
      <c r="D506" s="2">
        <f t="shared" si="14"/>
        <v>0</v>
      </c>
    </row>
    <row r="507" spans="1:4" x14ac:dyDescent="0.3">
      <c r="A507" s="2">
        <f t="shared" si="15"/>
        <v>0</v>
      </c>
      <c r="B507" s="2">
        <f>324.552774925576*(1/3.6)</f>
        <v>90.153548590437808</v>
      </c>
      <c r="C507" s="2">
        <f>152.093858336853*(1/3.6)</f>
        <v>42.248293982459238</v>
      </c>
      <c r="D507" s="2">
        <f t="shared" si="14"/>
        <v>0</v>
      </c>
    </row>
    <row r="508" spans="1:4" x14ac:dyDescent="0.3">
      <c r="A508" s="2">
        <f t="shared" si="15"/>
        <v>0</v>
      </c>
      <c r="B508" s="2">
        <f>324.499057744594*(1/3.6)</f>
        <v>90.138627151276054</v>
      </c>
      <c r="C508" s="2">
        <f>152.341381770799*(1/3.6)</f>
        <v>42.317050491888551</v>
      </c>
      <c r="D508" s="2">
        <f t="shared" si="14"/>
        <v>0</v>
      </c>
    </row>
    <row r="509" spans="1:4" x14ac:dyDescent="0.3">
      <c r="A509" s="2">
        <f t="shared" si="15"/>
        <v>0</v>
      </c>
      <c r="B509" s="2">
        <f>324.197513112312*(1/3.6)</f>
        <v>90.05486475342002</v>
      </c>
      <c r="C509" s="2">
        <f>151.72693901348*(1/3.6)</f>
        <v>42.146371948188985</v>
      </c>
      <c r="D509" s="2">
        <f t="shared" si="14"/>
        <v>0</v>
      </c>
    </row>
    <row r="510" spans="1:4" x14ac:dyDescent="0.3">
      <c r="A510" s="2">
        <f t="shared" si="15"/>
        <v>0</v>
      </c>
      <c r="B510" s="2">
        <f>324.176287595867*(1/3.6)</f>
        <v>90.048968776629664</v>
      </c>
      <c r="C510" s="2">
        <f>151.478930219032*(1/3.6)</f>
        <v>42.077480616397914</v>
      </c>
      <c r="D510" s="2">
        <f t="shared" si="14"/>
        <v>0</v>
      </c>
    </row>
    <row r="511" spans="1:4" x14ac:dyDescent="0.3">
      <c r="A511" s="2">
        <f t="shared" si="15"/>
        <v>0</v>
      </c>
      <c r="B511" s="2">
        <f>323.895993240206*(1/3.6)</f>
        <v>89.97110923339055</v>
      </c>
      <c r="C511" s="2">
        <f>152.197120883858*(1/3.6)</f>
        <v>42.276978023293907</v>
      </c>
      <c r="D511" s="2">
        <f t="shared" si="14"/>
        <v>0</v>
      </c>
    </row>
    <row r="512" spans="1:4" x14ac:dyDescent="0.3">
      <c r="A512" s="2">
        <f t="shared" si="15"/>
        <v>0</v>
      </c>
      <c r="B512" s="2">
        <f>323.656190894991*(1/3.6)</f>
        <v>89.904497470830975</v>
      </c>
      <c r="C512" s="2">
        <f>152.803296380638*(1/3.6)</f>
        <v>42.445360105732853</v>
      </c>
      <c r="D512" s="2">
        <f t="shared" si="14"/>
        <v>0</v>
      </c>
    </row>
    <row r="513" spans="1:4" x14ac:dyDescent="0.3">
      <c r="A513" s="2">
        <f t="shared" si="15"/>
        <v>0</v>
      </c>
      <c r="B513" s="2">
        <f>323.552939476876*(1/3.6)</f>
        <v>89.875816521354338</v>
      </c>
      <c r="C513" s="2">
        <f>152.397681533369*(1/3.6)</f>
        <v>42.332689314824705</v>
      </c>
      <c r="D513" s="2">
        <f t="shared" si="14"/>
        <v>0</v>
      </c>
    </row>
    <row r="514" spans="1:4" x14ac:dyDescent="0.3">
      <c r="A514" s="2">
        <f t="shared" si="15"/>
        <v>0</v>
      </c>
      <c r="B514" s="2">
        <f>322.605975550894*(1/3.6)</f>
        <v>89.612770986359479</v>
      </c>
      <c r="C514" s="2">
        <f>153.335616747508*(1/3.6)</f>
        <v>42.593226874307852</v>
      </c>
      <c r="D514" s="2">
        <f t="shared" ref="D514:D577" si="16">0*(1/3.6)</f>
        <v>0</v>
      </c>
    </row>
    <row r="515" spans="1:4" x14ac:dyDescent="0.3">
      <c r="A515" s="2">
        <f t="shared" si="15"/>
        <v>0</v>
      </c>
      <c r="B515" s="2">
        <f>323.063965086717*(1/3.6)</f>
        <v>89.739990301865774</v>
      </c>
      <c r="C515" s="2">
        <f>152.975982374233*(1/3.6)</f>
        <v>42.493328437286984</v>
      </c>
      <c r="D515" s="2">
        <f t="shared" si="16"/>
        <v>0</v>
      </c>
    </row>
    <row r="516" spans="1:4" x14ac:dyDescent="0.3">
      <c r="A516" s="2">
        <f t="shared" si="15"/>
        <v>0</v>
      </c>
      <c r="B516" s="2">
        <f>322.413584313639*(1/3.6)</f>
        <v>89.559328976010931</v>
      </c>
      <c r="C516" s="2">
        <f>153.665473074536*(1/3.6)</f>
        <v>42.684853631815692</v>
      </c>
      <c r="D516" s="2">
        <f t="shared" si="16"/>
        <v>0</v>
      </c>
    </row>
    <row r="517" spans="1:4" x14ac:dyDescent="0.3">
      <c r="A517" s="2">
        <f t="shared" ref="A517:A548" si="17">0*(1/3.6)</f>
        <v>0</v>
      </c>
      <c r="B517" s="2">
        <f>322.151227906181*(1/3.6)</f>
        <v>89.486452196161494</v>
      </c>
      <c r="C517" s="2">
        <f>153.102009159941*(1/3.6)</f>
        <v>42.528335877761293</v>
      </c>
      <c r="D517" s="2">
        <f t="shared" si="16"/>
        <v>0</v>
      </c>
    </row>
    <row r="518" spans="1:4" x14ac:dyDescent="0.3">
      <c r="A518" s="2">
        <f t="shared" si="17"/>
        <v>0</v>
      </c>
      <c r="B518" s="2">
        <f>321.733912745446*(1/3.6)</f>
        <v>89.370531318179317</v>
      </c>
      <c r="C518" s="2">
        <f>152.943209013976*(1/3.6)</f>
        <v>42.484224726104564</v>
      </c>
      <c r="D518" s="2">
        <f t="shared" si="16"/>
        <v>0</v>
      </c>
    </row>
    <row r="519" spans="1:4" x14ac:dyDescent="0.3">
      <c r="A519" s="2">
        <f t="shared" si="17"/>
        <v>0</v>
      </c>
      <c r="B519" s="2">
        <f>321.52038083865*(1/3.6)</f>
        <v>89.311216899625137</v>
      </c>
      <c r="C519" s="2">
        <f>152.590727350793*(1/3.6)</f>
        <v>42.386313152998106</v>
      </c>
      <c r="D519" s="2">
        <f t="shared" si="16"/>
        <v>0</v>
      </c>
    </row>
    <row r="520" spans="1:4" x14ac:dyDescent="0.3">
      <c r="A520" s="2">
        <f t="shared" si="17"/>
        <v>0</v>
      </c>
      <c r="B520" s="2">
        <f>321.17816655902*(1/3.6)</f>
        <v>89.216157377505553</v>
      </c>
      <c r="C520" s="2">
        <f>153.133963138393*(1/3.6)</f>
        <v>42.537211982886866</v>
      </c>
      <c r="D520" s="2">
        <f t="shared" si="16"/>
        <v>0</v>
      </c>
    </row>
    <row r="521" spans="1:4" x14ac:dyDescent="0.3">
      <c r="A521" s="2">
        <f t="shared" si="17"/>
        <v>0</v>
      </c>
      <c r="B521" s="2">
        <f>321.235579824908*(1/3.6)</f>
        <v>89.232105506918884</v>
      </c>
      <c r="C521" s="2">
        <f>153.556570156027*(1/3.6)</f>
        <v>42.654602821118743</v>
      </c>
      <c r="D521" s="2">
        <f t="shared" si="16"/>
        <v>0</v>
      </c>
    </row>
    <row r="522" spans="1:4" x14ac:dyDescent="0.3">
      <c r="A522" s="2">
        <f t="shared" si="17"/>
        <v>0</v>
      </c>
      <c r="B522" s="2">
        <f>320.978983140588*(1/3.6)</f>
        <v>89.160828650163452</v>
      </c>
      <c r="C522" s="2">
        <f>154.435261961662*(1/3.6)</f>
        <v>42.898683878239581</v>
      </c>
      <c r="D522" s="2">
        <f t="shared" si="16"/>
        <v>0</v>
      </c>
    </row>
    <row r="523" spans="1:4" x14ac:dyDescent="0.3">
      <c r="A523" s="2">
        <f t="shared" si="17"/>
        <v>0</v>
      </c>
      <c r="B523" s="2">
        <f>320.661639677374*(1/3.6)</f>
        <v>89.072677688159388</v>
      </c>
      <c r="C523" s="2">
        <f>153.839140354578*(1/3.6)</f>
        <v>42.733094542938204</v>
      </c>
      <c r="D523" s="2">
        <f t="shared" si="16"/>
        <v>0</v>
      </c>
    </row>
    <row r="524" spans="1:4" x14ac:dyDescent="0.3">
      <c r="A524" s="2">
        <f t="shared" si="17"/>
        <v>0</v>
      </c>
      <c r="B524" s="2">
        <f>323.818929772444*(1/3.6)</f>
        <v>89.949702714567692</v>
      </c>
      <c r="C524" s="2">
        <f>158.959139826718*(1/3.6)</f>
        <v>44.155316618532808</v>
      </c>
      <c r="D524" s="2">
        <f t="shared" si="16"/>
        <v>0</v>
      </c>
    </row>
    <row r="525" spans="1:4" x14ac:dyDescent="0.3">
      <c r="A525" s="2">
        <f t="shared" si="17"/>
        <v>0</v>
      </c>
      <c r="B525" s="2">
        <f>326.073970002497*(1/3.6)</f>
        <v>90.576102778471309</v>
      </c>
      <c r="C525" s="2">
        <f>164.844523576833*(1/3.6)</f>
        <v>45.79014543800924</v>
      </c>
      <c r="D525" s="2">
        <f t="shared" si="16"/>
        <v>0</v>
      </c>
    </row>
    <row r="526" spans="1:4" x14ac:dyDescent="0.3">
      <c r="A526" s="2">
        <f t="shared" si="17"/>
        <v>0</v>
      </c>
      <c r="B526" s="2">
        <f>325.837524771735*(1/3.6)</f>
        <v>90.510423547704107</v>
      </c>
      <c r="C526" s="2">
        <f>164.490744432719*(1/3.6)</f>
        <v>45.69187345353302</v>
      </c>
      <c r="D526" s="2">
        <f t="shared" si="16"/>
        <v>0</v>
      </c>
    </row>
    <row r="527" spans="1:4" x14ac:dyDescent="0.3">
      <c r="A527" s="2">
        <f t="shared" si="17"/>
        <v>0</v>
      </c>
      <c r="B527" s="2">
        <f>319.794247743424*(1/3.6)</f>
        <v>88.831735484284565</v>
      </c>
      <c r="C527" s="2">
        <f>154.723112377537*(1/3.6)</f>
        <v>42.978642327093517</v>
      </c>
      <c r="D527" s="2">
        <f t="shared" si="16"/>
        <v>0</v>
      </c>
    </row>
    <row r="528" spans="1:4" x14ac:dyDescent="0.3">
      <c r="A528" s="2">
        <f t="shared" si="17"/>
        <v>0</v>
      </c>
      <c r="B528" s="2">
        <f>319.059259700405*(1/3.6)</f>
        <v>88.627572139001416</v>
      </c>
      <c r="C528" s="2">
        <f>154.680121793381*(1/3.6)</f>
        <v>42.966700498161288</v>
      </c>
      <c r="D528" s="2">
        <f t="shared" si="16"/>
        <v>0</v>
      </c>
    </row>
    <row r="529" spans="1:4" x14ac:dyDescent="0.3">
      <c r="A529" s="2">
        <f t="shared" si="17"/>
        <v>0</v>
      </c>
      <c r="B529" s="2">
        <f>319.226664899739*(1/3.6)</f>
        <v>88.674073583260778</v>
      </c>
      <c r="C529" s="2">
        <f>155.440117058031*(1/3.6)</f>
        <v>43.177810293897551</v>
      </c>
      <c r="D529" s="2">
        <f t="shared" si="16"/>
        <v>0</v>
      </c>
    </row>
    <row r="530" spans="1:4" x14ac:dyDescent="0.3">
      <c r="A530" s="2">
        <f t="shared" si="17"/>
        <v>0</v>
      </c>
      <c r="B530" s="2">
        <f>318.583436344622*(1/3.6)</f>
        <v>88.495398984617111</v>
      </c>
      <c r="C530" s="2">
        <f>155.282451052148*(1/3.6)</f>
        <v>43.134014181152089</v>
      </c>
      <c r="D530" s="2">
        <f t="shared" si="16"/>
        <v>0</v>
      </c>
    </row>
    <row r="531" spans="1:4" x14ac:dyDescent="0.3">
      <c r="A531" s="2">
        <f t="shared" si="17"/>
        <v>0</v>
      </c>
      <c r="B531" s="2">
        <f>318.389272341152*(1/3.6)</f>
        <v>88.441464539208809</v>
      </c>
      <c r="C531" s="2">
        <f>154.663929327774*(1/3.6)</f>
        <v>42.962202591048396</v>
      </c>
      <c r="D531" s="2">
        <f t="shared" si="16"/>
        <v>0</v>
      </c>
    </row>
    <row r="532" spans="1:4" x14ac:dyDescent="0.3">
      <c r="A532" s="2">
        <f t="shared" si="17"/>
        <v>0</v>
      </c>
      <c r="B532" s="2">
        <f>318.317986997864*(1/3.6)</f>
        <v>88.421663054962096</v>
      </c>
      <c r="C532" s="2">
        <f>154.037886850602*(1/3.6)</f>
        <v>42.788301902945136</v>
      </c>
      <c r="D532" s="2">
        <f t="shared" si="16"/>
        <v>0</v>
      </c>
    </row>
    <row r="533" spans="1:4" x14ac:dyDescent="0.3">
      <c r="A533" s="2">
        <f t="shared" si="17"/>
        <v>0</v>
      </c>
      <c r="B533" s="2">
        <f>317.710258778973*(1/3.6)</f>
        <v>88.252849660825731</v>
      </c>
      <c r="C533" s="2">
        <f>154.106642283259*(1/3.6)</f>
        <v>42.80740063423864</v>
      </c>
      <c r="D533" s="2">
        <f t="shared" si="16"/>
        <v>0</v>
      </c>
    </row>
    <row r="534" spans="1:4" x14ac:dyDescent="0.3">
      <c r="A534" s="2">
        <f t="shared" si="17"/>
        <v>0</v>
      </c>
      <c r="B534" s="2">
        <f>317.204319117912*(1/3.6)</f>
        <v>88.112310866086588</v>
      </c>
      <c r="C534" s="2">
        <f>153.987332220801*(1/3.6)</f>
        <v>42.774258950222531</v>
      </c>
      <c r="D534" s="2">
        <f t="shared" si="16"/>
        <v>0</v>
      </c>
    </row>
    <row r="535" spans="1:4" x14ac:dyDescent="0.3">
      <c r="A535" s="2">
        <f t="shared" si="17"/>
        <v>0</v>
      </c>
      <c r="B535" s="2">
        <f>316.548525083927*(1/3.6)</f>
        <v>87.930145856646291</v>
      </c>
      <c r="C535" s="2">
        <f>152.960233961247*(1/3.6)</f>
        <v>42.488953878124107</v>
      </c>
      <c r="D535" s="2">
        <f t="shared" si="16"/>
        <v>0</v>
      </c>
    </row>
    <row r="536" spans="1:4" x14ac:dyDescent="0.3">
      <c r="A536" s="2">
        <f t="shared" si="17"/>
        <v>0</v>
      </c>
      <c r="B536" s="2">
        <f>316.219626837047*(1/3.6)</f>
        <v>87.83878523251316</v>
      </c>
      <c r="C536" s="2">
        <f>152.352690308838*(1/3.6)</f>
        <v>42.320191752455024</v>
      </c>
      <c r="D536" s="2">
        <f t="shared" si="16"/>
        <v>0</v>
      </c>
    </row>
    <row r="537" spans="1:4" x14ac:dyDescent="0.3">
      <c r="A537" s="2">
        <f t="shared" si="17"/>
        <v>0</v>
      </c>
      <c r="B537" s="2">
        <f>315.881738808903*(1/3.6)</f>
        <v>87.744927446917387</v>
      </c>
      <c r="C537" s="2">
        <f>153.350886414422*(1/3.6)</f>
        <v>42.597468448450449</v>
      </c>
      <c r="D537" s="2">
        <f t="shared" si="16"/>
        <v>0</v>
      </c>
    </row>
    <row r="538" spans="1:4" x14ac:dyDescent="0.3">
      <c r="A538" s="2">
        <f t="shared" si="17"/>
        <v>0</v>
      </c>
      <c r="B538" s="2">
        <f>315.891812215763*(1/3.6)</f>
        <v>87.747725615489628</v>
      </c>
      <c r="C538" s="2">
        <f>153.981933456589*(1/3.6)</f>
        <v>42.772759293496932</v>
      </c>
      <c r="D538" s="2">
        <f t="shared" si="16"/>
        <v>0</v>
      </c>
    </row>
    <row r="539" spans="1:4" x14ac:dyDescent="0.3">
      <c r="A539" s="2">
        <f t="shared" si="17"/>
        <v>0</v>
      </c>
      <c r="B539" s="2">
        <f>315.426589326917*(1/3.6)</f>
        <v>87.618497035254677</v>
      </c>
      <c r="C539" s="2">
        <f>153.11729564835*(1/3.6)</f>
        <v>42.532582124541541</v>
      </c>
      <c r="D539" s="2">
        <f t="shared" si="16"/>
        <v>0</v>
      </c>
    </row>
    <row r="540" spans="1:4" x14ac:dyDescent="0.3">
      <c r="A540" s="2">
        <f t="shared" si="17"/>
        <v>0</v>
      </c>
      <c r="B540" s="2">
        <f>315.578075302483*(1/3.6)</f>
        <v>87.660576472911885</v>
      </c>
      <c r="C540" s="2">
        <f>153.685657232779*(1/3.6)</f>
        <v>42.690460342438612</v>
      </c>
      <c r="D540" s="2">
        <f t="shared" si="16"/>
        <v>0</v>
      </c>
    </row>
    <row r="541" spans="1:4" x14ac:dyDescent="0.3">
      <c r="A541" s="2">
        <f t="shared" si="17"/>
        <v>0</v>
      </c>
      <c r="B541" s="2">
        <f>314.305425978541*(1/3.6)</f>
        <v>87.307062771816973</v>
      </c>
      <c r="C541" s="2">
        <f>152.961261569478*(1/3.6)</f>
        <v>42.489239324855042</v>
      </c>
      <c r="D541" s="2">
        <f t="shared" si="16"/>
        <v>0</v>
      </c>
    </row>
    <row r="542" spans="1:4" x14ac:dyDescent="0.3">
      <c r="A542" s="2">
        <f t="shared" si="17"/>
        <v>0</v>
      </c>
      <c r="B542" s="2">
        <f>314.890937642522*(1/3.6)</f>
        <v>87.46970490070062</v>
      </c>
      <c r="C542" s="2">
        <f>153.959815362244*(1/3.6)</f>
        <v>42.766615378401021</v>
      </c>
      <c r="D542" s="2">
        <f t="shared" si="16"/>
        <v>0</v>
      </c>
    </row>
    <row r="543" spans="1:4" x14ac:dyDescent="0.3">
      <c r="A543" s="2">
        <f t="shared" si="17"/>
        <v>0</v>
      </c>
      <c r="B543" s="2">
        <f>314.871534220274*(1/3.6)</f>
        <v>87.464315061187165</v>
      </c>
      <c r="C543" s="2">
        <f>154.50103695391*(1/3.6)</f>
        <v>42.916954709419457</v>
      </c>
      <c r="D543" s="2">
        <f t="shared" si="16"/>
        <v>0</v>
      </c>
    </row>
    <row r="544" spans="1:4" x14ac:dyDescent="0.3">
      <c r="A544" s="2">
        <f t="shared" si="17"/>
        <v>0</v>
      </c>
      <c r="B544" s="2">
        <f>314.114409855199*(1/3.6)</f>
        <v>87.254002737555226</v>
      </c>
      <c r="C544" s="2">
        <f>154.457916374241*(1/3.6)</f>
        <v>42.904976770622525</v>
      </c>
      <c r="D544" s="2">
        <f t="shared" si="16"/>
        <v>0</v>
      </c>
    </row>
    <row r="545" spans="1:4" x14ac:dyDescent="0.3">
      <c r="A545" s="2">
        <f t="shared" si="17"/>
        <v>0</v>
      </c>
      <c r="B545" s="2">
        <f>313.614843865584*(1/3.6)</f>
        <v>87.115234407106527</v>
      </c>
      <c r="C545" s="2">
        <f>153.529223811308*(1/3.6)</f>
        <v>42.647006614252199</v>
      </c>
      <c r="D545" s="2">
        <f t="shared" si="16"/>
        <v>0</v>
      </c>
    </row>
    <row r="546" spans="1:4" x14ac:dyDescent="0.3">
      <c r="A546" s="2">
        <f t="shared" si="17"/>
        <v>0</v>
      </c>
      <c r="B546" s="2">
        <f>313.672356491058*(1/3.6)</f>
        <v>87.131210136405045</v>
      </c>
      <c r="C546" s="2">
        <f>154.792232211812*(1/3.6)</f>
        <v>42.997842281058972</v>
      </c>
      <c r="D546" s="2">
        <f t="shared" si="16"/>
        <v>0</v>
      </c>
    </row>
    <row r="547" spans="1:4" x14ac:dyDescent="0.3">
      <c r="A547" s="2">
        <f t="shared" si="17"/>
        <v>0</v>
      </c>
      <c r="B547" s="2">
        <f>313.416912374179*(1/3.6)</f>
        <v>87.060253437271925</v>
      </c>
      <c r="C547" s="2">
        <f>154.202191111174*(1/3.6)</f>
        <v>42.833941975325985</v>
      </c>
      <c r="D547" s="2">
        <f t="shared" si="16"/>
        <v>0</v>
      </c>
    </row>
    <row r="548" spans="1:4" x14ac:dyDescent="0.3">
      <c r="A548" s="2">
        <f t="shared" si="17"/>
        <v>0</v>
      </c>
      <c r="B548" s="2">
        <f>313.36817071521*(1/3.6)</f>
        <v>87.046714087558371</v>
      </c>
      <c r="C548" s="2">
        <f>154.084696862124*(1/3.6)</f>
        <v>42.801304683923441</v>
      </c>
      <c r="D548" s="2">
        <f t="shared" si="16"/>
        <v>0</v>
      </c>
    </row>
    <row r="549" spans="1:4" x14ac:dyDescent="0.3">
      <c r="A549" s="2">
        <f t="shared" ref="A549:A580" si="18">0*(1/3.6)</f>
        <v>0</v>
      </c>
      <c r="B549" s="2">
        <f>313.074336736534*(1/3.6)</f>
        <v>86.965093537926123</v>
      </c>
      <c r="C549" s="2">
        <f>154.908093296404*(1/3.6)</f>
        <v>43.030025915667743</v>
      </c>
      <c r="D549" s="2">
        <f t="shared" si="16"/>
        <v>0</v>
      </c>
    </row>
    <row r="550" spans="1:4" x14ac:dyDescent="0.3">
      <c r="A550" s="2">
        <f t="shared" si="18"/>
        <v>0</v>
      </c>
      <c r="B550" s="2">
        <f>312.907879722539*(1/3.6)</f>
        <v>86.918855478482996</v>
      </c>
      <c r="C550" s="2">
        <f>155.095981254109*(1/3.6)</f>
        <v>43.082217015030203</v>
      </c>
      <c r="D550" s="2">
        <f t="shared" si="16"/>
        <v>0</v>
      </c>
    </row>
    <row r="551" spans="1:4" x14ac:dyDescent="0.3">
      <c r="A551" s="2">
        <f t="shared" si="18"/>
        <v>0</v>
      </c>
      <c r="B551" s="2">
        <f>311.810940150814*(1/3.6)</f>
        <v>86.614150041892856</v>
      </c>
      <c r="C551" s="2">
        <f>153.895773061224*(1/3.6)</f>
        <v>42.748825850339976</v>
      </c>
      <c r="D551" s="2">
        <f t="shared" si="16"/>
        <v>0</v>
      </c>
    </row>
    <row r="552" spans="1:4" x14ac:dyDescent="0.3">
      <c r="A552" s="2">
        <f t="shared" si="18"/>
        <v>0</v>
      </c>
      <c r="B552" s="2">
        <f>311.991529096977*(1/3.6)</f>
        <v>86.664313638049109</v>
      </c>
      <c r="C552" s="2">
        <f>154.857997676225*(1/3.6)</f>
        <v>43.016110465617992</v>
      </c>
      <c r="D552" s="2">
        <f t="shared" si="16"/>
        <v>0</v>
      </c>
    </row>
    <row r="553" spans="1:4" x14ac:dyDescent="0.3">
      <c r="A553" s="2">
        <f t="shared" si="18"/>
        <v>0</v>
      </c>
      <c r="B553" s="2">
        <f>311.720199720166*(1/3.6)</f>
        <v>86.588944366712866</v>
      </c>
      <c r="C553" s="2">
        <f>154.98973785097*(1/3.6)</f>
        <v>43.052704958602831</v>
      </c>
      <c r="D553" s="2">
        <f t="shared" si="16"/>
        <v>0</v>
      </c>
    </row>
    <row r="554" spans="1:4" x14ac:dyDescent="0.3">
      <c r="A554" s="2">
        <f t="shared" si="18"/>
        <v>0</v>
      </c>
      <c r="B554" s="2">
        <f>311.30320828786*(1/3.6)</f>
        <v>86.473113413294485</v>
      </c>
      <c r="C554" s="2">
        <f>154.846417385242*(1/3.6)</f>
        <v>43.012893718122704</v>
      </c>
      <c r="D554" s="2">
        <f t="shared" si="16"/>
        <v>0</v>
      </c>
    </row>
    <row r="555" spans="1:4" x14ac:dyDescent="0.3">
      <c r="A555" s="2">
        <f t="shared" si="18"/>
        <v>0</v>
      </c>
      <c r="B555" s="2">
        <f>311.014285507764*(1/3.6)</f>
        <v>86.392857085490107</v>
      </c>
      <c r="C555" s="2">
        <f>154.681513925462*(1/3.6)</f>
        <v>42.967087201517188</v>
      </c>
      <c r="D555" s="2">
        <f t="shared" si="16"/>
        <v>0</v>
      </c>
    </row>
    <row r="556" spans="1:4" x14ac:dyDescent="0.3">
      <c r="A556" s="2">
        <f t="shared" si="18"/>
        <v>0</v>
      </c>
      <c r="B556" s="2">
        <f>310.74816996731*(1/3.6)</f>
        <v>86.318936102030619</v>
      </c>
      <c r="C556" s="2">
        <f>154.983293977332*(1/3.6)</f>
        <v>43.050914993703387</v>
      </c>
      <c r="D556" s="2">
        <f t="shared" si="16"/>
        <v>0</v>
      </c>
    </row>
    <row r="557" spans="1:4" x14ac:dyDescent="0.3">
      <c r="A557" s="2">
        <f t="shared" si="18"/>
        <v>0</v>
      </c>
      <c r="B557" s="2">
        <f>310.290713207816*(1/3.6)</f>
        <v>86.191864779948929</v>
      </c>
      <c r="C557" s="2">
        <f>154.7327862282*(1/3.6)</f>
        <v>42.981329507833436</v>
      </c>
      <c r="D557" s="2">
        <f t="shared" si="16"/>
        <v>0</v>
      </c>
    </row>
    <row r="558" spans="1:4" x14ac:dyDescent="0.3">
      <c r="A558" s="2">
        <f t="shared" si="18"/>
        <v>0</v>
      </c>
      <c r="B558" s="2">
        <f>310.038456326258*(1/3.6)</f>
        <v>86.121793423960639</v>
      </c>
      <c r="C558" s="2">
        <f>155.012211253938*(1/3.6)</f>
        <v>43.058947570538315</v>
      </c>
      <c r="D558" s="2">
        <f t="shared" si="16"/>
        <v>0</v>
      </c>
    </row>
    <row r="559" spans="1:4" x14ac:dyDescent="0.3">
      <c r="A559" s="2">
        <f t="shared" si="18"/>
        <v>0</v>
      </c>
      <c r="B559" s="2">
        <f>309.582406265068*(1/3.6)</f>
        <v>85.995112851407882</v>
      </c>
      <c r="C559" s="2">
        <f>154.902291251411*(1/3.6)</f>
        <v>43.028414236503195</v>
      </c>
      <c r="D559" s="2">
        <f t="shared" si="16"/>
        <v>0</v>
      </c>
    </row>
    <row r="560" spans="1:4" x14ac:dyDescent="0.3">
      <c r="A560" s="2">
        <f t="shared" si="18"/>
        <v>0</v>
      </c>
      <c r="B560" s="2">
        <f>309.384175933958*(1/3.6)</f>
        <v>85.94004887054399</v>
      </c>
      <c r="C560" s="2">
        <f>155.291836778979*(1/3.6)</f>
        <v>43.136621327494197</v>
      </c>
      <c r="D560" s="2">
        <f t="shared" si="16"/>
        <v>0</v>
      </c>
    </row>
    <row r="561" spans="1:4" x14ac:dyDescent="0.3">
      <c r="A561" s="2">
        <f t="shared" si="18"/>
        <v>0</v>
      </c>
      <c r="B561" s="2">
        <f>309.252709254641*(1/3.6)</f>
        <v>85.903530348511467</v>
      </c>
      <c r="C561" s="2">
        <f>154.642713528886*(1/3.6)</f>
        <v>42.956309313579375</v>
      </c>
      <c r="D561" s="2">
        <f t="shared" si="16"/>
        <v>0</v>
      </c>
    </row>
    <row r="562" spans="1:4" x14ac:dyDescent="0.3">
      <c r="A562" s="2">
        <f t="shared" si="18"/>
        <v>0</v>
      </c>
      <c r="B562" s="2">
        <f>309.099296536585*(1/3.6)</f>
        <v>85.860915704606882</v>
      </c>
      <c r="C562" s="2">
        <f>154.496850778392*(1/3.6)</f>
        <v>42.915791882886687</v>
      </c>
      <c r="D562" s="2">
        <f t="shared" si="16"/>
        <v>0</v>
      </c>
    </row>
    <row r="563" spans="1:4" x14ac:dyDescent="0.3">
      <c r="A563" s="2">
        <f t="shared" si="18"/>
        <v>0</v>
      </c>
      <c r="B563" s="2">
        <f>308.663134759885*(1/3.6)</f>
        <v>85.739759655523741</v>
      </c>
      <c r="C563" s="2">
        <f>155.375973880643*(1/3.6)</f>
        <v>43.159992744623153</v>
      </c>
      <c r="D563" s="2">
        <f t="shared" si="16"/>
        <v>0</v>
      </c>
    </row>
    <row r="564" spans="1:4" x14ac:dyDescent="0.3">
      <c r="A564" s="2">
        <f t="shared" si="18"/>
        <v>0</v>
      </c>
      <c r="B564" s="2">
        <f>308.303654981639*(1/3.6)</f>
        <v>85.63990416156652</v>
      </c>
      <c r="C564" s="2">
        <f>155.417852260181*(1/3.6)</f>
        <v>43.17162562782817</v>
      </c>
      <c r="D564" s="2">
        <f t="shared" si="16"/>
        <v>0</v>
      </c>
    </row>
    <row r="565" spans="1:4" x14ac:dyDescent="0.3">
      <c r="A565" s="2">
        <f t="shared" si="18"/>
        <v>0</v>
      </c>
      <c r="B565" s="2">
        <f>308.038637686832*(1/3.6)</f>
        <v>85.566288246342253</v>
      </c>
      <c r="C565" s="2">
        <f>155.532936425509*(1/3.6)</f>
        <v>43.203593451530189</v>
      </c>
      <c r="D565" s="2">
        <f t="shared" si="16"/>
        <v>0</v>
      </c>
    </row>
    <row r="566" spans="1:4" x14ac:dyDescent="0.3">
      <c r="A566" s="2">
        <f t="shared" si="18"/>
        <v>0</v>
      </c>
      <c r="B566" s="2">
        <f>308.064128743763*(1/3.6)</f>
        <v>85.573369095489653</v>
      </c>
      <c r="C566" s="2">
        <f>156.115638769098*(1/3.6)</f>
        <v>43.365455213638199</v>
      </c>
      <c r="D566" s="2">
        <f t="shared" si="16"/>
        <v>0</v>
      </c>
    </row>
    <row r="567" spans="1:4" x14ac:dyDescent="0.3">
      <c r="A567" s="2">
        <f t="shared" si="18"/>
        <v>0</v>
      </c>
      <c r="B567" s="2">
        <f>307.768014826463*(1/3.6)</f>
        <v>85.491115229573012</v>
      </c>
      <c r="C567" s="2">
        <f>155.855756665486*(1/3.6)</f>
        <v>43.29326574041265</v>
      </c>
      <c r="D567" s="2">
        <f t="shared" si="16"/>
        <v>0</v>
      </c>
    </row>
    <row r="568" spans="1:4" x14ac:dyDescent="0.3">
      <c r="A568" s="2">
        <f t="shared" si="18"/>
        <v>0</v>
      </c>
      <c r="B568" s="2">
        <f>307.422801297032*(1/3.6)</f>
        <v>85.395222582508964</v>
      </c>
      <c r="C568" s="2">
        <f>156.578112752941*(1/3.6)</f>
        <v>43.493920209150318</v>
      </c>
      <c r="D568" s="2">
        <f t="shared" si="16"/>
        <v>0</v>
      </c>
    </row>
    <row r="569" spans="1:4" x14ac:dyDescent="0.3">
      <c r="A569" s="2">
        <f t="shared" si="18"/>
        <v>0</v>
      </c>
      <c r="B569" s="2">
        <f>306.904484200515*(1/3.6)</f>
        <v>85.251245611254248</v>
      </c>
      <c r="C569" s="2">
        <f>155.437813513902*(1/3.6)</f>
        <v>43.177170420528398</v>
      </c>
      <c r="D569" s="2">
        <f t="shared" si="16"/>
        <v>0</v>
      </c>
    </row>
    <row r="570" spans="1:4" x14ac:dyDescent="0.3">
      <c r="A570" s="2">
        <f t="shared" si="18"/>
        <v>0</v>
      </c>
      <c r="B570" s="2">
        <f>306.877925275476*(1/3.6)</f>
        <v>85.243868132076571</v>
      </c>
      <c r="C570" s="2">
        <f>156.040378201591*(1/3.6)</f>
        <v>43.344549500442042</v>
      </c>
      <c r="D570" s="2">
        <f t="shared" si="16"/>
        <v>0</v>
      </c>
    </row>
    <row r="571" spans="1:4" x14ac:dyDescent="0.3">
      <c r="A571" s="2">
        <f t="shared" si="18"/>
        <v>0</v>
      </c>
      <c r="B571" s="2">
        <f>306.401248154118*(1/3.6)</f>
        <v>85.111457820588242</v>
      </c>
      <c r="C571" s="2">
        <f>156.166931231403*(1/3.6)</f>
        <v>43.379703119834176</v>
      </c>
      <c r="D571" s="2">
        <f t="shared" si="16"/>
        <v>0</v>
      </c>
    </row>
    <row r="572" spans="1:4" x14ac:dyDescent="0.3">
      <c r="A572" s="2">
        <f t="shared" si="18"/>
        <v>0</v>
      </c>
      <c r="B572" s="2">
        <f>306.298837586348*(1/3.6)</f>
        <v>85.083010440652117</v>
      </c>
      <c r="C572" s="2">
        <f>156.52528241425*(1/3.6)</f>
        <v>43.479245115069489</v>
      </c>
      <c r="D572" s="2">
        <f t="shared" si="16"/>
        <v>0</v>
      </c>
    </row>
    <row r="573" spans="1:4" x14ac:dyDescent="0.3">
      <c r="A573" s="2">
        <f t="shared" si="18"/>
        <v>0</v>
      </c>
      <c r="B573" s="2">
        <f>305.701318797821*(1/3.6)</f>
        <v>84.917032999394607</v>
      </c>
      <c r="C573" s="2">
        <f>155.916606567301*(1/3.6)</f>
        <v>43.310168490917015</v>
      </c>
      <c r="D573" s="2">
        <f t="shared" si="16"/>
        <v>0</v>
      </c>
    </row>
    <row r="574" spans="1:4" x14ac:dyDescent="0.3">
      <c r="A574" s="2">
        <f t="shared" si="18"/>
        <v>0</v>
      </c>
      <c r="B574" s="2">
        <f>305.476257256911*(1/3.6)</f>
        <v>84.85451590469745</v>
      </c>
      <c r="C574" s="2">
        <f>155.886196965041*(1/3.6)</f>
        <v>43.30172137917809</v>
      </c>
      <c r="D574" s="2">
        <f t="shared" si="16"/>
        <v>0</v>
      </c>
    </row>
    <row r="575" spans="1:4" x14ac:dyDescent="0.3">
      <c r="A575" s="2">
        <f t="shared" si="18"/>
        <v>0</v>
      </c>
      <c r="B575" s="2">
        <f>305.629561131599*(1/3.6)</f>
        <v>84.897100314333173</v>
      </c>
      <c r="C575" s="2">
        <f>156.286026325837*(1/3.6)</f>
        <v>43.412785090510184</v>
      </c>
      <c r="D575" s="2">
        <f t="shared" si="16"/>
        <v>0</v>
      </c>
    </row>
    <row r="576" spans="1:4" x14ac:dyDescent="0.3">
      <c r="A576" s="2">
        <f t="shared" si="18"/>
        <v>0</v>
      </c>
      <c r="B576" s="2">
        <f>305.093905378533*(1/3.6)</f>
        <v>84.748307049592626</v>
      </c>
      <c r="C576" s="2">
        <f>156.66163136325*(1/3.6)</f>
        <v>43.517119823125093</v>
      </c>
      <c r="D576" s="2">
        <f t="shared" si="16"/>
        <v>0</v>
      </c>
    </row>
    <row r="577" spans="1:4" x14ac:dyDescent="0.3">
      <c r="A577" s="2">
        <f t="shared" si="18"/>
        <v>0</v>
      </c>
      <c r="B577" s="2">
        <f>304.359975771185*(1/3.6)</f>
        <v>84.544437714218148</v>
      </c>
      <c r="C577" s="2">
        <f>154.887127960558*(1/3.6)</f>
        <v>43.024202211266086</v>
      </c>
      <c r="D577" s="2">
        <f t="shared" si="16"/>
        <v>0</v>
      </c>
    </row>
    <row r="578" spans="1:4" x14ac:dyDescent="0.3">
      <c r="A578" s="2">
        <f t="shared" si="18"/>
        <v>0</v>
      </c>
      <c r="B578" s="2">
        <f>304.068399036584*(1/3.6)</f>
        <v>84.463444176828872</v>
      </c>
      <c r="C578" s="2">
        <f>155.06732407325*(1/3.6)</f>
        <v>43.074256687013978</v>
      </c>
      <c r="D578" s="2">
        <f t="shared" ref="D578:D641" si="19">0*(1/3.6)</f>
        <v>0</v>
      </c>
    </row>
    <row r="579" spans="1:4" x14ac:dyDescent="0.3">
      <c r="A579" s="2">
        <f t="shared" si="18"/>
        <v>0</v>
      </c>
      <c r="B579" s="2">
        <f>303.859472799746*(1/3.6)</f>
        <v>84.405409111040427</v>
      </c>
      <c r="C579" s="2">
        <f>155.209758928074*(1/3.6)</f>
        <v>43.113821924465135</v>
      </c>
      <c r="D579" s="2">
        <f t="shared" si="19"/>
        <v>0</v>
      </c>
    </row>
    <row r="580" spans="1:4" x14ac:dyDescent="0.3">
      <c r="A580" s="2">
        <f t="shared" si="18"/>
        <v>0</v>
      </c>
      <c r="B580" s="2">
        <f>303.509072857801*(1/3.6)</f>
        <v>84.308075793833609</v>
      </c>
      <c r="C580" s="2">
        <f>155.536817963372*(1/3.6)</f>
        <v>43.204671656492089</v>
      </c>
      <c r="D580" s="2">
        <f t="shared" si="19"/>
        <v>0</v>
      </c>
    </row>
    <row r="581" spans="1:4" x14ac:dyDescent="0.3">
      <c r="A581" s="2">
        <f t="shared" ref="A581:A589" si="20">0*(1/3.6)</f>
        <v>0</v>
      </c>
      <c r="B581" s="2">
        <f>303.554342781943*(1/3.6)</f>
        <v>84.320650772761979</v>
      </c>
      <c r="C581" s="2">
        <f>155.565541874777*(1/3.6)</f>
        <v>43.212650520771412</v>
      </c>
      <c r="D581" s="2">
        <f t="shared" si="19"/>
        <v>0</v>
      </c>
    </row>
    <row r="582" spans="1:4" x14ac:dyDescent="0.3">
      <c r="A582" s="2">
        <f t="shared" si="20"/>
        <v>0</v>
      </c>
      <c r="B582" s="2">
        <f>303.045467368327*(1/3.6)</f>
        <v>84.179296491202038</v>
      </c>
      <c r="C582" s="2">
        <f>156.207543468897*(1/3.6)</f>
        <v>43.390984296915796</v>
      </c>
      <c r="D582" s="2">
        <f t="shared" si="19"/>
        <v>0</v>
      </c>
    </row>
    <row r="583" spans="1:4" x14ac:dyDescent="0.3">
      <c r="A583" s="2">
        <f t="shared" si="20"/>
        <v>0</v>
      </c>
      <c r="B583" s="2">
        <f>303.150978925985*(1/3.6)</f>
        <v>84.208605257218181</v>
      </c>
      <c r="C583" s="2">
        <f>156.889701936272*(1/3.6)</f>
        <v>43.58047276007548</v>
      </c>
      <c r="D583" s="2">
        <f t="shared" si="19"/>
        <v>0</v>
      </c>
    </row>
    <row r="584" spans="1:4" x14ac:dyDescent="0.3">
      <c r="A584" s="2">
        <f t="shared" si="20"/>
        <v>0</v>
      </c>
      <c r="B584" s="2">
        <f>302.874550351464*(1/3.6)</f>
        <v>84.131819542073401</v>
      </c>
      <c r="C584" s="2">
        <f>156.839931305721*(1/3.6)</f>
        <v>43.566647584922393</v>
      </c>
      <c r="D584" s="2">
        <f t="shared" si="19"/>
        <v>0</v>
      </c>
    </row>
    <row r="585" spans="1:4" x14ac:dyDescent="0.3">
      <c r="A585" s="2">
        <f t="shared" si="20"/>
        <v>0</v>
      </c>
      <c r="B585" s="2">
        <f>302.253254434555*(1/3.6)</f>
        <v>83.959237342931843</v>
      </c>
      <c r="C585" s="2">
        <f>156.795651257356*(1/3.6)</f>
        <v>43.554347571487909</v>
      </c>
      <c r="D585" s="2">
        <f t="shared" si="19"/>
        <v>0</v>
      </c>
    </row>
    <row r="586" spans="1:4" x14ac:dyDescent="0.3">
      <c r="A586" s="2">
        <f t="shared" si="20"/>
        <v>0</v>
      </c>
      <c r="B586" s="2">
        <f>301.977456140517*(1/3.6)</f>
        <v>83.882626705699209</v>
      </c>
      <c r="C586" s="2">
        <f>157.182321560705*(1/3.6)</f>
        <v>43.661755989084753</v>
      </c>
      <c r="D586" s="2">
        <f t="shared" si="19"/>
        <v>0</v>
      </c>
    </row>
    <row r="587" spans="1:4" x14ac:dyDescent="0.3">
      <c r="A587" s="2">
        <f t="shared" si="20"/>
        <v>0</v>
      </c>
      <c r="B587" s="2">
        <f>301.697581589057*(1/3.6)</f>
        <v>83.804883774737988</v>
      </c>
      <c r="C587" s="2">
        <f>156.931297777426*(1/3.6)</f>
        <v>43.592027160396164</v>
      </c>
      <c r="D587" s="2">
        <f t="shared" si="19"/>
        <v>0</v>
      </c>
    </row>
    <row r="588" spans="1:4" x14ac:dyDescent="0.3">
      <c r="A588" s="2">
        <f t="shared" si="20"/>
        <v>0</v>
      </c>
      <c r="B588" s="2">
        <f>301.478226828407*(1/3.6)</f>
        <v>83.743951896779649</v>
      </c>
      <c r="C588" s="2">
        <f>157.544642428211*(1/3.6)</f>
        <v>43.762400674503056</v>
      </c>
      <c r="D588" s="2">
        <f t="shared" si="19"/>
        <v>0</v>
      </c>
    </row>
    <row r="589" spans="1:4" x14ac:dyDescent="0.3">
      <c r="A589" s="2">
        <f t="shared" si="20"/>
        <v>0</v>
      </c>
      <c r="B589" s="2">
        <f>299.945849664264*(1/3.6)</f>
        <v>83.318291573406583</v>
      </c>
      <c r="C589" s="2">
        <f>154.92114129109*(1/3.6)</f>
        <v>43.033650358636024</v>
      </c>
      <c r="D589" s="2">
        <f t="shared" si="19"/>
        <v>0</v>
      </c>
    </row>
    <row r="590" spans="1:4" x14ac:dyDescent="0.3">
      <c r="A590" s="2">
        <f>113.057304367893*(1/3.6)</f>
        <v>31.40480676885905</v>
      </c>
      <c r="B590" s="2">
        <f>300.750286956*(1/3.6)</f>
        <v>83.541746376666794</v>
      </c>
      <c r="C590" s="2">
        <f>157.203875082295*(1/3.6)</f>
        <v>43.667743078415384</v>
      </c>
      <c r="D590" s="2">
        <f t="shared" si="19"/>
        <v>0</v>
      </c>
    </row>
    <row r="591" spans="1:4" x14ac:dyDescent="0.3">
      <c r="A591" s="2">
        <f>112.864071681836*(1/3.6)</f>
        <v>31.351131022732261</v>
      </c>
      <c r="B591" s="2">
        <f>300.380988793364*(1/3.6)</f>
        <v>83.439163553712291</v>
      </c>
      <c r="C591" s="2">
        <f>156.845836031043*(1/3.6)</f>
        <v>43.568287786400852</v>
      </c>
      <c r="D591" s="2">
        <f t="shared" si="19"/>
        <v>0</v>
      </c>
    </row>
    <row r="592" spans="1:4" x14ac:dyDescent="0.3">
      <c r="A592" s="2">
        <f>113.162209661899*(1/3.6)</f>
        <v>31.433947128305313</v>
      </c>
      <c r="B592" s="2">
        <f>300.474145487899*(1/3.6)</f>
        <v>83.465040413305161</v>
      </c>
      <c r="C592" s="2">
        <f>157.539527324878*(1/3.6)</f>
        <v>43.760979812466147</v>
      </c>
      <c r="D592" s="2">
        <f t="shared" si="19"/>
        <v>0</v>
      </c>
    </row>
    <row r="593" spans="1:4" x14ac:dyDescent="0.3">
      <c r="A593" s="2">
        <f>112.998084325478*(1/3.6)</f>
        <v>31.388356757077148</v>
      </c>
      <c r="B593" s="2">
        <f>299.910098361663*(1/3.6)</f>
        <v>83.308360656017413</v>
      </c>
      <c r="C593" s="2">
        <f>156.586053933401*(1/3.6)</f>
        <v>43.496126092611497</v>
      </c>
      <c r="D593" s="2">
        <f t="shared" si="19"/>
        <v>0</v>
      </c>
    </row>
    <row r="594" spans="1:4" x14ac:dyDescent="0.3">
      <c r="A594" s="2">
        <f>112.994907008969*(1/3.6)</f>
        <v>31.387474169157983</v>
      </c>
      <c r="B594" s="2">
        <f>299.621276542616*(1/3.6)</f>
        <v>83.228132372948892</v>
      </c>
      <c r="C594" s="2">
        <f>156.404585036242*(1/3.6)</f>
        <v>43.445718065622792</v>
      </c>
      <c r="D594" s="2">
        <f t="shared" si="19"/>
        <v>0</v>
      </c>
    </row>
    <row r="595" spans="1:4" x14ac:dyDescent="0.3">
      <c r="A595" s="2">
        <f>112.973668816925*(1/3.6)</f>
        <v>31.381574671367979</v>
      </c>
      <c r="B595" s="2">
        <f>299.127888218986*(1/3.6)</f>
        <v>83.091080060829356</v>
      </c>
      <c r="C595" s="2">
        <f>157.073368573657*(1/3.6)</f>
        <v>43.631491270460195</v>
      </c>
      <c r="D595" s="2">
        <f t="shared" si="19"/>
        <v>0</v>
      </c>
    </row>
    <row r="596" spans="1:4" x14ac:dyDescent="0.3">
      <c r="A596" s="2">
        <f>113.067981814429*(1/3.6)</f>
        <v>31.407772726230402</v>
      </c>
      <c r="B596" s="2">
        <f>298.654712276854*(1/3.6)</f>
        <v>82.95964229912623</v>
      </c>
      <c r="C596" s="2">
        <f>156.618450151882*(1/3.6)</f>
        <v>43.505125042189398</v>
      </c>
      <c r="D596" s="2">
        <f t="shared" si="19"/>
        <v>0</v>
      </c>
    </row>
    <row r="597" spans="1:4" x14ac:dyDescent="0.3">
      <c r="A597" s="2">
        <f>112.985375059442*(1/3.6)</f>
        <v>31.384826405400499</v>
      </c>
      <c r="B597" s="2">
        <f>298.540273665651*(1/3.6)</f>
        <v>82.927853796014205</v>
      </c>
      <c r="C597" s="2">
        <f>156.591042518049*(1/3.6)</f>
        <v>43.497511810569101</v>
      </c>
      <c r="D597" s="2">
        <f t="shared" si="19"/>
        <v>0</v>
      </c>
    </row>
    <row r="598" spans="1:4" x14ac:dyDescent="0.3">
      <c r="A598" s="2">
        <f>112.982197742933*(1/3.6)</f>
        <v>31.383943817481338</v>
      </c>
      <c r="B598" s="2">
        <f>298.396959506888*(1/3.6)</f>
        <v>82.888044307468931</v>
      </c>
      <c r="C598" s="2">
        <f>156.651210323668*(1/3.6)</f>
        <v>43.514225089907868</v>
      </c>
      <c r="D598" s="2">
        <f t="shared" si="19"/>
        <v>0</v>
      </c>
    </row>
    <row r="599" spans="1:4" x14ac:dyDescent="0.3">
      <c r="A599" s="2">
        <f>113.424586727228*(1/3.6)</f>
        <v>31.50682964645215</v>
      </c>
      <c r="B599" s="2">
        <f>298.236968124546*(1/3.6)</f>
        <v>82.843602256818386</v>
      </c>
      <c r="C599" s="2">
        <f>157.031777906073*(1/3.6)</f>
        <v>43.619938307242407</v>
      </c>
      <c r="D599" s="2">
        <f t="shared" si="19"/>
        <v>0</v>
      </c>
    </row>
    <row r="600" spans="1:4" x14ac:dyDescent="0.3">
      <c r="A600" s="2">
        <f>113.421396880028*(1/3.6)</f>
        <v>31.505943577785565</v>
      </c>
      <c r="B600" s="2">
        <f>298.090425554165*(1/3.6)</f>
        <v>82.802895987268187</v>
      </c>
      <c r="C600" s="2">
        <f>158.397280233743*(1/3.6)</f>
        <v>43.999244509373192</v>
      </c>
      <c r="D600" s="2">
        <f t="shared" si="19"/>
        <v>0</v>
      </c>
    </row>
    <row r="601" spans="1:4" x14ac:dyDescent="0.3">
      <c r="A601" s="2">
        <f>113.31394060859*(1/3.6)</f>
        <v>31.476094613497196</v>
      </c>
      <c r="B601" s="2">
        <f>297.44093883254*(1/3.6)</f>
        <v>82.622483009038902</v>
      </c>
      <c r="C601" s="2">
        <f>158.18324161024*(1/3.6)</f>
        <v>43.939789336177739</v>
      </c>
      <c r="D601" s="2">
        <f t="shared" si="19"/>
        <v>0</v>
      </c>
    </row>
    <row r="602" spans="1:4" x14ac:dyDescent="0.3">
      <c r="A602" s="2">
        <f>113.071569330822*(1/3.6)</f>
        <v>31.408769258561634</v>
      </c>
      <c r="B602" s="2">
        <f>297.419777204586*(1/3.6)</f>
        <v>82.616604779051613</v>
      </c>
      <c r="C602" s="2">
        <f>156.577363657957*(1/3.6)</f>
        <v>43.493712127210387</v>
      </c>
      <c r="D602" s="2">
        <f t="shared" si="19"/>
        <v>0</v>
      </c>
    </row>
    <row r="603" spans="1:4" x14ac:dyDescent="0.3">
      <c r="A603" s="2">
        <f>113.243647969449*(1/3.6)</f>
        <v>31.456568880402632</v>
      </c>
      <c r="B603" s="2">
        <f>297.235846960603*(1/3.6)</f>
        <v>82.56551304461189</v>
      </c>
      <c r="C603" s="2">
        <f>158.103793741186*(1/3.6)</f>
        <v>43.917720483662876</v>
      </c>
      <c r="D603" s="2">
        <f t="shared" si="19"/>
        <v>0</v>
      </c>
    </row>
    <row r="604" spans="1:4" x14ac:dyDescent="0.3">
      <c r="A604" s="2">
        <f>113.408637491229*(1/3.6)</f>
        <v>31.502399303119223</v>
      </c>
      <c r="B604" s="2">
        <f>296.749293503296*(1/3.6)</f>
        <v>82.430359306471189</v>
      </c>
      <c r="C604" s="2">
        <f>157.225066110458*(1/3.6)</f>
        <v>43.673629475127164</v>
      </c>
      <c r="D604" s="2">
        <f t="shared" si="19"/>
        <v>0</v>
      </c>
    </row>
    <row r="605" spans="1:4" x14ac:dyDescent="0.3">
      <c r="A605" s="2">
        <f>113.844806397422*(1/3.6)</f>
        <v>31.623557332617171</v>
      </c>
      <c r="B605" s="2">
        <f>296.657790628838*(1/3.6)</f>
        <v>82.404941841343799</v>
      </c>
      <c r="C605" s="2">
        <f>158.055906977537*(1/3.6)</f>
        <v>43.904418604871402</v>
      </c>
      <c r="D605" s="2">
        <f t="shared" si="19"/>
        <v>0</v>
      </c>
    </row>
    <row r="606" spans="1:4" x14ac:dyDescent="0.3">
      <c r="A606" s="2">
        <f>113.40225779683*(1/3.6)</f>
        <v>31.500627165786049</v>
      </c>
      <c r="B606" s="2">
        <f>296.299871641055*(1/3.6)</f>
        <v>82.305519900293035</v>
      </c>
      <c r="C606" s="2">
        <f>157.877399064716*(1/3.6)</f>
        <v>43.85483307353234</v>
      </c>
      <c r="D606" s="2">
        <f t="shared" si="19"/>
        <v>0</v>
      </c>
    </row>
    <row r="607" spans="1:4" x14ac:dyDescent="0.3">
      <c r="A607" s="2">
        <f>113.838401986621*(1/3.6)</f>
        <v>31.621778329616912</v>
      </c>
      <c r="B607" s="2">
        <f>295.921787705726*(1/3.6)</f>
        <v>82.200496584923783</v>
      </c>
      <c r="C607" s="2">
        <f>157.770904303032*(1/3.6)</f>
        <v>43.825251195286576</v>
      </c>
      <c r="D607" s="2">
        <f t="shared" si="19"/>
        <v>0</v>
      </c>
    </row>
    <row r="608" spans="1:4" x14ac:dyDescent="0.3">
      <c r="A608" s="2">
        <f>113.616300081192*(1/3.6)</f>
        <v>31.560083355886739</v>
      </c>
      <c r="B608" s="2">
        <f>295.678594705888*(1/3.6)</f>
        <v>82.13294297385778</v>
      </c>
      <c r="C608" s="2">
        <f>157.753897318843*(1/3.6)</f>
        <v>43.820527033011984</v>
      </c>
      <c r="D608" s="2">
        <f t="shared" si="19"/>
        <v>0</v>
      </c>
    </row>
    <row r="609" spans="1:4" x14ac:dyDescent="0.3">
      <c r="A609" s="2">
        <f>113.83199757582*(1/3.6)</f>
        <v>31.61999932661665</v>
      </c>
      <c r="B609" s="2">
        <f>295.412320494673*(1/3.6)</f>
        <v>82.058977915186915</v>
      </c>
      <c r="C609" s="2">
        <f>157.847038686036*(1/3.6)</f>
        <v>43.846399635010052</v>
      </c>
      <c r="D609" s="2">
        <f t="shared" si="19"/>
        <v>0</v>
      </c>
    </row>
    <row r="610" spans="1:4" x14ac:dyDescent="0.3">
      <c r="A610" s="2">
        <f>113.728359511661*(1/3.6)</f>
        <v>31.591210975461451</v>
      </c>
      <c r="B610" s="2">
        <f>294.917282108485*(1/3.6)</f>
        <v>81.921467252356848</v>
      </c>
      <c r="C610" s="2">
        <f>158.0252154137*(1/3.6)</f>
        <v>43.895893170472192</v>
      </c>
      <c r="D610" s="2">
        <f t="shared" si="19"/>
        <v>0</v>
      </c>
    </row>
    <row r="611" spans="1:4" x14ac:dyDescent="0.3">
      <c r="A611" s="2">
        <f>113.691063700218*(1/3.6)</f>
        <v>31.58085102783825</v>
      </c>
      <c r="B611" s="2">
        <f>294.757056431872*(1/3.6)</f>
        <v>81.87696011996448</v>
      </c>
      <c r="C611" s="2">
        <f>158.2101444954*(1/3.6)</f>
        <v>43.94726235983341</v>
      </c>
      <c r="D611" s="2">
        <f t="shared" si="19"/>
        <v>0</v>
      </c>
    </row>
    <row r="612" spans="1:4" x14ac:dyDescent="0.3">
      <c r="A612" s="2">
        <f>114.03975085877*(1/3.6)</f>
        <v>31.677708571880437</v>
      </c>
      <c r="B612" s="2">
        <f>294.967281495674*(1/3.6)</f>
        <v>81.93535597102067</v>
      </c>
      <c r="C612" s="2">
        <f>158.538989639806*(1/3.6)</f>
        <v>44.03860823327949</v>
      </c>
      <c r="D612" s="2">
        <f t="shared" si="19"/>
        <v>0</v>
      </c>
    </row>
    <row r="613" spans="1:4" x14ac:dyDescent="0.3">
      <c r="A613" s="2">
        <f>114.036542538307*(1/3.6)</f>
        <v>31.676817371751813</v>
      </c>
      <c r="B613" s="2">
        <f>294.505942457903*(1/3.6)</f>
        <v>81.807206238306449</v>
      </c>
      <c r="C613" s="2">
        <f>158.90321380297*(1/3.6)</f>
        <v>44.139781611936115</v>
      </c>
      <c r="D613" s="2">
        <f t="shared" si="19"/>
        <v>0</v>
      </c>
    </row>
    <row r="614" spans="1:4" x14ac:dyDescent="0.3">
      <c r="A614" s="2">
        <f>114.033334217843*(1/3.6)</f>
        <v>31.675926171623189</v>
      </c>
      <c r="B614" s="2">
        <f>294.157632939204*(1/3.6)</f>
        <v>81.71045359422331</v>
      </c>
      <c r="C614" s="2">
        <f>160.433064100651*(1/3.6)</f>
        <v>44.564740027958692</v>
      </c>
      <c r="D614" s="2">
        <f t="shared" si="19"/>
        <v>0</v>
      </c>
    </row>
    <row r="615" spans="1:4" x14ac:dyDescent="0.3">
      <c r="A615" s="2">
        <f>114.24597330611*(1/3.6)</f>
        <v>31.734992585030586</v>
      </c>
      <c r="B615" s="2">
        <f>294.078797458764*(1/3.6)</f>
        <v>81.688554849656541</v>
      </c>
      <c r="C615" s="2">
        <f>159.62556714862*(1/3.6)</f>
        <v>44.340435319061093</v>
      </c>
      <c r="D615" s="2">
        <f t="shared" si="19"/>
        <v>0</v>
      </c>
    </row>
    <row r="616" spans="1:4" x14ac:dyDescent="0.3">
      <c r="A616" s="2">
        <f>115.148695973041*(1/3.6)</f>
        <v>31.985748881400294</v>
      </c>
      <c r="B616" s="2">
        <f>294.899546562064*(1/3.6)</f>
        <v>81.916540711684576</v>
      </c>
      <c r="C616" s="2">
        <f>160.332052791554*(1/3.6)</f>
        <v>44.536681330987228</v>
      </c>
      <c r="D616" s="2">
        <f t="shared" si="19"/>
        <v>0</v>
      </c>
    </row>
    <row r="617" spans="1:4" x14ac:dyDescent="0.3">
      <c r="A617" s="2">
        <f>116.830108112042*(1/3.6)</f>
        <v>32.452807808900666</v>
      </c>
      <c r="B617" s="2">
        <f>296.417183902666*(1/3.6)</f>
        <v>82.338106639629572</v>
      </c>
      <c r="C617" s="2">
        <f>164.471518019306*(1/3.6)</f>
        <v>45.686532783140478</v>
      </c>
      <c r="D617" s="2">
        <f t="shared" si="19"/>
        <v>0</v>
      </c>
    </row>
    <row r="618" spans="1:4" x14ac:dyDescent="0.3">
      <c r="A618" s="2">
        <f>117.098626917886*(1/3.6)</f>
        <v>32.5273963660795</v>
      </c>
      <c r="B618" s="2">
        <f>296.397503309247*(1/3.6)</f>
        <v>82.332639808124213</v>
      </c>
      <c r="C618" s="2">
        <f>164.58191529297*(1/3.6)</f>
        <v>45.717198692491621</v>
      </c>
      <c r="D618" s="2">
        <f t="shared" si="19"/>
        <v>0</v>
      </c>
    </row>
    <row r="619" spans="1:4" x14ac:dyDescent="0.3">
      <c r="A619" s="2">
        <f>113.58114355637*(1/3.6)</f>
        <v>31.550317654547325</v>
      </c>
      <c r="B619" s="2">
        <f>291.986849867116*(1/3.6)</f>
        <v>81.1074582964212</v>
      </c>
      <c r="C619" s="2">
        <f>157.128524594645*(1/3.6)</f>
        <v>43.64681238740144</v>
      </c>
      <c r="D619" s="2">
        <f t="shared" si="19"/>
        <v>0</v>
      </c>
    </row>
    <row r="620" spans="1:4" x14ac:dyDescent="0.3">
      <c r="A620" s="2">
        <f>113.796773316415*(1/3.6)</f>
        <v>31.610214810115224</v>
      </c>
      <c r="B620" s="2">
        <f>292.047941101727*(1/3.6)</f>
        <v>81.1244280838131</v>
      </c>
      <c r="C620" s="2">
        <f>158.038447962246*(1/3.6)</f>
        <v>43.899568878401773</v>
      </c>
      <c r="D620" s="2">
        <f t="shared" si="19"/>
        <v>0</v>
      </c>
    </row>
    <row r="621" spans="1:4" x14ac:dyDescent="0.3">
      <c r="A621" s="2">
        <f>112.684141053061*(1/3.6)</f>
        <v>31.301150292516994</v>
      </c>
      <c r="B621" s="2">
        <f>290.421485368725*(1/3.6)</f>
        <v>80.672634824645755</v>
      </c>
      <c r="C621" s="2">
        <f>155.813410562122*(1/3.6)</f>
        <v>43.28150293392288</v>
      </c>
      <c r="D621" s="2">
        <f t="shared" si="19"/>
        <v>0</v>
      </c>
    </row>
    <row r="622" spans="1:4" x14ac:dyDescent="0.3">
      <c r="A622" s="2">
        <f>114.650626782321*(1/3.6)</f>
        <v>31.847396328422459</v>
      </c>
      <c r="B622" s="2">
        <f>292.192686036894*(1/3.6)</f>
        <v>81.164635010248304</v>
      </c>
      <c r="C622" s="2">
        <f>159.705983229336*(1/3.6)</f>
        <v>44.362773119259998</v>
      </c>
      <c r="D622" s="2">
        <f t="shared" si="19"/>
        <v>0</v>
      </c>
    </row>
    <row r="623" spans="1:4" x14ac:dyDescent="0.3">
      <c r="A623" s="2">
        <f>114.647400368172*(1/3.6)</f>
        <v>31.846500102269975</v>
      </c>
      <c r="B623" s="2">
        <f>292.046292568992*(1/3.6)</f>
        <v>81.12397015805341</v>
      </c>
      <c r="C623" s="2">
        <f>159.259711202209*(1/3.6)</f>
        <v>44.238808667280374</v>
      </c>
      <c r="D623" s="2">
        <f t="shared" si="19"/>
        <v>0</v>
      </c>
    </row>
    <row r="624" spans="1:4" x14ac:dyDescent="0.3">
      <c r="A624" s="2">
        <f>115.065447380028*(1/3.6)</f>
        <v>31.962624272230123</v>
      </c>
      <c r="B624" s="2">
        <f>292.23207312001*(1/3.6)</f>
        <v>81.175575866669348</v>
      </c>
      <c r="C624" s="2">
        <f>160.801908061247*(1/3.6)</f>
        <v>44.667196683679762</v>
      </c>
      <c r="D624" s="2">
        <f t="shared" si="19"/>
        <v>0</v>
      </c>
    </row>
    <row r="625" spans="1:4" x14ac:dyDescent="0.3">
      <c r="A625" s="2">
        <f>115.270668552829*(1/3.6)</f>
        <v>32.019630153563561</v>
      </c>
      <c r="B625" s="2">
        <f>292.543167711324*(1/3.6)</f>
        <v>81.261991030923269</v>
      </c>
      <c r="C625" s="2">
        <f>161.43658653815*(1/3.6)</f>
        <v>44.843496260597362</v>
      </c>
      <c r="D625" s="2">
        <f t="shared" si="19"/>
        <v>0</v>
      </c>
    </row>
    <row r="626" spans="1:4" x14ac:dyDescent="0.3">
      <c r="A626" s="2">
        <f>115.47443984161*(1/3.6)</f>
        <v>32.076233289336017</v>
      </c>
      <c r="B626" s="2">
        <f>292.192198491063*(1/3.6)</f>
        <v>81.164499580850872</v>
      </c>
      <c r="C626" s="2">
        <f>161.559508451726*(1/3.6)</f>
        <v>44.877641236590613</v>
      </c>
      <c r="D626" s="2">
        <f t="shared" si="19"/>
        <v>0</v>
      </c>
    </row>
    <row r="627" spans="1:4" x14ac:dyDescent="0.3">
      <c r="A627" s="2">
        <f>115.895236993299*(1/3.6)</f>
        <v>32.193121387027368</v>
      </c>
      <c r="B627" s="2">
        <f>292.388476077544*(1/3.6)</f>
        <v>81.219021132651207</v>
      </c>
      <c r="C627" s="2">
        <f>161.542344158322*(1/3.6)</f>
        <v>44.872873377311777</v>
      </c>
      <c r="D627" s="2">
        <f t="shared" si="19"/>
        <v>0</v>
      </c>
    </row>
    <row r="628" spans="1:4" x14ac:dyDescent="0.3">
      <c r="A628" s="2">
        <f>116.172662565053*(1/3.6)</f>
        <v>32.270184045847934</v>
      </c>
      <c r="B628" s="2">
        <f>292.689037775174*(1/3.6)</f>
        <v>81.30251049310381</v>
      </c>
      <c r="C628" s="2">
        <f>162.28497618048*(1/3.6)</f>
        <v>45.079160050133417</v>
      </c>
      <c r="D628" s="2">
        <f t="shared" si="19"/>
        <v>0</v>
      </c>
    </row>
    <row r="629" spans="1:4" x14ac:dyDescent="0.3">
      <c r="A629" s="2">
        <f>116.521836936986*(1/3.6)</f>
        <v>32.367176926940544</v>
      </c>
      <c r="B629" s="2">
        <f>292.877660024041*(1/3.6)</f>
        <v>81.354905562233583</v>
      </c>
      <c r="C629" s="2">
        <f>163.631763193839*(1/3.6)</f>
        <v>45.453267553844213</v>
      </c>
      <c r="D629" s="2">
        <f t="shared" si="19"/>
        <v>0</v>
      </c>
    </row>
    <row r="630" spans="1:4" x14ac:dyDescent="0.3">
      <c r="A630" s="2">
        <f>116.51855721854*(1/3.6)</f>
        <v>32.366265894038975</v>
      </c>
      <c r="B630" s="2">
        <f>292.594583234922*(1/3.6)</f>
        <v>81.276273120811751</v>
      </c>
      <c r="C630" s="2">
        <f>163.90306883191*(1/3.6)</f>
        <v>45.528630231086048</v>
      </c>
      <c r="D630" s="2">
        <f t="shared" si="19"/>
        <v>0</v>
      </c>
    </row>
    <row r="631" spans="1:4" x14ac:dyDescent="0.3">
      <c r="A631" s="2">
        <f>117.157022954786*(1/3.6)</f>
        <v>32.543617487440571</v>
      </c>
      <c r="B631" s="2">
        <f>292.935571197479*(1/3.6)</f>
        <v>81.370991999299747</v>
      </c>
      <c r="C631" s="2">
        <f>163.972005116571*(1/3.6)</f>
        <v>45.54777919904739</v>
      </c>
      <c r="D631" s="2">
        <f t="shared" si="19"/>
        <v>0</v>
      </c>
    </row>
    <row r="632" spans="1:4" x14ac:dyDescent="0.3">
      <c r="A632" s="2">
        <f>117.871731944368*(1/3.6)</f>
        <v>32.742147762324343</v>
      </c>
      <c r="B632" s="2">
        <f>293.758639262989*(1/3.6)</f>
        <v>81.599622017496841</v>
      </c>
      <c r="C632" s="2">
        <f>166.135323574947*(1/3.6)</f>
        <v>46.148700993040926</v>
      </c>
      <c r="D632" s="2">
        <f t="shared" si="19"/>
        <v>0</v>
      </c>
    </row>
    <row r="633" spans="1:4" x14ac:dyDescent="0.3">
      <c r="A633" s="2">
        <f>118.463573607139*(1/3.6)</f>
        <v>32.906548224205416</v>
      </c>
      <c r="B633" s="2">
        <f>294.285316345101*(1/3.6)</f>
        <v>81.745921206972412</v>
      </c>
      <c r="C633" s="2">
        <f>167.877142710421*(1/3.6)</f>
        <v>46.632539641783495</v>
      </c>
      <c r="D633" s="2">
        <f t="shared" si="19"/>
        <v>0</v>
      </c>
    </row>
    <row r="634" spans="1:4" x14ac:dyDescent="0.3">
      <c r="A634" s="2">
        <f>116.305781923817*(1/3.6)</f>
        <v>32.307161645504678</v>
      </c>
      <c r="B634" s="2">
        <f>290.807271956143*(1/3.6)</f>
        <v>80.779797765595163</v>
      </c>
      <c r="C634" s="2">
        <f>162.727040616444*(1/3.6)</f>
        <v>45.201955726789954</v>
      </c>
      <c r="D634" s="2">
        <f t="shared" si="19"/>
        <v>0</v>
      </c>
    </row>
    <row r="635" spans="1:4" x14ac:dyDescent="0.3">
      <c r="A635" s="2">
        <f>116.502158626312*(1/3.6)</f>
        <v>32.361710729531133</v>
      </c>
      <c r="B635" s="2">
        <f>290.735604870409*(1/3.6)</f>
        <v>80.759890241780312</v>
      </c>
      <c r="C635" s="2">
        <f>162.66508751222*(1/3.6)</f>
        <v>45.184746531172216</v>
      </c>
      <c r="D635" s="2">
        <f t="shared" si="19"/>
        <v>0</v>
      </c>
    </row>
    <row r="636" spans="1:4" x14ac:dyDescent="0.3">
      <c r="A636" s="2">
        <f>116.56797542198*(1/3.6)</f>
        <v>32.379993172772338</v>
      </c>
      <c r="B636" s="2">
        <f>290.475687424488*(1/3.6)</f>
        <v>80.687690951246765</v>
      </c>
      <c r="C636" s="2">
        <f>163.471350026185*(1/3.6)</f>
        <v>45.408708340606942</v>
      </c>
      <c r="D636" s="2">
        <f t="shared" si="19"/>
        <v>0</v>
      </c>
    </row>
    <row r="637" spans="1:4" x14ac:dyDescent="0.3">
      <c r="A637" s="2">
        <f>117.08631500302*(1/3.6)</f>
        <v>32.523976389727672</v>
      </c>
      <c r="B637" s="2">
        <f>290.847541475908*(1/3.6)</f>
        <v>80.790983743307805</v>
      </c>
      <c r="C637" s="2">
        <f>164.373975796689*(1/3.6)</f>
        <v>45.659437721302375</v>
      </c>
      <c r="D637" s="2">
        <f t="shared" si="19"/>
        <v>0</v>
      </c>
    </row>
    <row r="638" spans="1:4" x14ac:dyDescent="0.3">
      <c r="A638" s="2">
        <f>117.851823981196*(1/3.6)</f>
        <v>32.736617772554496</v>
      </c>
      <c r="B638" s="2">
        <f>291.791427683212*(1/3.6)</f>
        <v>81.053174356447641</v>
      </c>
      <c r="C638" s="2">
        <f>165.732501410256*(1/3.6)</f>
        <v>46.036805947293381</v>
      </c>
      <c r="D638" s="2">
        <f t="shared" si="19"/>
        <v>0</v>
      </c>
    </row>
    <row r="639" spans="1:4" x14ac:dyDescent="0.3">
      <c r="A639" s="2">
        <f>118.447906223149*(1/3.6)</f>
        <v>32.902196173096812</v>
      </c>
      <c r="B639" s="2">
        <f>292.400142232606*(1/3.6)</f>
        <v>81.222261731279417</v>
      </c>
      <c r="C639" s="2">
        <f>166.826202545168*(1/3.6)</f>
        <v>46.340611818102232</v>
      </c>
      <c r="D639" s="2">
        <f t="shared" si="19"/>
        <v>0</v>
      </c>
    </row>
    <row r="640" spans="1:4" x14ac:dyDescent="0.3">
      <c r="A640" s="2">
        <f>119.196152536681*(1/3.6)</f>
        <v>33.110042371300409</v>
      </c>
      <c r="B640" s="2">
        <f>292.885012374314*(1/3.6)</f>
        <v>81.356947881753953</v>
      </c>
      <c r="C640" s="2">
        <f>169.329661997722*(1/3.6)</f>
        <v>47.036017221589525</v>
      </c>
      <c r="D640" s="2">
        <f t="shared" si="19"/>
        <v>0</v>
      </c>
    </row>
    <row r="641" spans="1:4" x14ac:dyDescent="0.3">
      <c r="A641" s="2">
        <f>120.412229225462*(1/3.6)</f>
        <v>33.447841451517327</v>
      </c>
      <c r="B641" s="2">
        <f>294.113776332238*(1/3.6)</f>
        <v>81.698271203399486</v>
      </c>
      <c r="C641" s="2">
        <f>170.604420179574*(1/3.6)</f>
        <v>47.390116716548313</v>
      </c>
      <c r="D641" s="2">
        <f t="shared" si="19"/>
        <v>0</v>
      </c>
    </row>
    <row r="642" spans="1:4" x14ac:dyDescent="0.3">
      <c r="A642" s="2">
        <f>120.738144408041*(1/3.6)</f>
        <v>33.538373446678037</v>
      </c>
      <c r="B642" s="2">
        <f>294.228184854636*(1/3.6)</f>
        <v>81.730051348510074</v>
      </c>
      <c r="C642" s="2">
        <f>171.903164840957*(1/3.6)</f>
        <v>47.750879122488129</v>
      </c>
      <c r="D642" s="2">
        <f t="shared" ref="D642:D705" si="21">0*(1/3.6)</f>
        <v>0</v>
      </c>
    </row>
    <row r="643" spans="1:4" x14ac:dyDescent="0.3">
      <c r="A643" s="2">
        <f>121.070988608128*(1/3.6)</f>
        <v>33.630830168924582</v>
      </c>
      <c r="B643" s="2">
        <f>294.180122466712*(1/3.6)</f>
        <v>81.716700685197665</v>
      </c>
      <c r="C643" s="2">
        <f>172.459814309748*(1/3.6)</f>
        <v>47.905503974929864</v>
      </c>
      <c r="D643" s="2">
        <f t="shared" si="21"/>
        <v>0</v>
      </c>
    </row>
    <row r="644" spans="1:4" x14ac:dyDescent="0.3">
      <c r="A644" s="2">
        <f>116.635212307286*(1/3.6)</f>
        <v>32.398670085357118</v>
      </c>
      <c r="B644" s="2">
        <f>287.650493010576*(1/3.6)</f>
        <v>79.90291472516013</v>
      </c>
      <c r="C644" s="2">
        <f>163.530415115048*(1/3.6)</f>
        <v>45.425115309735617</v>
      </c>
      <c r="D644" s="2">
        <f t="shared" si="21"/>
        <v>0</v>
      </c>
    </row>
    <row r="645" spans="1:4" x14ac:dyDescent="0.3">
      <c r="A645" s="2">
        <f>116.667583795852*(1/3.6)</f>
        <v>32.407662165514488</v>
      </c>
      <c r="B645" s="2">
        <f>287.480954409768*(1/3.6)</f>
        <v>79.855820669379924</v>
      </c>
      <c r="C645" s="2">
        <f>163.529220211955*(1/3.6)</f>
        <v>45.42478339220964</v>
      </c>
      <c r="D645" s="2">
        <f t="shared" si="21"/>
        <v>0</v>
      </c>
    </row>
    <row r="646" spans="1:4" x14ac:dyDescent="0.3">
      <c r="A646" s="2">
        <f>117.15122738417*(1/3.6)</f>
        <v>32.54200760671403</v>
      </c>
      <c r="B646" s="2">
        <f>287.682369763784*(1/3.6)</f>
        <v>79.911769378828978</v>
      </c>
      <c r="C646" s="2">
        <f>163.033359968343*(1/3.6)</f>
        <v>45.287044435650962</v>
      </c>
      <c r="D646" s="2">
        <f t="shared" si="21"/>
        <v>0</v>
      </c>
    </row>
    <row r="647" spans="1:4" x14ac:dyDescent="0.3">
      <c r="A647" s="2">
        <f>117.631795477707*(1/3.6)</f>
        <v>32.67549874380758</v>
      </c>
      <c r="B647" s="2">
        <f>288.240444944369*(1/3.6)</f>
        <v>80.066790262324588</v>
      </c>
      <c r="C647" s="2">
        <f>164.585959800502*(1/3.6)</f>
        <v>45.718322166806054</v>
      </c>
      <c r="D647" s="2">
        <f t="shared" si="21"/>
        <v>0</v>
      </c>
    </row>
    <row r="648" spans="1:4" x14ac:dyDescent="0.3">
      <c r="A648" s="2">
        <f>118.59829716704*(1/3.6)</f>
        <v>32.943971435289015</v>
      </c>
      <c r="B648" s="2">
        <f>288.933116639068*(1/3.6)</f>
        <v>80.259199066407803</v>
      </c>
      <c r="C648" s="2">
        <f>166.568674826147*(1/3.6)</f>
        <v>46.269076340596264</v>
      </c>
      <c r="D648" s="2">
        <f t="shared" si="21"/>
        <v>0</v>
      </c>
    </row>
    <row r="649" spans="1:4" x14ac:dyDescent="0.3">
      <c r="A649" s="2">
        <f>119.141540928489*(1/3.6)</f>
        <v>33.094872480135706</v>
      </c>
      <c r="B649" s="2">
        <f>289.482556867924*(1/3.6)</f>
        <v>80.411821352201088</v>
      </c>
      <c r="C649" s="2">
        <f>167.767008531414*(1/3.6)</f>
        <v>46.601946814281547</v>
      </c>
      <c r="D649" s="2">
        <f t="shared" si="21"/>
        <v>0</v>
      </c>
    </row>
    <row r="650" spans="1:4" x14ac:dyDescent="0.3">
      <c r="A650" s="2">
        <f>118.59161726633*(1/3.6)</f>
        <v>32.942115907313841</v>
      </c>
      <c r="B650" s="2">
        <f>288.437111402892*(1/3.6)</f>
        <v>80.121419834136717</v>
      </c>
      <c r="C650" s="2">
        <f>167.640441252875*(1/3.6)</f>
        <v>46.566789236909599</v>
      </c>
      <c r="D650" s="2">
        <f t="shared" si="21"/>
        <v>0</v>
      </c>
    </row>
    <row r="651" spans="1:4" x14ac:dyDescent="0.3">
      <c r="A651" s="2">
        <f>119.417002919611*(1/3.6)</f>
        <v>33.171389699891925</v>
      </c>
      <c r="B651" s="2">
        <f>289.229465850551*(1/3.6)</f>
        <v>80.341518291819867</v>
      </c>
      <c r="C651" s="2">
        <f>168.795345795205*(1/3.6)</f>
        <v>46.887596054223629</v>
      </c>
      <c r="D651" s="2">
        <f t="shared" si="21"/>
        <v>0</v>
      </c>
    </row>
    <row r="652" spans="1:4" x14ac:dyDescent="0.3">
      <c r="A652" s="2">
        <f>119.515694435749*(1/3.6)</f>
        <v>33.198804009930221</v>
      </c>
      <c r="B652" s="2">
        <f>289.494601060619*(1/3.6)</f>
        <v>80.415166961283006</v>
      </c>
      <c r="C652" s="2">
        <f>169.248381974916*(1/3.6)</f>
        <v>47.013439437476649</v>
      </c>
      <c r="D652" s="2">
        <f t="shared" si="21"/>
        <v>0</v>
      </c>
    </row>
    <row r="653" spans="1:4" x14ac:dyDescent="0.3">
      <c r="A653" s="2">
        <f>120.025005745958*(1/3.6)</f>
        <v>33.340279373877109</v>
      </c>
      <c r="B653" s="2">
        <f>289.63838901338*(1/3.6)</f>
        <v>80.455108059272106</v>
      </c>
      <c r="C653" s="2">
        <f>170.016973108654*(1/3.6)</f>
        <v>47.226936974626192</v>
      </c>
      <c r="D653" s="2">
        <f t="shared" si="21"/>
        <v>0</v>
      </c>
    </row>
    <row r="654" spans="1:4" x14ac:dyDescent="0.3">
      <c r="A654" s="2">
        <f>120.939007244514*(1/3.6)</f>
        <v>33.594168679031668</v>
      </c>
      <c r="B654" s="2">
        <f>290.208305380057*(1/3.6)</f>
        <v>80.613418161126958</v>
      </c>
      <c r="C654" s="2">
        <f>171.801219122224*(1/3.6)</f>
        <v>47.7225608672845</v>
      </c>
      <c r="D654" s="2">
        <f t="shared" si="21"/>
        <v>0</v>
      </c>
    </row>
    <row r="655" spans="1:4" x14ac:dyDescent="0.3">
      <c r="A655" s="2">
        <f>121.274350267485*(1/3.6)</f>
        <v>33.687319518745753</v>
      </c>
      <c r="B655" s="2">
        <f>290.490347693926*(1/3.6)</f>
        <v>80.691763248312711</v>
      </c>
      <c r="C655" s="2">
        <f>172.517942845375*(1/3.6)</f>
        <v>47.921650790381925</v>
      </c>
      <c r="D655" s="2">
        <f t="shared" si="21"/>
        <v>0</v>
      </c>
    </row>
    <row r="656" spans="1:4" x14ac:dyDescent="0.3">
      <c r="A656" s="2">
        <f>120.935814976583*(1/3.6)</f>
        <v>33.593281937939651</v>
      </c>
      <c r="B656" s="2">
        <f>289.549137814405*(1/3.6)</f>
        <v>80.430316059556816</v>
      </c>
      <c r="C656" s="2">
        <f>172.077179863966*(1/3.6)</f>
        <v>47.799216628879428</v>
      </c>
      <c r="D656" s="2">
        <f t="shared" si="21"/>
        <v>0</v>
      </c>
    </row>
    <row r="657" spans="1:4" x14ac:dyDescent="0.3">
      <c r="A657" s="2">
        <f>121.789705729844*(1/3.6)</f>
        <v>33.830473813845508</v>
      </c>
      <c r="B657" s="2">
        <f>289.881805377849*(1/3.6)</f>
        <v>80.522723716069166</v>
      </c>
      <c r="C657" s="2">
        <f>172.84904730117*(1/3.6)</f>
        <v>48.013624250325051</v>
      </c>
      <c r="D657" s="2">
        <f t="shared" si="21"/>
        <v>0</v>
      </c>
    </row>
    <row r="658" spans="1:4" x14ac:dyDescent="0.3">
      <c r="A658" s="2">
        <f>124.978090493393*(1/3.6)</f>
        <v>34.716136248164631</v>
      </c>
      <c r="B658" s="2">
        <f t="shared" ref="B658:B689" si="22">0*(1/3.6)</f>
        <v>0</v>
      </c>
      <c r="C658" s="2">
        <f>179.961835586992*(1/3.6)</f>
        <v>49.989398774164535</v>
      </c>
      <c r="D658" s="2">
        <f t="shared" si="21"/>
        <v>0</v>
      </c>
    </row>
    <row r="659" spans="1:4" x14ac:dyDescent="0.3">
      <c r="A659" s="2">
        <f>125.387175194397*(1/3.6)</f>
        <v>34.829770887332486</v>
      </c>
      <c r="B659" s="2">
        <f t="shared" si="22"/>
        <v>0</v>
      </c>
      <c r="C659" s="2">
        <f>179.836864044997*(1/3.6)</f>
        <v>49.954684456943518</v>
      </c>
      <c r="D659" s="2">
        <f t="shared" si="21"/>
        <v>0</v>
      </c>
    </row>
    <row r="660" spans="1:4" x14ac:dyDescent="0.3">
      <c r="A660" s="2">
        <f>125.221515984832*(1/3.6)</f>
        <v>34.783754440231206</v>
      </c>
      <c r="B660" s="2">
        <f t="shared" si="22"/>
        <v>0</v>
      </c>
      <c r="C660" s="2">
        <f>179.324350697142*(1/3.6)</f>
        <v>49.812319638095104</v>
      </c>
      <c r="D660" s="2">
        <f t="shared" si="21"/>
        <v>0</v>
      </c>
    </row>
    <row r="661" spans="1:4" x14ac:dyDescent="0.3">
      <c r="A661" s="2">
        <f>124.594156424866*(1/3.6)</f>
        <v>34.609487895796022</v>
      </c>
      <c r="B661" s="2">
        <f t="shared" si="22"/>
        <v>0</v>
      </c>
      <c r="C661" s="2">
        <f>178.718268149869*(1/3.6)</f>
        <v>49.643963374963725</v>
      </c>
      <c r="D661" s="2">
        <f t="shared" si="21"/>
        <v>0</v>
      </c>
    </row>
    <row r="662" spans="1:4" x14ac:dyDescent="0.3">
      <c r="A662" s="2">
        <f>124.770671294054*(1/3.6)</f>
        <v>34.658519803903971</v>
      </c>
      <c r="B662" s="2">
        <f t="shared" si="22"/>
        <v>0</v>
      </c>
      <c r="C662" s="2">
        <f>178.34943253579*(1/3.6)</f>
        <v>49.541509037719351</v>
      </c>
      <c r="D662" s="2">
        <f t="shared" si="21"/>
        <v>0</v>
      </c>
    </row>
    <row r="663" spans="1:4" x14ac:dyDescent="0.3">
      <c r="A663" s="2">
        <f>124.808962695128*(1/3.6)</f>
        <v>34.669156304202311</v>
      </c>
      <c r="B663" s="2">
        <f t="shared" si="22"/>
        <v>0</v>
      </c>
      <c r="C663" s="2">
        <f>178.638639038581*(1/3.6)</f>
        <v>49.621844177383544</v>
      </c>
      <c r="D663" s="2">
        <f t="shared" si="21"/>
        <v>0</v>
      </c>
    </row>
    <row r="664" spans="1:4" x14ac:dyDescent="0.3">
      <c r="A664" s="2">
        <f>124.880659296227*(1/3.6)</f>
        <v>34.689072026729626</v>
      </c>
      <c r="B664" s="2">
        <f t="shared" si="22"/>
        <v>0</v>
      </c>
      <c r="C664" s="2">
        <f>178.323098921583*(1/3.6)</f>
        <v>49.534194144884104</v>
      </c>
      <c r="D664" s="2">
        <f t="shared" si="21"/>
        <v>0</v>
      </c>
    </row>
    <row r="665" spans="1:4" x14ac:dyDescent="0.3">
      <c r="A665" s="2">
        <f>124.43677878417*(1/3.6)</f>
        <v>34.565771884491603</v>
      </c>
      <c r="B665" s="2">
        <f t="shared" si="22"/>
        <v>0</v>
      </c>
      <c r="C665" s="2">
        <f>178.640043077397*(1/3.6)</f>
        <v>49.622234188165855</v>
      </c>
      <c r="D665" s="2">
        <f t="shared" si="21"/>
        <v>0</v>
      </c>
    </row>
    <row r="666" spans="1:4" x14ac:dyDescent="0.3">
      <c r="A666" s="2">
        <f>121.6030190443*(1/3.6)</f>
        <v>33.778616401194363</v>
      </c>
      <c r="B666" s="2">
        <f t="shared" si="22"/>
        <v>0</v>
      </c>
      <c r="C666" s="2">
        <f>172.279701557086*(1/3.6)</f>
        <v>47.855472654746059</v>
      </c>
      <c r="D666" s="2">
        <f t="shared" si="21"/>
        <v>0</v>
      </c>
    </row>
    <row r="667" spans="1:4" x14ac:dyDescent="0.3">
      <c r="A667" s="2">
        <f>120.975132495254*(1/3.6)</f>
        <v>33.60420347090394</v>
      </c>
      <c r="B667" s="2">
        <f t="shared" si="22"/>
        <v>0</v>
      </c>
      <c r="C667" s="2">
        <f>171.299251174478*(1/3.6)</f>
        <v>47.583125326243795</v>
      </c>
      <c r="D667" s="2">
        <f t="shared" si="21"/>
        <v>0</v>
      </c>
    </row>
    <row r="668" spans="1:4" x14ac:dyDescent="0.3">
      <c r="A668" s="2">
        <f>122.35184268161*(1/3.6)</f>
        <v>33.986622967114016</v>
      </c>
      <c r="B668" s="2">
        <f t="shared" si="22"/>
        <v>0</v>
      </c>
      <c r="C668" s="2">
        <f>173.408512060383*(1/3.6)</f>
        <v>48.169031127884082</v>
      </c>
      <c r="D668" s="2">
        <f t="shared" si="21"/>
        <v>0</v>
      </c>
    </row>
    <row r="669" spans="1:4" x14ac:dyDescent="0.3">
      <c r="A669" s="2">
        <f>122.481446146455*(1/3.6)</f>
        <v>34.022623929570848</v>
      </c>
      <c r="B669" s="2">
        <f t="shared" si="22"/>
        <v>0</v>
      </c>
      <c r="C669" s="2">
        <f>173.683224022903*(1/3.6)</f>
        <v>48.245340006361992</v>
      </c>
      <c r="D669" s="2">
        <f t="shared" si="21"/>
        <v>0</v>
      </c>
    </row>
    <row r="670" spans="1:4" x14ac:dyDescent="0.3">
      <c r="A670" s="2">
        <f>122.501504987835*(1/3.6)</f>
        <v>34.028195829954043</v>
      </c>
      <c r="B670" s="2">
        <f t="shared" si="22"/>
        <v>0</v>
      </c>
      <c r="C670" s="2">
        <f>174.251681656932*(1/3.6)</f>
        <v>48.403244904703435</v>
      </c>
      <c r="D670" s="2">
        <f t="shared" si="21"/>
        <v>0</v>
      </c>
    </row>
    <row r="671" spans="1:4" x14ac:dyDescent="0.3">
      <c r="A671" s="2">
        <f>122.903630689339*(1/3.6)</f>
        <v>34.139897413705349</v>
      </c>
      <c r="B671" s="2">
        <f t="shared" si="22"/>
        <v>0</v>
      </c>
      <c r="C671" s="2">
        <f>174.982292363548*(1/3.6)</f>
        <v>48.606192323207679</v>
      </c>
      <c r="D671" s="2">
        <f t="shared" si="21"/>
        <v>0</v>
      </c>
    </row>
    <row r="672" spans="1:4" x14ac:dyDescent="0.3">
      <c r="A672" s="2">
        <f>127.494003755536*(1/3.6)</f>
        <v>35.415001043204391</v>
      </c>
      <c r="B672" s="2">
        <f t="shared" si="22"/>
        <v>0</v>
      </c>
      <c r="C672" s="2">
        <f>183.601745063954*(1/3.6)</f>
        <v>51.000484739987208</v>
      </c>
      <c r="D672" s="2">
        <f t="shared" si="21"/>
        <v>0</v>
      </c>
    </row>
    <row r="673" spans="1:4" x14ac:dyDescent="0.3">
      <c r="A673" s="2">
        <f>127.371816107884*(1/3.6)</f>
        <v>35.381060029967912</v>
      </c>
      <c r="B673" s="2">
        <f t="shared" si="22"/>
        <v>0</v>
      </c>
      <c r="C673" s="2">
        <f>183.075370232441*(1/3.6)</f>
        <v>50.854269509011267</v>
      </c>
      <c r="D673" s="2">
        <f t="shared" si="21"/>
        <v>0</v>
      </c>
    </row>
    <row r="674" spans="1:4" x14ac:dyDescent="0.3">
      <c r="A674" s="2">
        <f>127.409075482705*(1/3.6)</f>
        <v>35.39140985630695</v>
      </c>
      <c r="B674" s="2">
        <f t="shared" si="22"/>
        <v>0</v>
      </c>
      <c r="C674" s="2">
        <f>182.541077435549*(1/3.6)</f>
        <v>50.705854843208193</v>
      </c>
      <c r="D674" s="2">
        <f t="shared" si="21"/>
        <v>0</v>
      </c>
    </row>
    <row r="675" spans="1:4" x14ac:dyDescent="0.3">
      <c r="A675" s="2">
        <f>127.483225059995*(1/3.6)</f>
        <v>35.412006961109711</v>
      </c>
      <c r="B675" s="2">
        <f t="shared" si="22"/>
        <v>0</v>
      </c>
      <c r="C675" s="2">
        <f>182.634155133382*(1/3.6)</f>
        <v>50.731709759272739</v>
      </c>
      <c r="D675" s="2">
        <f t="shared" si="21"/>
        <v>0</v>
      </c>
    </row>
    <row r="676" spans="1:4" x14ac:dyDescent="0.3">
      <c r="A676" s="2">
        <f>127.479632161481*(1/3.6)</f>
        <v>35.411008933744817</v>
      </c>
      <c r="B676" s="2">
        <f t="shared" si="22"/>
        <v>0</v>
      </c>
      <c r="C676" s="2">
        <f>183.38911999729*(1/3.6)</f>
        <v>50.941422221469558</v>
      </c>
      <c r="D676" s="2">
        <f t="shared" si="21"/>
        <v>0</v>
      </c>
    </row>
    <row r="677" spans="1:4" x14ac:dyDescent="0.3">
      <c r="A677" s="2">
        <f>127.476039262968*(1/3.6)</f>
        <v>35.410010906379924</v>
      </c>
      <c r="B677" s="2">
        <f t="shared" si="22"/>
        <v>0</v>
      </c>
      <c r="C677" s="2">
        <f>182.757889350231*(1/3.6)</f>
        <v>50.766080375064213</v>
      </c>
      <c r="D677" s="2">
        <f t="shared" si="21"/>
        <v>0</v>
      </c>
    </row>
    <row r="678" spans="1:4" x14ac:dyDescent="0.3">
      <c r="A678" s="2">
        <f>127.434241357005*(1/3.6)</f>
        <v>35.398400376945773</v>
      </c>
      <c r="B678" s="2">
        <f t="shared" si="22"/>
        <v>0</v>
      </c>
      <c r="C678" s="2">
        <f>182.597361158383*(1/3.6)</f>
        <v>50.721489210662064</v>
      </c>
      <c r="D678" s="2">
        <f t="shared" si="21"/>
        <v>0</v>
      </c>
    </row>
    <row r="679" spans="1:4" x14ac:dyDescent="0.3">
      <c r="A679" s="2">
        <f>127.558334792005*(1/3.6)</f>
        <v>35.432870775556893</v>
      </c>
      <c r="B679" s="2">
        <f t="shared" si="22"/>
        <v>0</v>
      </c>
      <c r="C679" s="2">
        <f>182.677863827229*(1/3.6)</f>
        <v>50.743851063119045</v>
      </c>
      <c r="D679" s="2">
        <f t="shared" si="21"/>
        <v>0</v>
      </c>
    </row>
    <row r="680" spans="1:4" x14ac:dyDescent="0.3">
      <c r="A680" s="2">
        <f>127.465260567427*(1/3.6)</f>
        <v>35.40701682428525</v>
      </c>
      <c r="B680" s="2">
        <f t="shared" si="22"/>
        <v>0</v>
      </c>
      <c r="C680" s="2">
        <f>183.176494930627*(1/3.6)</f>
        <v>50.882359702951916</v>
      </c>
      <c r="D680" s="2">
        <f t="shared" si="21"/>
        <v>0</v>
      </c>
    </row>
    <row r="681" spans="1:4" x14ac:dyDescent="0.3">
      <c r="A681" s="2">
        <f>127.343099657404*(1/3.6)</f>
        <v>35.373083238167666</v>
      </c>
      <c r="B681" s="2">
        <f t="shared" si="22"/>
        <v>0</v>
      </c>
      <c r="C681" s="2">
        <f>182.606538615954*(1/3.6)</f>
        <v>50.724038504431547</v>
      </c>
      <c r="D681" s="2">
        <f t="shared" si="21"/>
        <v>0</v>
      </c>
    </row>
    <row r="682" spans="1:4" x14ac:dyDescent="0.3">
      <c r="A682" s="2">
        <f>126.828836053433*(1/3.6)</f>
        <v>35.230232237064669</v>
      </c>
      <c r="B682" s="2">
        <f t="shared" si="22"/>
        <v>0</v>
      </c>
      <c r="C682" s="2">
        <f>181.690956165195*(1/3.6)</f>
        <v>50.469710045887631</v>
      </c>
      <c r="D682" s="2">
        <f t="shared" si="21"/>
        <v>0</v>
      </c>
    </row>
    <row r="683" spans="1:4" x14ac:dyDescent="0.3">
      <c r="A683" s="2">
        <f>126.857451375467*(1/3.6)</f>
        <v>35.238180937629586</v>
      </c>
      <c r="B683" s="2">
        <f t="shared" si="22"/>
        <v>0</v>
      </c>
      <c r="C683" s="2">
        <f>182.268580365326*(1/3.6)</f>
        <v>50.630161212590664</v>
      </c>
      <c r="D683" s="2">
        <f t="shared" si="21"/>
        <v>0</v>
      </c>
    </row>
    <row r="684" spans="1:4" x14ac:dyDescent="0.3">
      <c r="A684" s="2">
        <f>126.970863975118*(1/3.6)</f>
        <v>35.269684437532796</v>
      </c>
      <c r="B684" s="2">
        <f t="shared" si="22"/>
        <v>0</v>
      </c>
      <c r="C684" s="2">
        <f>181.996611953889*(1/3.6)</f>
        <v>50.554614431635819</v>
      </c>
      <c r="D684" s="2">
        <f t="shared" si="21"/>
        <v>0</v>
      </c>
    </row>
    <row r="685" spans="1:4" x14ac:dyDescent="0.3">
      <c r="A685" s="2">
        <f>126.888874305206*(1/3.6)</f>
        <v>35.246909529223849</v>
      </c>
      <c r="B685" s="2">
        <f t="shared" si="22"/>
        <v>0</v>
      </c>
      <c r="C685" s="2">
        <f>181.950147245631*(1/3.6)</f>
        <v>50.541707568230962</v>
      </c>
      <c r="D685" s="2">
        <f t="shared" si="21"/>
        <v>0</v>
      </c>
    </row>
    <row r="686" spans="1:4" x14ac:dyDescent="0.3">
      <c r="A686" s="2">
        <f>126.963705242337*(1/3.6)</f>
        <v>35.267695900649102</v>
      </c>
      <c r="B686" s="2">
        <f t="shared" si="22"/>
        <v>0</v>
      </c>
      <c r="C686" s="2">
        <f>182.31239960331*(1/3.6)</f>
        <v>50.642333223141584</v>
      </c>
      <c r="D686" s="2">
        <f t="shared" si="21"/>
        <v>0</v>
      </c>
    </row>
    <row r="687" spans="1:4" x14ac:dyDescent="0.3">
      <c r="A687" s="2">
        <f>126.960125875946*(1/3.6)</f>
        <v>35.266701632207258</v>
      </c>
      <c r="B687" s="2">
        <f t="shared" si="22"/>
        <v>0</v>
      </c>
      <c r="C687" s="2">
        <f>181.84439301881*(1/3.6)</f>
        <v>50.512331394114007</v>
      </c>
      <c r="D687" s="2">
        <f t="shared" si="21"/>
        <v>0</v>
      </c>
    </row>
    <row r="688" spans="1:4" x14ac:dyDescent="0.3">
      <c r="A688" s="2">
        <f>126.807385087504*(1/3.6)</f>
        <v>35.224273635417809</v>
      </c>
      <c r="B688" s="2">
        <f t="shared" si="22"/>
        <v>0</v>
      </c>
      <c r="C688" s="2">
        <f>181.440556321147*(1/3.6)</f>
        <v>50.400154533651879</v>
      </c>
      <c r="D688" s="2">
        <f t="shared" si="21"/>
        <v>0</v>
      </c>
    </row>
    <row r="689" spans="1:4" x14ac:dyDescent="0.3">
      <c r="A689" s="2">
        <f>127.006661656929*(1/3.6)</f>
        <v>35.279628238035833</v>
      </c>
      <c r="B689" s="2">
        <f t="shared" si="22"/>
        <v>0</v>
      </c>
      <c r="C689" s="2">
        <f>181.643315106557*(1/3.6)</f>
        <v>50.456476418488151</v>
      </c>
      <c r="D689" s="2">
        <f t="shared" si="21"/>
        <v>0</v>
      </c>
    </row>
    <row r="690" spans="1:4" x14ac:dyDescent="0.3">
      <c r="A690" s="2">
        <f>127.070826566689*(1/3.6)</f>
        <v>35.297451824080348</v>
      </c>
      <c r="B690" s="2">
        <f t="shared" ref="B690:B721" si="23">0*(1/3.6)</f>
        <v>0</v>
      </c>
      <c r="C690" s="2">
        <f>181.842261750591*(1/3.6)</f>
        <v>50.511739375164048</v>
      </c>
      <c r="D690" s="2">
        <f t="shared" si="21"/>
        <v>0</v>
      </c>
    </row>
    <row r="691" spans="1:4" x14ac:dyDescent="0.3">
      <c r="A691" s="2">
        <f>127.148901331396*(1/3.6)</f>
        <v>35.319139258721101</v>
      </c>
      <c r="B691" s="2">
        <f t="shared" si="23"/>
        <v>0</v>
      </c>
      <c r="C691" s="2">
        <f>182.030082559618*(1/3.6)</f>
        <v>50.563911822116218</v>
      </c>
      <c r="D691" s="2">
        <f t="shared" si="21"/>
        <v>0</v>
      </c>
    </row>
    <row r="692" spans="1:4" x14ac:dyDescent="0.3">
      <c r="A692" s="2">
        <f>129.775895834218*(1/3.6)</f>
        <v>36.048859953949318</v>
      </c>
      <c r="B692" s="2">
        <f t="shared" si="23"/>
        <v>0</v>
      </c>
      <c r="C692" s="2">
        <f>196.232615260081*(1/3.6)</f>
        <v>54.509059794467007</v>
      </c>
      <c r="D692" s="2">
        <f t="shared" si="21"/>
        <v>0</v>
      </c>
    </row>
    <row r="693" spans="1:4" x14ac:dyDescent="0.3">
      <c r="A693" s="2">
        <f>129.827106605864*(1/3.6)</f>
        <v>36.063085168295572</v>
      </c>
      <c r="B693" s="2">
        <f t="shared" si="23"/>
        <v>0</v>
      </c>
      <c r="C693" s="2">
        <f>197.036999447191*(1/3.6)</f>
        <v>54.732499846442074</v>
      </c>
      <c r="D693" s="2">
        <f t="shared" si="21"/>
        <v>0</v>
      </c>
    </row>
    <row r="694" spans="1:4" x14ac:dyDescent="0.3">
      <c r="A694" s="2">
        <f>129.823445791895*(1/3.6)</f>
        <v>36.062068275526336</v>
      </c>
      <c r="B694" s="2">
        <f t="shared" si="23"/>
        <v>0</v>
      </c>
      <c r="C694" s="2">
        <f>196.487335246911*(1/3.6)</f>
        <v>54.5798153463641</v>
      </c>
      <c r="D694" s="2">
        <f t="shared" si="21"/>
        <v>0</v>
      </c>
    </row>
    <row r="695" spans="1:4" x14ac:dyDescent="0.3">
      <c r="A695" s="2">
        <f>129.819784977926*(1/3.6)</f>
        <v>36.061051382757093</v>
      </c>
      <c r="B695" s="2">
        <f t="shared" si="23"/>
        <v>0</v>
      </c>
      <c r="C695" s="2">
        <f>195.99610056485*(1/3.6)</f>
        <v>54.443361268013767</v>
      </c>
      <c r="D695" s="2">
        <f t="shared" si="21"/>
        <v>0</v>
      </c>
    </row>
    <row r="696" spans="1:4" x14ac:dyDescent="0.3">
      <c r="A696" s="2">
        <f>129.816124163956*(1/3.6)</f>
        <v>36.060034489987856</v>
      </c>
      <c r="B696" s="2">
        <f t="shared" si="23"/>
        <v>0</v>
      </c>
      <c r="C696" s="2">
        <f>200.307643647614*(1/3.6)</f>
        <v>55.641012124337344</v>
      </c>
      <c r="D696" s="2">
        <f t="shared" si="21"/>
        <v>0</v>
      </c>
    </row>
    <row r="697" spans="1:4" x14ac:dyDescent="0.3">
      <c r="A697" s="2">
        <f>129.714693070316*(1/3.6)</f>
        <v>36.031859186198908</v>
      </c>
      <c r="B697" s="2">
        <f t="shared" si="23"/>
        <v>0</v>
      </c>
      <c r="C697" s="2">
        <f>198.138298352503*(1/3.6)</f>
        <v>55.038416209028561</v>
      </c>
      <c r="D697" s="2">
        <f t="shared" si="21"/>
        <v>0</v>
      </c>
    </row>
    <row r="698" spans="1:4" x14ac:dyDescent="0.3">
      <c r="A698" s="2">
        <f>129.711035013546*(1/3.6)</f>
        <v>36.0308430593183</v>
      </c>
      <c r="B698" s="2">
        <f t="shared" si="23"/>
        <v>0</v>
      </c>
      <c r="C698" s="2">
        <f>197.921462795434*(1/3.6)</f>
        <v>54.978184109842843</v>
      </c>
      <c r="D698" s="2">
        <f t="shared" si="21"/>
        <v>0</v>
      </c>
    </row>
    <row r="699" spans="1:4" x14ac:dyDescent="0.3">
      <c r="A699" s="2">
        <f>129.707376956776*(1/3.6)</f>
        <v>36.0298269324377</v>
      </c>
      <c r="B699" s="2">
        <f t="shared" si="23"/>
        <v>0</v>
      </c>
      <c r="C699" s="2">
        <f>200.595428125793*(1/3.6)</f>
        <v>55.720952257164726</v>
      </c>
      <c r="D699" s="2">
        <f t="shared" si="21"/>
        <v>0</v>
      </c>
    </row>
    <row r="700" spans="1:4" x14ac:dyDescent="0.3">
      <c r="A700" s="2">
        <f>129.789313919882*(1/3.6)</f>
        <v>36.052587199967121</v>
      </c>
      <c r="B700" s="2">
        <f t="shared" si="23"/>
        <v>0</v>
      </c>
      <c r="C700" s="2">
        <f>200.739906302742*(1/3.6)</f>
        <v>55.761085084094951</v>
      </c>
      <c r="D700" s="2">
        <f t="shared" si="21"/>
        <v>0</v>
      </c>
    </row>
    <row r="701" spans="1:4" x14ac:dyDescent="0.3">
      <c r="A701" s="2">
        <f>129.704201760485*(1/3.6)</f>
        <v>36.028944933468061</v>
      </c>
      <c r="B701" s="2">
        <f t="shared" si="23"/>
        <v>0</v>
      </c>
      <c r="C701" s="2">
        <f>200.833066487143*(1/3.6)</f>
        <v>55.786962913095238</v>
      </c>
      <c r="D701" s="2">
        <f t="shared" si="21"/>
        <v>0</v>
      </c>
    </row>
    <row r="702" spans="1:4" x14ac:dyDescent="0.3">
      <c r="A702" s="2">
        <f>126.509230199481*(1/3.6)</f>
        <v>35.141452833189135</v>
      </c>
      <c r="B702" s="2">
        <f t="shared" si="23"/>
        <v>0</v>
      </c>
      <c r="C702" s="2">
        <f>177.937089896234*(1/3.6)</f>
        <v>49.426969415620441</v>
      </c>
      <c r="D702" s="2">
        <f t="shared" si="21"/>
        <v>0</v>
      </c>
    </row>
    <row r="703" spans="1:4" x14ac:dyDescent="0.3">
      <c r="A703" s="2">
        <f>126.387456057592*(1/3.6)</f>
        <v>35.107626682664559</v>
      </c>
      <c r="B703" s="2">
        <f t="shared" si="23"/>
        <v>0</v>
      </c>
      <c r="C703" s="2">
        <f>177.626690661556*(1/3.6)</f>
        <v>49.340747405987663</v>
      </c>
      <c r="D703" s="2">
        <f t="shared" si="21"/>
        <v>0</v>
      </c>
    </row>
    <row r="704" spans="1:4" x14ac:dyDescent="0.3">
      <c r="A704" s="2">
        <f>126.53437745867*(1/3.6)</f>
        <v>35.148438182963979</v>
      </c>
      <c r="B704" s="2">
        <f t="shared" si="23"/>
        <v>0</v>
      </c>
      <c r="C704" s="2">
        <f>178.604388382672*(1/3.6)</f>
        <v>49.612330106297875</v>
      </c>
      <c r="D704" s="2">
        <f t="shared" si="21"/>
        <v>0</v>
      </c>
    </row>
    <row r="705" spans="1:4" x14ac:dyDescent="0.3">
      <c r="A705" s="2">
        <f>126.537357340331*(1/3.6)</f>
        <v>35.149265927869855</v>
      </c>
      <c r="B705" s="2">
        <f t="shared" si="23"/>
        <v>0</v>
      </c>
      <c r="C705" s="2">
        <f>178.662392073306*(1/3.6)</f>
        <v>49.628442242584924</v>
      </c>
      <c r="D705" s="2">
        <f t="shared" si="21"/>
        <v>0</v>
      </c>
    </row>
    <row r="706" spans="1:4" x14ac:dyDescent="0.3">
      <c r="A706" s="2">
        <f>126.619485724931*(1/3.6)</f>
        <v>35.1720793680364</v>
      </c>
      <c r="B706" s="2">
        <f t="shared" si="23"/>
        <v>0</v>
      </c>
      <c r="C706" s="2">
        <f>178.29567949484*(1/3.6)</f>
        <v>49.526577637455588</v>
      </c>
      <c r="D706" s="2">
        <f t="shared" ref="D706:D769" si="24">0*(1/3.6)</f>
        <v>0</v>
      </c>
    </row>
    <row r="707" spans="1:4" x14ac:dyDescent="0.3">
      <c r="A707" s="2">
        <f>126.888538548133*(1/3.6)</f>
        <v>35.246816263370377</v>
      </c>
      <c r="B707" s="2">
        <f t="shared" si="23"/>
        <v>0</v>
      </c>
      <c r="C707" s="2">
        <f>179.509303819344*(1/3.6)</f>
        <v>49.863695505373322</v>
      </c>
      <c r="D707" s="2">
        <f t="shared" si="24"/>
        <v>0</v>
      </c>
    </row>
    <row r="708" spans="1:4" x14ac:dyDescent="0.3">
      <c r="A708" s="2">
        <f>127.002037599184*(1/3.6)</f>
        <v>35.278343777551171</v>
      </c>
      <c r="B708" s="2">
        <f t="shared" si="23"/>
        <v>0</v>
      </c>
      <c r="C708" s="2">
        <f>179.659577340359*(1/3.6)</f>
        <v>49.905438150099606</v>
      </c>
      <c r="D708" s="2">
        <f t="shared" si="24"/>
        <v>0</v>
      </c>
    </row>
    <row r="709" spans="1:4" x14ac:dyDescent="0.3">
      <c r="A709" s="2">
        <f>127.002753549384*(1/3.6)</f>
        <v>35.278542652606646</v>
      </c>
      <c r="B709" s="2">
        <f t="shared" si="23"/>
        <v>0</v>
      </c>
      <c r="C709" s="2">
        <f>179.965051797221*(1/3.6)</f>
        <v>49.990292165894623</v>
      </c>
      <c r="D709" s="2">
        <f t="shared" si="24"/>
        <v>0</v>
      </c>
    </row>
    <row r="710" spans="1:4" x14ac:dyDescent="0.3">
      <c r="A710" s="2">
        <f>127.019412784481*(1/3.6)</f>
        <v>35.283170217911291</v>
      </c>
      <c r="B710" s="2">
        <f t="shared" si="23"/>
        <v>0</v>
      </c>
      <c r="C710" s="2">
        <f>180.299442259212*(1/3.6)</f>
        <v>50.083178405336774</v>
      </c>
      <c r="D710" s="2">
        <f t="shared" si="24"/>
        <v>0</v>
      </c>
    </row>
    <row r="711" spans="1:4" x14ac:dyDescent="0.3">
      <c r="A711" s="2">
        <f>127.07122372327*(1/3.6)</f>
        <v>35.297562145352828</v>
      </c>
      <c r="B711" s="2">
        <f t="shared" si="23"/>
        <v>0</v>
      </c>
      <c r="C711" s="2">
        <f>180.333385880105*(1/3.6)</f>
        <v>50.092607188918166</v>
      </c>
      <c r="D711" s="2">
        <f t="shared" si="24"/>
        <v>0</v>
      </c>
    </row>
    <row r="712" spans="1:4" x14ac:dyDescent="0.3">
      <c r="A712" s="2">
        <f>127.112397456928*(1/3.6)</f>
        <v>35.308999293591128</v>
      </c>
      <c r="B712" s="2">
        <f t="shared" si="23"/>
        <v>0</v>
      </c>
      <c r="C712" s="2">
        <f>180.743106258798*(1/3.6)</f>
        <v>50.206418405221633</v>
      </c>
      <c r="D712" s="2">
        <f t="shared" si="24"/>
        <v>0</v>
      </c>
    </row>
    <row r="713" spans="1:4" x14ac:dyDescent="0.3">
      <c r="A713" s="2">
        <f>127.108811269949*(1/3.6)</f>
        <v>35.308003130541508</v>
      </c>
      <c r="B713" s="2">
        <f t="shared" si="23"/>
        <v>0</v>
      </c>
      <c r="C713" s="2">
        <f>180.396052714603*(1/3.6)</f>
        <v>50.110014642945146</v>
      </c>
      <c r="D713" s="2">
        <f t="shared" si="24"/>
        <v>0</v>
      </c>
    </row>
    <row r="714" spans="1:4" x14ac:dyDescent="0.3">
      <c r="A714" s="2">
        <f>127.150375813884*(1/3.6)</f>
        <v>35.319548837189963</v>
      </c>
      <c r="B714" s="2">
        <f t="shared" si="23"/>
        <v>0</v>
      </c>
      <c r="C714" s="2">
        <f>180.711101837619*(1/3.6)</f>
        <v>50.197528288227602</v>
      </c>
      <c r="D714" s="2">
        <f t="shared" si="24"/>
        <v>0</v>
      </c>
    </row>
    <row r="715" spans="1:4" x14ac:dyDescent="0.3">
      <c r="A715" s="2">
        <f>127.179470460646*(1/3.6)</f>
        <v>35.327630683512901</v>
      </c>
      <c r="B715" s="2">
        <f t="shared" si="23"/>
        <v>0</v>
      </c>
      <c r="C715" s="2">
        <f>180.258788433223*(1/3.6)</f>
        <v>50.071885675895238</v>
      </c>
      <c r="D715" s="2">
        <f t="shared" si="24"/>
        <v>0</v>
      </c>
    </row>
    <row r="716" spans="1:4" x14ac:dyDescent="0.3">
      <c r="A716" s="2">
        <f>135.494476959582*(1/3.6)</f>
        <v>37.637354710994884</v>
      </c>
      <c r="B716" s="2">
        <f t="shared" si="23"/>
        <v>0</v>
      </c>
      <c r="C716" s="2">
        <f>165.964605443223*(1/3.6)</f>
        <v>46.101279289784109</v>
      </c>
      <c r="D716" s="2">
        <f t="shared" si="24"/>
        <v>0</v>
      </c>
    </row>
    <row r="717" spans="1:4" x14ac:dyDescent="0.3">
      <c r="A717" s="2">
        <f>135.490653859868*(1/3.6)</f>
        <v>37.636292738852141</v>
      </c>
      <c r="B717" s="2">
        <f t="shared" si="23"/>
        <v>0</v>
      </c>
      <c r="C717" s="2">
        <f>165.936771711495*(1/3.6)</f>
        <v>46.09354769763754</v>
      </c>
      <c r="D717" s="2">
        <f t="shared" si="24"/>
        <v>0</v>
      </c>
    </row>
    <row r="718" spans="1:4" x14ac:dyDescent="0.3">
      <c r="A718" s="2">
        <f>135.486830760154*(1/3.6)</f>
        <v>37.635230766709398</v>
      </c>
      <c r="B718" s="2">
        <f t="shared" si="23"/>
        <v>0</v>
      </c>
      <c r="C718" s="2">
        <f>165.867265498681*(1/3.6)</f>
        <v>46.074240416300363</v>
      </c>
      <c r="D718" s="2">
        <f t="shared" si="24"/>
        <v>0</v>
      </c>
    </row>
    <row r="719" spans="1:4" x14ac:dyDescent="0.3">
      <c r="A719" s="2">
        <f>135.48300766044*(1/3.6)</f>
        <v>37.634168794566648</v>
      </c>
      <c r="B719" s="2">
        <f t="shared" si="23"/>
        <v>0</v>
      </c>
      <c r="C719" s="2">
        <f>165.742560131727*(1/3.6)</f>
        <v>46.039600036590748</v>
      </c>
      <c r="D719" s="2">
        <f t="shared" si="24"/>
        <v>0</v>
      </c>
    </row>
    <row r="720" spans="1:4" x14ac:dyDescent="0.3">
      <c r="A720" s="2">
        <f>135.48061563308*(1/3.6)</f>
        <v>37.633504342522322</v>
      </c>
      <c r="B720" s="2">
        <f t="shared" si="23"/>
        <v>0</v>
      </c>
      <c r="C720" s="2">
        <f>166.094200298012*(1/3.6)</f>
        <v>46.137277860558932</v>
      </c>
      <c r="D720" s="2">
        <f t="shared" si="24"/>
        <v>0</v>
      </c>
    </row>
    <row r="721" spans="1:4" x14ac:dyDescent="0.3">
      <c r="A721" s="2">
        <f>120.07138130736*(1/3.6)</f>
        <v>33.353161474266685</v>
      </c>
      <c r="B721" s="2">
        <f t="shared" si="23"/>
        <v>0</v>
      </c>
      <c r="C721" s="2">
        <f>166.36772046299*(1/3.6)</f>
        <v>46.21325568416399</v>
      </c>
      <c r="D721" s="2">
        <f t="shared" si="24"/>
        <v>0</v>
      </c>
    </row>
    <row r="722" spans="1:4" x14ac:dyDescent="0.3">
      <c r="A722" s="2">
        <f>119.953924746702*(1/3.6)</f>
        <v>33.320534651861529</v>
      </c>
      <c r="B722" s="2">
        <f>254.08890288449*(1/3.6)</f>
        <v>70.580250801247246</v>
      </c>
      <c r="C722" s="2">
        <f>166.57918033506*(1/3.6)</f>
        <v>46.271994537516761</v>
      </c>
      <c r="D722" s="2">
        <f t="shared" si="24"/>
        <v>0</v>
      </c>
    </row>
    <row r="723" spans="1:4" x14ac:dyDescent="0.3">
      <c r="A723" s="2">
        <f>120.46277372813*(1/3.6)</f>
        <v>33.461881591147112</v>
      </c>
      <c r="B723" s="2">
        <f>256.622085542732*(1/3.6)</f>
        <v>71.283912650758793</v>
      </c>
      <c r="C723" s="2">
        <f>167.579621613302*(1/3.6)</f>
        <v>46.5498948925839</v>
      </c>
      <c r="D723" s="2">
        <f t="shared" si="24"/>
        <v>0</v>
      </c>
    </row>
    <row r="724" spans="1:4" x14ac:dyDescent="0.3">
      <c r="A724" s="2">
        <f>120.421434469362*(1/3.6)</f>
        <v>33.450398463711714</v>
      </c>
      <c r="B724" s="2">
        <f>257.343997142616*(1/3.6)</f>
        <v>71.484443650726604</v>
      </c>
      <c r="C724" s="2">
        <f>166.914633024404*(1/3.6)</f>
        <v>46.36517584011218</v>
      </c>
      <c r="D724" s="2">
        <f t="shared" si="24"/>
        <v>0</v>
      </c>
    </row>
    <row r="725" spans="1:4" x14ac:dyDescent="0.3">
      <c r="A725" s="2">
        <f>120.286435591632*(1/3.6)</f>
        <v>33.412898775453257</v>
      </c>
      <c r="B725" s="2">
        <f>254.351455272961*(1/3.6)</f>
        <v>70.653182020266826</v>
      </c>
      <c r="C725" s="2">
        <f>167.256895182984*(1/3.6)</f>
        <v>46.460248661939922</v>
      </c>
      <c r="D725" s="2">
        <f t="shared" si="24"/>
        <v>0</v>
      </c>
    </row>
    <row r="726" spans="1:4" x14ac:dyDescent="0.3">
      <c r="A726" s="2">
        <f>119.813235817559*(1/3.6)</f>
        <v>33.281454393766481</v>
      </c>
      <c r="B726" s="2">
        <f>255.306682469004*(1/3.6)</f>
        <v>70.918522908056772</v>
      </c>
      <c r="C726" s="2">
        <f>165.801609222913*(1/3.6)</f>
        <v>46.056002561920245</v>
      </c>
      <c r="D726" s="2">
        <f t="shared" si="24"/>
        <v>0</v>
      </c>
    </row>
    <row r="727" spans="1:4" x14ac:dyDescent="0.3">
      <c r="A727" s="2">
        <f>120.16345953273*(1/3.6)</f>
        <v>33.378738759091746</v>
      </c>
      <c r="B727" s="2">
        <f>251.710120944231*(1/3.6)</f>
        <v>69.919478040064035</v>
      </c>
      <c r="C727" s="2">
        <f>166.31187012906*(1/3.6)</f>
        <v>46.197741702516559</v>
      </c>
      <c r="D727" s="2">
        <f t="shared" si="24"/>
        <v>0</v>
      </c>
    </row>
    <row r="728" spans="1:4" x14ac:dyDescent="0.3">
      <c r="A728" s="2">
        <f>120.274409257792*(1/3.6)</f>
        <v>33.409558127164473</v>
      </c>
      <c r="B728" s="2">
        <f>255.701475074185*(1/3.6)</f>
        <v>71.028187520606949</v>
      </c>
      <c r="C728" s="2">
        <f>166.345428915407*(1/3.6)</f>
        <v>46.20706358761295</v>
      </c>
      <c r="D728" s="2">
        <f t="shared" si="24"/>
        <v>0</v>
      </c>
    </row>
    <row r="729" spans="1:4" x14ac:dyDescent="0.3">
      <c r="A729" s="2">
        <f>120.273399793376*(1/3.6)</f>
        <v>33.409277720382178</v>
      </c>
      <c r="B729" s="2">
        <f>256.301982147367*(1/3.6)</f>
        <v>71.194995040935368</v>
      </c>
      <c r="C729" s="2">
        <f>166.98488870275*(1/3.6)</f>
        <v>46.384691306319361</v>
      </c>
      <c r="D729" s="2">
        <f t="shared" si="24"/>
        <v>0</v>
      </c>
    </row>
    <row r="730" spans="1:4" x14ac:dyDescent="0.3">
      <c r="A730" s="2">
        <f>120.183786670586*(1/3.6)</f>
        <v>33.384385186273839</v>
      </c>
      <c r="B730" s="2">
        <f>256.258766563839*(1/3.6)</f>
        <v>71.182990712177457</v>
      </c>
      <c r="C730" s="2">
        <f>166.267049132763*(1/3.6)</f>
        <v>46.185291425767375</v>
      </c>
      <c r="D730" s="2">
        <f t="shared" si="24"/>
        <v>0</v>
      </c>
    </row>
    <row r="731" spans="1:4" x14ac:dyDescent="0.3">
      <c r="A731" s="2">
        <f>120.207250509397*(1/3.6)</f>
        <v>33.390902919276918</v>
      </c>
      <c r="B731" s="2">
        <f>253.344640182319*(1/3.6)</f>
        <v>70.37351116175536</v>
      </c>
      <c r="C731" s="2">
        <f>165.879122165008*(1/3.6)</f>
        <v>46.07753393472445</v>
      </c>
      <c r="D731" s="2">
        <f t="shared" si="24"/>
        <v>0</v>
      </c>
    </row>
    <row r="732" spans="1:4" x14ac:dyDescent="0.3">
      <c r="A732" s="2">
        <f>119.801851700309*(1/3.6)</f>
        <v>33.278292138974777</v>
      </c>
      <c r="B732" s="2">
        <f>251.772099705284*(1/3.6)</f>
        <v>69.936694362578947</v>
      </c>
      <c r="C732" s="2">
        <f>166.522123599302*(1/3.6)</f>
        <v>46.256145444250656</v>
      </c>
      <c r="D732" s="2">
        <f t="shared" si="24"/>
        <v>0</v>
      </c>
    </row>
    <row r="733" spans="1:4" x14ac:dyDescent="0.3">
      <c r="A733" s="2">
        <f>120.259276766707*(1/3.6)</f>
        <v>33.405354657418613</v>
      </c>
      <c r="B733" s="2">
        <f>254.153563951269*(1/3.6)</f>
        <v>70.59821220868578</v>
      </c>
      <c r="C733" s="2">
        <f>167.03072971278*(1/3.6)</f>
        <v>46.397424920216771</v>
      </c>
      <c r="D733" s="2">
        <f t="shared" si="24"/>
        <v>0</v>
      </c>
    </row>
    <row r="734" spans="1:4" x14ac:dyDescent="0.3">
      <c r="A734" s="2">
        <f>120.255881913591*(1/3.6)</f>
        <v>33.404411642664279</v>
      </c>
      <c r="B734" s="2">
        <f>253.042679425377*(1/3.6)</f>
        <v>70.289633173715771</v>
      </c>
      <c r="C734" s="2">
        <f>167.150243692833*(1/3.6)</f>
        <v>46.43062324800907</v>
      </c>
      <c r="D734" s="2">
        <f t="shared" si="24"/>
        <v>0</v>
      </c>
    </row>
    <row r="735" spans="1:4" x14ac:dyDescent="0.3">
      <c r="A735" s="2">
        <f>120.081804859046*(1/3.6)</f>
        <v>33.356056905290551</v>
      </c>
      <c r="B735" s="2">
        <f>252.93577647318*(1/3.6)</f>
        <v>70.259937909216575</v>
      </c>
      <c r="C735" s="2">
        <f>166.689949246695*(1/3.6)</f>
        <v>46.3027636796376</v>
      </c>
      <c r="D735" s="2">
        <f t="shared" si="24"/>
        <v>0</v>
      </c>
    </row>
    <row r="736" spans="1:4" x14ac:dyDescent="0.3">
      <c r="A736" s="2">
        <f>120.078414824467*(1/3.6)</f>
        <v>33.355115229018587</v>
      </c>
      <c r="B736" s="2">
        <f>252.201736354951*(1/3.6)</f>
        <v>70.056037876375214</v>
      </c>
      <c r="C736" s="2">
        <f>165.981532269091*(1/3.6)</f>
        <v>46.105981185858717</v>
      </c>
      <c r="D736" s="2">
        <f t="shared" si="24"/>
        <v>0</v>
      </c>
    </row>
    <row r="737" spans="1:4" x14ac:dyDescent="0.3">
      <c r="A737" s="2">
        <f>120.245697354245*(1/3.6)</f>
        <v>33.401582598401284</v>
      </c>
      <c r="B737" s="2">
        <f>251.48330233804*(1/3.6)</f>
        <v>69.856472871677667</v>
      </c>
      <c r="C737" s="2">
        <f>166.591636094677*(1/3.6)</f>
        <v>46.275454470743689</v>
      </c>
      <c r="D737" s="2">
        <f t="shared" si="24"/>
        <v>0</v>
      </c>
    </row>
    <row r="738" spans="1:4" x14ac:dyDescent="0.3">
      <c r="A738" s="2">
        <f>120.652458837641*(1/3.6)</f>
        <v>33.514571899344737</v>
      </c>
      <c r="B738" s="2">
        <f>253.809401299834*(1/3.6)</f>
        <v>70.502611472176028</v>
      </c>
      <c r="C738" s="2">
        <f>166.960384012924*(1/3.6)</f>
        <v>46.377884448034486</v>
      </c>
      <c r="D738" s="2">
        <f t="shared" si="24"/>
        <v>0</v>
      </c>
    </row>
    <row r="739" spans="1:4" x14ac:dyDescent="0.3">
      <c r="A739" s="2">
        <f>120.17187618238*(1/3.6)</f>
        <v>33.381076717327652</v>
      </c>
      <c r="B739" s="2">
        <f>254.602211696849*(1/3.6)</f>
        <v>70.722836582458143</v>
      </c>
      <c r="C739" s="2">
        <f>166.116977552814*(1/3.6)</f>
        <v>46.143604875781534</v>
      </c>
      <c r="D739" s="2">
        <f t="shared" si="24"/>
        <v>0</v>
      </c>
    </row>
    <row r="740" spans="1:4" x14ac:dyDescent="0.3">
      <c r="A740" s="2">
        <f>120.176830362964*(1/3.6)</f>
        <v>33.382452878601036</v>
      </c>
      <c r="B740" s="2">
        <f>256.16954284694*(1/3.6)</f>
        <v>71.158206346372154</v>
      </c>
      <c r="C740" s="2">
        <f>166.75688452432*(1/3.6)</f>
        <v>46.321356812311016</v>
      </c>
      <c r="D740" s="2">
        <f t="shared" si="24"/>
        <v>0</v>
      </c>
    </row>
    <row r="741" spans="1:4" x14ac:dyDescent="0.3">
      <c r="A741" s="2">
        <f>120.070513314117*(1/3.6)</f>
        <v>33.352920365032588</v>
      </c>
      <c r="B741" s="2">
        <f>251.390536399053*(1/3.6)</f>
        <v>69.83070455529257</v>
      </c>
      <c r="C741" s="2">
        <f>166.395009790641*(1/3.6)</f>
        <v>46.220836052955853</v>
      </c>
      <c r="D741" s="2">
        <f t="shared" si="24"/>
        <v>0</v>
      </c>
    </row>
    <row r="742" spans="1:4" x14ac:dyDescent="0.3">
      <c r="A742" s="2">
        <f>120.398180605681*(1/3.6)</f>
        <v>33.443939057133683</v>
      </c>
      <c r="B742" s="2">
        <f>250.595206515642*(1/3.6)</f>
        <v>69.609779587678219</v>
      </c>
      <c r="C742" s="2">
        <f>167.310101025964*(1/3.6)</f>
        <v>46.475028062767862</v>
      </c>
      <c r="D742" s="2">
        <f t="shared" si="24"/>
        <v>0</v>
      </c>
    </row>
    <row r="743" spans="1:4" x14ac:dyDescent="0.3">
      <c r="A743" s="2">
        <f>120.394780967658*(1/3.6)</f>
        <v>33.442994713238235</v>
      </c>
      <c r="B743" s="2">
        <f>252.949570282554*(1/3.6)</f>
        <v>70.263769522931568</v>
      </c>
      <c r="C743" s="2">
        <f>166.919749327485*(1/3.6)</f>
        <v>46.366597035412553</v>
      </c>
      <c r="D743" s="2">
        <f t="shared" si="24"/>
        <v>0</v>
      </c>
    </row>
    <row r="744" spans="1:4" x14ac:dyDescent="0.3">
      <c r="A744" s="2">
        <f>120.221933382435*(1/3.6)</f>
        <v>33.394981495120966</v>
      </c>
      <c r="B744" s="2">
        <f>250.149232220577*(1/3.6)</f>
        <v>69.485897839049102</v>
      </c>
      <c r="C744" s="2">
        <f>167.176634986319*(1/3.6)</f>
        <v>46.437954162866468</v>
      </c>
      <c r="D744" s="2">
        <f t="shared" si="24"/>
        <v>0</v>
      </c>
    </row>
    <row r="745" spans="1:4" x14ac:dyDescent="0.3">
      <c r="A745" s="2">
        <f>120.629020774096*(1/3.6)</f>
        <v>33.508061326137771</v>
      </c>
      <c r="B745" s="2">
        <f>252.222477434218*(1/3.6)</f>
        <v>70.061799287282753</v>
      </c>
      <c r="C745" s="2">
        <f>166.821168758966*(1/3.6)</f>
        <v>46.339213544157197</v>
      </c>
      <c r="D745" s="2">
        <f t="shared" si="24"/>
        <v>0</v>
      </c>
    </row>
    <row r="746" spans="1:4" x14ac:dyDescent="0.3">
      <c r="A746" s="2">
        <f>120.384582053587*(1/3.6)</f>
        <v>33.440161681551906</v>
      </c>
      <c r="B746" s="2">
        <f>252.49756814364*(1/3.6)</f>
        <v>70.138213373233199</v>
      </c>
      <c r="C746" s="2">
        <f>166.773829064313*(1/3.6)</f>
        <v>46.326063628975739</v>
      </c>
      <c r="D746" s="2">
        <f t="shared" si="24"/>
        <v>0</v>
      </c>
    </row>
    <row r="747" spans="1:4" x14ac:dyDescent="0.3">
      <c r="A747" s="2">
        <f>120.446245939364*(1/3.6)</f>
        <v>33.457290538712101</v>
      </c>
      <c r="B747" s="2">
        <f>252.570897177538*(1/3.6)</f>
        <v>70.15858254931608</v>
      </c>
      <c r="C747" s="2">
        <f>166.519573346313*(1/3.6)</f>
        <v>46.255437040642555</v>
      </c>
      <c r="D747" s="2">
        <f t="shared" si="24"/>
        <v>0</v>
      </c>
    </row>
    <row r="748" spans="1:4" x14ac:dyDescent="0.3">
      <c r="A748" s="2">
        <f>120.618801439906*(1/3.6)</f>
        <v>33.505222622196214</v>
      </c>
      <c r="B748" s="2">
        <f>251.783597198725*(1/3.6)</f>
        <v>69.939888110757053</v>
      </c>
      <c r="C748" s="2">
        <f>166.841401233476*(1/3.6)</f>
        <v>46.344833675965624</v>
      </c>
      <c r="D748" s="2">
        <f t="shared" si="24"/>
        <v>0</v>
      </c>
    </row>
    <row r="749" spans="1:4" x14ac:dyDescent="0.3">
      <c r="A749" s="2">
        <f>120.740467585814*(1/3.6)</f>
        <v>33.539018773837242</v>
      </c>
      <c r="B749" s="2">
        <f>211.595199693468*(1/3.6)</f>
        <v>58.776444359296676</v>
      </c>
      <c r="C749" s="2">
        <f>166.777957568096*(1/3.6)</f>
        <v>46.327210435582224</v>
      </c>
      <c r="D749" s="2">
        <f t="shared" si="24"/>
        <v>0</v>
      </c>
    </row>
    <row r="750" spans="1:4" x14ac:dyDescent="0.3">
      <c r="A750" s="2">
        <f>120.703163546577*(1/3.6)</f>
        <v>33.528656540715822</v>
      </c>
      <c r="B750" s="2">
        <f>251.188384887724*(1/3.6)</f>
        <v>69.774551357701029</v>
      </c>
      <c r="C750" s="2">
        <f>167.438187979563*(1/3.6)</f>
        <v>46.51060777210094</v>
      </c>
      <c r="D750" s="2">
        <f t="shared" si="24"/>
        <v>0</v>
      </c>
    </row>
    <row r="751" spans="1:4" x14ac:dyDescent="0.3">
      <c r="A751" s="2">
        <f>120.940477302719*(1/3.6)</f>
        <v>33.594577028532925</v>
      </c>
      <c r="B751" s="2">
        <f>250.219423255606*(1/3.6)</f>
        <v>69.505395348779558</v>
      </c>
      <c r="C751" s="2">
        <f>167.355111112573*(1/3.6)</f>
        <v>46.487530864603556</v>
      </c>
      <c r="D751" s="2">
        <f t="shared" si="24"/>
        <v>0</v>
      </c>
    </row>
    <row r="752" spans="1:4" x14ac:dyDescent="0.3">
      <c r="A752" s="2">
        <f>120.365707146142*(1/3.6)</f>
        <v>33.434918651706234</v>
      </c>
      <c r="B752" s="2">
        <f>255.513540176024*(1/3.6)</f>
        <v>70.975983382228833</v>
      </c>
      <c r="C752" s="2">
        <f>166.228394643689*(1/3.6)</f>
        <v>46.174554067691453</v>
      </c>
      <c r="D752" s="2">
        <f t="shared" si="24"/>
        <v>0</v>
      </c>
    </row>
    <row r="753" spans="1:4" x14ac:dyDescent="0.3">
      <c r="A753" s="2">
        <f>120.483952680584*(1/3.6)</f>
        <v>33.46776463349552</v>
      </c>
      <c r="B753" s="2">
        <f>250.783369870716*(1/3.6)</f>
        <v>69.662047186309962</v>
      </c>
      <c r="C753" s="2">
        <f>166.346049004734*(1/3.6)</f>
        <v>46.207235834648422</v>
      </c>
      <c r="D753" s="2">
        <f t="shared" si="24"/>
        <v>0</v>
      </c>
    </row>
    <row r="754" spans="1:4" x14ac:dyDescent="0.3">
      <c r="A754" s="2">
        <f>120.382504862645*(1/3.6)</f>
        <v>33.439584684068151</v>
      </c>
      <c r="B754" s="2">
        <f>249.583732403737*(1/3.6)</f>
        <v>69.328814556593699</v>
      </c>
      <c r="C754" s="2">
        <f>166.403626850653*(1/3.6)</f>
        <v>46.223229680736871</v>
      </c>
      <c r="D754" s="2">
        <f t="shared" si="24"/>
        <v>0</v>
      </c>
    </row>
    <row r="755" spans="1:4" x14ac:dyDescent="0.3">
      <c r="A755" s="2">
        <f>120.594956326797*(1/3.6)</f>
        <v>33.498598979665914</v>
      </c>
      <c r="B755" s="2">
        <f>248.648322275264*(1/3.6)</f>
        <v>69.06897840979569</v>
      </c>
      <c r="C755" s="2">
        <f>166.940841569465*(1/3.6)</f>
        <v>46.372455991518024</v>
      </c>
      <c r="D755" s="2">
        <f t="shared" si="24"/>
        <v>0</v>
      </c>
    </row>
    <row r="756" spans="1:4" x14ac:dyDescent="0.3">
      <c r="A756" s="2">
        <f>119.665835356767*(1/3.6)</f>
        <v>33.24050982132426</v>
      </c>
      <c r="B756" s="2">
        <f>249.267274911284*(1/3.6)</f>
        <v>69.240909697578857</v>
      </c>
      <c r="C756" s="2">
        <f>164.974719083261*(1/3.6)</f>
        <v>45.826310856461347</v>
      </c>
      <c r="D756" s="2">
        <f t="shared" si="24"/>
        <v>0</v>
      </c>
    </row>
    <row r="757" spans="1:4" x14ac:dyDescent="0.3">
      <c r="A757" s="2">
        <f>120.588143437338*(1/3.6)</f>
        <v>33.496706510371546</v>
      </c>
      <c r="B757" s="2">
        <f>252.028144654535*(1/3.6)</f>
        <v>70.007817959593112</v>
      </c>
      <c r="C757" s="2">
        <f>166.842202141317*(1/3.6)</f>
        <v>46.345056150365814</v>
      </c>
      <c r="D757" s="2">
        <f t="shared" si="24"/>
        <v>0</v>
      </c>
    </row>
    <row r="758" spans="1:4" x14ac:dyDescent="0.3">
      <c r="A758" s="2">
        <f>120.80058019083*(1/3.6)</f>
        <v>33.555716719675111</v>
      </c>
      <c r="B758" s="2">
        <f>247.690301777468*(1/3.6)</f>
        <v>68.802861604852325</v>
      </c>
      <c r="C758" s="2">
        <f>167.06909673924*(1/3.6)</f>
        <v>46.408082427566669</v>
      </c>
      <c r="D758" s="2">
        <f t="shared" si="24"/>
        <v>0</v>
      </c>
    </row>
    <row r="759" spans="1:4" x14ac:dyDescent="0.3">
      <c r="A759" s="2">
        <f>120.584573867163*(1/3.6)</f>
        <v>33.495714963100887</v>
      </c>
      <c r="B759" s="2">
        <f>249.294623299821*(1/3.6)</f>
        <v>69.248506472172394</v>
      </c>
      <c r="C759" s="2">
        <f>167.649062179973*(1/3.6)</f>
        <v>46.569183938881501</v>
      </c>
      <c r="D759" s="2">
        <f t="shared" si="24"/>
        <v>0</v>
      </c>
    </row>
    <row r="760" spans="1:4" x14ac:dyDescent="0.3">
      <c r="A760" s="2">
        <f>120.822410478382*(1/3.6)</f>
        <v>33.561780688439455</v>
      </c>
      <c r="B760" s="2">
        <f>248.225342746914*(1/3.6)</f>
        <v>68.95148409636495</v>
      </c>
      <c r="C760" s="2">
        <f>167.099149022763*(1/3.6)</f>
        <v>46.416430284100819</v>
      </c>
      <c r="D760" s="2">
        <f t="shared" si="24"/>
        <v>0</v>
      </c>
    </row>
    <row r="761" spans="1:4" x14ac:dyDescent="0.3">
      <c r="A761" s="2">
        <f>120.741004322852*(1/3.6)</f>
        <v>33.539167867458772</v>
      </c>
      <c r="B761" s="2">
        <f>247.108956088044*(1/3.6)</f>
        <v>68.641376691123384</v>
      </c>
      <c r="C761" s="2">
        <f>167.609742183006*(1/3.6)</f>
        <v>46.558261717501694</v>
      </c>
      <c r="D761" s="2">
        <f t="shared" si="24"/>
        <v>0</v>
      </c>
    </row>
    <row r="762" spans="1:4" x14ac:dyDescent="0.3">
      <c r="A762" s="2">
        <f>120.990420943926*(1/3.6)</f>
        <v>33.608450262201643</v>
      </c>
      <c r="B762" s="2">
        <f>246.635522802793*(1/3.6)</f>
        <v>68.509867445220138</v>
      </c>
      <c r="C762" s="2">
        <f>167.44902620409*(1/3.6)</f>
        <v>46.513618390024931</v>
      </c>
      <c r="D762" s="2">
        <f t="shared" si="24"/>
        <v>0</v>
      </c>
    </row>
    <row r="763" spans="1:4" x14ac:dyDescent="0.3">
      <c r="A763" s="2">
        <f>120.899487478179*(1/3.6)</f>
        <v>33.583190966160949</v>
      </c>
      <c r="B763" s="2">
        <f>245.876635086611*(1/3.6)</f>
        <v>68.299065301836279</v>
      </c>
      <c r="C763" s="2">
        <f>167.760304342529*(1/3.6)</f>
        <v>46.600084539591478</v>
      </c>
      <c r="D763" s="2">
        <f t="shared" si="24"/>
        <v>0</v>
      </c>
    </row>
    <row r="764" spans="1:4" x14ac:dyDescent="0.3">
      <c r="A764" s="2">
        <f>121.057739300666*(1/3.6)</f>
        <v>33.627149805740665</v>
      </c>
      <c r="B764" s="2">
        <f>244.51648931317*(1/3.6)</f>
        <v>67.92124703143601</v>
      </c>
      <c r="C764" s="2">
        <f>167.970309819206*(1/3.6)</f>
        <v>46.658419394223969</v>
      </c>
      <c r="D764" s="2">
        <f t="shared" si="24"/>
        <v>0</v>
      </c>
    </row>
    <row r="765" spans="1:4" x14ac:dyDescent="0.3">
      <c r="A765" s="2">
        <f>120.744568602491*(1/3.6)</f>
        <v>33.540157945136386</v>
      </c>
      <c r="B765" s="2">
        <f>249.100285225073*(1/3.6)</f>
        <v>69.194523673631508</v>
      </c>
      <c r="C765" s="2">
        <f>167.760525450004*(1/3.6)</f>
        <v>46.600145958334309</v>
      </c>
      <c r="D765" s="2">
        <f t="shared" si="24"/>
        <v>0</v>
      </c>
    </row>
    <row r="766" spans="1:4" x14ac:dyDescent="0.3">
      <c r="A766" s="2">
        <f>120.889240022045*(1/3.6)</f>
        <v>33.580344450567949</v>
      </c>
      <c r="B766" s="2">
        <f>248.74337236244*(1/3.6)</f>
        <v>69.095381211788833</v>
      </c>
      <c r="C766" s="2">
        <f>166.396497238001*(1/3.6)</f>
        <v>46.221249232778014</v>
      </c>
      <c r="D766" s="2">
        <f t="shared" si="24"/>
        <v>0</v>
      </c>
    </row>
    <row r="767" spans="1:4" x14ac:dyDescent="0.3">
      <c r="A767" s="2">
        <f>120.885824203333*(1/3.6)</f>
        <v>33.579395612036954</v>
      </c>
      <c r="B767" s="2">
        <f>250.148883839089*(1/3.6)</f>
        <v>69.485801066413472</v>
      </c>
      <c r="C767" s="2">
        <f>166.991296259869*(1/3.6)</f>
        <v>46.386471183296933</v>
      </c>
      <c r="D767" s="2">
        <f t="shared" si="24"/>
        <v>0</v>
      </c>
    </row>
    <row r="768" spans="1:4" x14ac:dyDescent="0.3">
      <c r="A768" s="2">
        <f>120.854558318562*(1/3.6)</f>
        <v>33.570710644045022</v>
      </c>
      <c r="B768" s="2">
        <f>246.655156779873*(1/3.6)</f>
        <v>68.515321327742626</v>
      </c>
      <c r="C768" s="2">
        <f>166.882681667905*(1/3.6)</f>
        <v>46.356300463306923</v>
      </c>
      <c r="D768" s="2">
        <f t="shared" si="24"/>
        <v>0</v>
      </c>
    </row>
    <row r="769" spans="1:4" x14ac:dyDescent="0.3">
      <c r="A769" s="2">
        <f>120.717569229444*(1/3.6)</f>
        <v>33.532658119290069</v>
      </c>
      <c r="B769" s="2">
        <f>245.70650125863*(1/3.6)</f>
        <v>68.251805905175004</v>
      </c>
      <c r="C769" s="2">
        <f>166.861692171286*(1/3.6)</f>
        <v>46.350470047579492</v>
      </c>
      <c r="D769" s="2">
        <f t="shared" si="24"/>
        <v>0</v>
      </c>
    </row>
    <row r="770" spans="1:4" x14ac:dyDescent="0.3">
      <c r="A770" s="2">
        <f>120.87326745577*(1/3.6)</f>
        <v>33.575907626602742</v>
      </c>
      <c r="B770" s="2">
        <f>244.977011878915*(1/3.6)</f>
        <v>68.049169966365298</v>
      </c>
      <c r="C770" s="2">
        <f>167.283627700394*(1/3.6)</f>
        <v>46.46767436122061</v>
      </c>
      <c r="D770" s="2">
        <f t="shared" ref="D770:D833" si="25">0*(1/3.6)</f>
        <v>0</v>
      </c>
    </row>
    <row r="771" spans="1:4" x14ac:dyDescent="0.3">
      <c r="A771" s="2">
        <f>121.154538814621*(1/3.6)</f>
        <v>33.654038559616907</v>
      </c>
      <c r="B771" s="2">
        <f>246.361723852509*(1/3.6)</f>
        <v>68.433812181252549</v>
      </c>
      <c r="C771" s="2">
        <f>167.765047628679*(1/3.6)</f>
        <v>46.601402119077484</v>
      </c>
      <c r="D771" s="2">
        <f t="shared" si="25"/>
        <v>0</v>
      </c>
    </row>
    <row r="772" spans="1:4" x14ac:dyDescent="0.3">
      <c r="A772" s="2">
        <f>120.727509631939*(1/3.6)</f>
        <v>33.535419342205373</v>
      </c>
      <c r="B772" s="2">
        <f>247.43408709235*(1/3.6)</f>
        <v>68.731690858986198</v>
      </c>
      <c r="C772" s="2">
        <f>166.186941886969*(1/3.6)</f>
        <v>46.163039413047059</v>
      </c>
      <c r="D772" s="2">
        <f t="shared" si="25"/>
        <v>0</v>
      </c>
    </row>
    <row r="773" spans="1:4" x14ac:dyDescent="0.3">
      <c r="A773" s="2">
        <f>121.007295782876*(1/3.6)</f>
        <v>33.613137717465534</v>
      </c>
      <c r="B773" s="2">
        <f>248.365658710372*(1/3.6)</f>
        <v>68.990460752881248</v>
      </c>
      <c r="C773" s="2">
        <f>166.548365592662*(1/3.6)</f>
        <v>46.263434886850547</v>
      </c>
      <c r="D773" s="2">
        <f t="shared" si="25"/>
        <v>0</v>
      </c>
    </row>
    <row r="774" spans="1:4" x14ac:dyDescent="0.3">
      <c r="A774" s="2">
        <f>121.025998802885*(1/3.6)</f>
        <v>33.618333000801471</v>
      </c>
      <c r="B774" s="2">
        <f>246.773269960423*(1/3.6)</f>
        <v>68.548130544562042</v>
      </c>
      <c r="C774" s="2">
        <f>166.603635472283*(1/3.6)</f>
        <v>46.278787631189623</v>
      </c>
      <c r="D774" s="2">
        <f t="shared" si="25"/>
        <v>0</v>
      </c>
    </row>
    <row r="775" spans="1:4" x14ac:dyDescent="0.3">
      <c r="A775" s="2">
        <f>120.777874330251*(1/3.6)</f>
        <v>33.549409536180875</v>
      </c>
      <c r="B775" s="2">
        <f>246.865758376089*(1/3.6)</f>
        <v>68.573821771135925</v>
      </c>
      <c r="C775" s="2">
        <f>166.852870640117*(1/3.6)</f>
        <v>46.34801962225476</v>
      </c>
      <c r="D775" s="2">
        <f t="shared" si="25"/>
        <v>0</v>
      </c>
    </row>
    <row r="776" spans="1:4" x14ac:dyDescent="0.3">
      <c r="A776" s="2">
        <f>121.01915789065*(1/3.6)</f>
        <v>33.616432747402897</v>
      </c>
      <c r="B776" s="2">
        <f>244.675938821415*(1/3.6)</f>
        <v>67.965538561504047</v>
      </c>
      <c r="C776" s="2">
        <f>166.996572211972*(1/3.6)</f>
        <v>46.387936725547675</v>
      </c>
      <c r="D776" s="2">
        <f t="shared" si="25"/>
        <v>0</v>
      </c>
    </row>
    <row r="777" spans="1:4" x14ac:dyDescent="0.3">
      <c r="A777" s="2">
        <f>121.015737434533*(1/3.6)</f>
        <v>33.615482620703617</v>
      </c>
      <c r="B777" s="2">
        <f>245.446415254667*(1/3.6)</f>
        <v>68.17955979296292</v>
      </c>
      <c r="C777" s="2">
        <f>167.062529687244*(1/3.6)</f>
        <v>46.406258246456609</v>
      </c>
      <c r="D777" s="2">
        <f t="shared" si="25"/>
        <v>0</v>
      </c>
    </row>
    <row r="778" spans="1:4" x14ac:dyDescent="0.3">
      <c r="A778" s="2">
        <f>121.074081702127*(1/3.6)</f>
        <v>33.63168936170181</v>
      </c>
      <c r="B778" s="2">
        <f>247.193580811038*(1/3.6)</f>
        <v>68.664883558621696</v>
      </c>
      <c r="C778" s="2">
        <f>167.860251256647*(1/3.6)</f>
        <v>46.627847571290793</v>
      </c>
      <c r="D778" s="2">
        <f t="shared" si="25"/>
        <v>0</v>
      </c>
    </row>
    <row r="779" spans="1:4" x14ac:dyDescent="0.3">
      <c r="A779" s="2">
        <f>120.95711073436*(1/3.6)</f>
        <v>33.59919742621112</v>
      </c>
      <c r="B779" s="2">
        <f>245.21251239426*(1/3.6)</f>
        <v>68.11458677618343</v>
      </c>
      <c r="C779" s="2">
        <f>167.466040674903*(1/3.6)</f>
        <v>46.518344631917437</v>
      </c>
      <c r="D779" s="2">
        <f t="shared" si="25"/>
        <v>0</v>
      </c>
    </row>
    <row r="780" spans="1:4" x14ac:dyDescent="0.3">
      <c r="A780" s="2">
        <f>125.97942165644*(1/3.6)</f>
        <v>34.994283793455494</v>
      </c>
      <c r="B780" s="2">
        <f>251.606163484739*(1/3.6)</f>
        <v>69.890600967983076</v>
      </c>
      <c r="C780" s="2">
        <f>192.007961025921*(1/3.6)</f>
        <v>53.335544729422502</v>
      </c>
      <c r="D780" s="2">
        <f t="shared" si="25"/>
        <v>0</v>
      </c>
    </row>
    <row r="781" spans="1:4" x14ac:dyDescent="0.3">
      <c r="A781" s="2">
        <f>125.975860602036*(1/3.6)</f>
        <v>34.993294611676561</v>
      </c>
      <c r="B781" s="2">
        <f>245.172094923916*(1/3.6)</f>
        <v>68.103359701087896</v>
      </c>
      <c r="C781" s="2">
        <f>194.859004514254*(1/3.6)</f>
        <v>54.127501253959331</v>
      </c>
      <c r="D781" s="2">
        <f t="shared" si="25"/>
        <v>0</v>
      </c>
    </row>
    <row r="782" spans="1:4" x14ac:dyDescent="0.3">
      <c r="A782" s="2">
        <f>125.935790594831*(1/3.6)</f>
        <v>34.982164054119735</v>
      </c>
      <c r="B782" s="2">
        <f>248.016055053009*(1/3.6)</f>
        <v>68.893348625835898</v>
      </c>
      <c r="C782" s="2">
        <f>195.592450050217*(1/3.6)</f>
        <v>54.331236125060371</v>
      </c>
      <c r="D782" s="2">
        <f t="shared" si="25"/>
        <v>0</v>
      </c>
    </row>
    <row r="783" spans="1:4" x14ac:dyDescent="0.3">
      <c r="A783" s="2">
        <f>125.968738493227*(1/3.6)</f>
        <v>34.991316248118686</v>
      </c>
      <c r="B783" s="2">
        <f>249.069965243386*(1/3.6)</f>
        <v>69.186101456496033</v>
      </c>
      <c r="C783" s="2">
        <f>198.418762980525*(1/3.6)</f>
        <v>55.116323050145709</v>
      </c>
      <c r="D783" s="2">
        <f t="shared" si="25"/>
        <v>0</v>
      </c>
    </row>
    <row r="784" spans="1:4" x14ac:dyDescent="0.3">
      <c r="A784" s="2">
        <f>125.713521725343*(1/3.6)</f>
        <v>34.920422701484085</v>
      </c>
      <c r="B784" s="2">
        <f>246.746985786861*(1/3.6)</f>
        <v>68.540829385239078</v>
      </c>
      <c r="C784" s="2">
        <f>199.505805625583*(1/3.6)</f>
        <v>55.418279340439774</v>
      </c>
      <c r="D784" s="2">
        <f t="shared" si="25"/>
        <v>0</v>
      </c>
    </row>
    <row r="785" spans="1:4" x14ac:dyDescent="0.3">
      <c r="A785" s="2">
        <f>125.961616384419*(1/3.6)</f>
        <v>34.989337884560811</v>
      </c>
      <c r="B785" s="2">
        <f>245.12882130244*(1/3.6)</f>
        <v>68.091339250677891</v>
      </c>
      <c r="C785" s="2">
        <f t="shared" ref="C785:C816" si="26">0*(1/3.6)</f>
        <v>0</v>
      </c>
      <c r="D785" s="2">
        <f t="shared" si="25"/>
        <v>0</v>
      </c>
    </row>
    <row r="786" spans="1:4" x14ac:dyDescent="0.3">
      <c r="A786" s="2">
        <f>125.901500384528*(1/3.6)</f>
        <v>34.972638995702098</v>
      </c>
      <c r="B786" s="2">
        <f>243.328035895362*(1/3.6)</f>
        <v>67.591121082044978</v>
      </c>
      <c r="C786" s="2">
        <f t="shared" si="26"/>
        <v>0</v>
      </c>
      <c r="D786" s="2">
        <f t="shared" si="25"/>
        <v>0</v>
      </c>
    </row>
    <row r="787" spans="1:4" x14ac:dyDescent="0.3">
      <c r="A787" s="2">
        <f>125.82728826555*(1/3.6)</f>
        <v>34.952024518208262</v>
      </c>
      <c r="B787" s="2">
        <f>243.875700759585*(1/3.6)</f>
        <v>67.743250210995924</v>
      </c>
      <c r="C787" s="2">
        <f t="shared" si="26"/>
        <v>0</v>
      </c>
      <c r="D787" s="2">
        <f t="shared" si="25"/>
        <v>0</v>
      </c>
    </row>
    <row r="788" spans="1:4" x14ac:dyDescent="0.3">
      <c r="A788" s="2">
        <f>125.718594281053*(1/3.6)</f>
        <v>34.921831744736906</v>
      </c>
      <c r="B788" s="2">
        <f>244.082181605709*(1/3.6)</f>
        <v>67.800606001585706</v>
      </c>
      <c r="C788" s="2">
        <f t="shared" si="26"/>
        <v>0</v>
      </c>
      <c r="D788" s="2">
        <f t="shared" si="25"/>
        <v>0</v>
      </c>
    </row>
    <row r="789" spans="1:4" x14ac:dyDescent="0.3">
      <c r="A789" s="2">
        <f>125.562790713608*(1/3.6)</f>
        <v>34.878552976002219</v>
      </c>
      <c r="B789" s="2">
        <f>241.941213786459*(1/3.6)</f>
        <v>67.205892718460959</v>
      </c>
      <c r="C789" s="2">
        <f t="shared" si="26"/>
        <v>0</v>
      </c>
      <c r="D789" s="2">
        <f t="shared" si="25"/>
        <v>0</v>
      </c>
    </row>
    <row r="790" spans="1:4" x14ac:dyDescent="0.3">
      <c r="A790" s="2">
        <f>125.738590560177*(1/3.6)</f>
        <v>34.927386266715779</v>
      </c>
      <c r="B790" s="2">
        <f>244.787017007462*(1/3.6)</f>
        <v>67.996393613183955</v>
      </c>
      <c r="C790" s="2">
        <f t="shared" si="26"/>
        <v>0</v>
      </c>
      <c r="D790" s="2">
        <f t="shared" si="25"/>
        <v>0</v>
      </c>
    </row>
    <row r="791" spans="1:4" x14ac:dyDescent="0.3">
      <c r="A791" s="2">
        <f>125.684873632005*(1/3.6)</f>
        <v>34.91246489777911</v>
      </c>
      <c r="B791" s="2">
        <f>240.850855549787*(1/3.6)</f>
        <v>66.903015430496495</v>
      </c>
      <c r="C791" s="2">
        <f t="shared" si="26"/>
        <v>0</v>
      </c>
      <c r="D791" s="2">
        <f t="shared" si="25"/>
        <v>0</v>
      </c>
    </row>
    <row r="792" spans="1:4" x14ac:dyDescent="0.3">
      <c r="A792" s="2">
        <f>125.576062921971*(1/3.6)</f>
        <v>34.882239700547487</v>
      </c>
      <c r="B792" s="2">
        <f>243.241159295603*(1/3.6)</f>
        <v>67.566988693222953</v>
      </c>
      <c r="C792" s="2">
        <f t="shared" si="26"/>
        <v>0</v>
      </c>
      <c r="D792" s="2">
        <f t="shared" si="25"/>
        <v>0</v>
      </c>
    </row>
    <row r="793" spans="1:4" x14ac:dyDescent="0.3">
      <c r="A793" s="2">
        <f>125.677765965114*(1/3.6)</f>
        <v>34.910490545864967</v>
      </c>
      <c r="B793" s="2">
        <f>242.780557683327*(1/3.6)</f>
        <v>67.439043800924281</v>
      </c>
      <c r="C793" s="2">
        <f t="shared" si="26"/>
        <v>0</v>
      </c>
      <c r="D793" s="2">
        <f t="shared" si="25"/>
        <v>0</v>
      </c>
    </row>
    <row r="794" spans="1:4" x14ac:dyDescent="0.3">
      <c r="A794" s="2">
        <f>125.516316994771*(1/3.6)</f>
        <v>34.865643609658484</v>
      </c>
      <c r="B794" s="2">
        <f>244.03240494295*(1/3.6)</f>
        <v>67.786779150819555</v>
      </c>
      <c r="C794" s="2">
        <f t="shared" si="26"/>
        <v>0</v>
      </c>
      <c r="D794" s="2">
        <f t="shared" si="25"/>
        <v>0</v>
      </c>
    </row>
    <row r="795" spans="1:4" x14ac:dyDescent="0.3">
      <c r="A795" s="2">
        <f>125.617715470091*(1/3.6)</f>
        <v>34.893809852803145</v>
      </c>
      <c r="B795" s="2">
        <f>246.441558626481*(1/3.6)</f>
        <v>68.455988507355841</v>
      </c>
      <c r="C795" s="2">
        <f t="shared" si="26"/>
        <v>0</v>
      </c>
      <c r="D795" s="2">
        <f t="shared" si="25"/>
        <v>0</v>
      </c>
    </row>
    <row r="796" spans="1:4" x14ac:dyDescent="0.3">
      <c r="A796" s="2">
        <f>125.731318618988*(1/3.6)</f>
        <v>34.925366283052178</v>
      </c>
      <c r="B796" s="2">
        <f>243.606612962499*(1/3.6)</f>
        <v>67.668503600694081</v>
      </c>
      <c r="C796" s="2">
        <f t="shared" si="26"/>
        <v>0</v>
      </c>
      <c r="D796" s="2">
        <f t="shared" si="25"/>
        <v>0</v>
      </c>
    </row>
    <row r="797" spans="1:4" x14ac:dyDescent="0.3">
      <c r="A797" s="2">
        <f>125.791713685887*(1/3.6)</f>
        <v>34.942142690524285</v>
      </c>
      <c r="B797" s="2">
        <f>241.468151146183*(1/3.6)</f>
        <v>67.074486429495309</v>
      </c>
      <c r="C797" s="2">
        <f t="shared" si="26"/>
        <v>0</v>
      </c>
      <c r="D797" s="2">
        <f t="shared" si="25"/>
        <v>0</v>
      </c>
    </row>
    <row r="798" spans="1:4" x14ac:dyDescent="0.3">
      <c r="A798" s="2">
        <f>125.784062264209*(1/3.6)</f>
        <v>34.940017295613522</v>
      </c>
      <c r="B798" s="2">
        <f>242.182552914412*(1/3.6)</f>
        <v>67.272931365114417</v>
      </c>
      <c r="C798" s="2">
        <f t="shared" si="26"/>
        <v>0</v>
      </c>
      <c r="D798" s="2">
        <f t="shared" si="25"/>
        <v>0</v>
      </c>
    </row>
    <row r="799" spans="1:4" x14ac:dyDescent="0.3">
      <c r="A799" s="2">
        <f>125.616738271613*(1/3.6)</f>
        <v>34.893538408781353</v>
      </c>
      <c r="B799" s="2">
        <f>241.164046077949*(1/3.6)</f>
        <v>66.990012799430176</v>
      </c>
      <c r="C799" s="2">
        <f t="shared" si="26"/>
        <v>0</v>
      </c>
      <c r="D799" s="2">
        <f t="shared" si="25"/>
        <v>0</v>
      </c>
    </row>
    <row r="800" spans="1:4" x14ac:dyDescent="0.3">
      <c r="A800" s="2">
        <f>125.655334684476*(1/3.6)</f>
        <v>34.90425963457664</v>
      </c>
      <c r="B800" s="2">
        <f>241.281838199406*(1/3.6)</f>
        <v>67.022732833168362</v>
      </c>
      <c r="C800" s="2">
        <f t="shared" si="26"/>
        <v>0</v>
      </c>
      <c r="D800" s="2">
        <f t="shared" si="25"/>
        <v>0</v>
      </c>
    </row>
    <row r="801" spans="1:4" x14ac:dyDescent="0.3">
      <c r="A801" s="2">
        <f>125.683558797942*(1/3.6)</f>
        <v>34.912099666095067</v>
      </c>
      <c r="B801" s="2">
        <f>242.387553248632*(1/3.6)</f>
        <v>67.32987590239766</v>
      </c>
      <c r="C801" s="2">
        <f t="shared" si="26"/>
        <v>0</v>
      </c>
      <c r="D801" s="2">
        <f t="shared" si="25"/>
        <v>0</v>
      </c>
    </row>
    <row r="802" spans="1:4" x14ac:dyDescent="0.3">
      <c r="A802" s="2">
        <f>125.708453895867*(1/3.6)</f>
        <v>34.919014971074162</v>
      </c>
      <c r="B802" s="2">
        <f>239.711465124964*(1/3.6)</f>
        <v>66.586518090267717</v>
      </c>
      <c r="C802" s="2">
        <f t="shared" si="26"/>
        <v>0</v>
      </c>
      <c r="D802" s="2">
        <f t="shared" si="25"/>
        <v>0</v>
      </c>
    </row>
    <row r="803" spans="1:4" x14ac:dyDescent="0.3">
      <c r="A803" s="2">
        <f>125.642227630659*(1/3.6)</f>
        <v>34.900618786294253</v>
      </c>
      <c r="B803" s="2">
        <f>242.542672016682*(1/3.6)</f>
        <v>67.372964449078268</v>
      </c>
      <c r="C803" s="2">
        <f t="shared" si="26"/>
        <v>0</v>
      </c>
      <c r="D803" s="2">
        <f t="shared" si="25"/>
        <v>0</v>
      </c>
    </row>
    <row r="804" spans="1:4" x14ac:dyDescent="0.3">
      <c r="A804" s="2">
        <f>125.638770272945*(1/3.6)</f>
        <v>34.89965840915135</v>
      </c>
      <c r="B804" s="2">
        <f>241.862514416073*(1/3.6)</f>
        <v>67.184031782242542</v>
      </c>
      <c r="C804" s="2">
        <f t="shared" si="26"/>
        <v>0</v>
      </c>
      <c r="D804" s="2">
        <f t="shared" si="25"/>
        <v>0</v>
      </c>
    </row>
    <row r="805" spans="1:4" x14ac:dyDescent="0.3">
      <c r="A805" s="2">
        <f>124.761313299779*(1/3.6)</f>
        <v>34.655920361049795</v>
      </c>
      <c r="B805" s="2">
        <f>243.659608785122*(1/3.6)</f>
        <v>67.683224662533789</v>
      </c>
      <c r="C805" s="2">
        <f t="shared" si="26"/>
        <v>0</v>
      </c>
      <c r="D805" s="2">
        <f t="shared" si="25"/>
        <v>0</v>
      </c>
    </row>
    <row r="806" spans="1:4" x14ac:dyDescent="0.3">
      <c r="A806" s="2">
        <f>122.032031527741*(1/3.6)</f>
        <v>33.897786535483569</v>
      </c>
      <c r="B806" s="2">
        <f>278.298069203596*(1/3.6)</f>
        <v>77.305019223221024</v>
      </c>
      <c r="C806" s="2">
        <f t="shared" si="26"/>
        <v>0</v>
      </c>
      <c r="D806" s="2">
        <f t="shared" si="25"/>
        <v>0</v>
      </c>
    </row>
    <row r="807" spans="1:4" x14ac:dyDescent="0.3">
      <c r="A807" s="2">
        <f>122.337141373273*(1/3.6)</f>
        <v>33.982539270353676</v>
      </c>
      <c r="B807" s="2">
        <f>278.607128647197*(1/3.6)</f>
        <v>77.390869068665708</v>
      </c>
      <c r="C807" s="2">
        <f t="shared" si="26"/>
        <v>0</v>
      </c>
      <c r="D807" s="2">
        <f t="shared" si="25"/>
        <v>0</v>
      </c>
    </row>
    <row r="808" spans="1:4" x14ac:dyDescent="0.3">
      <c r="A808" s="2">
        <f>122.180683456936*(1/3.6)</f>
        <v>33.939078738037836</v>
      </c>
      <c r="B808" s="2">
        <f>278.442551726002*(1/3.6)</f>
        <v>77.345153257222861</v>
      </c>
      <c r="C808" s="2">
        <f t="shared" si="26"/>
        <v>0</v>
      </c>
      <c r="D808" s="2">
        <f t="shared" si="25"/>
        <v>0</v>
      </c>
    </row>
    <row r="809" spans="1:4" x14ac:dyDescent="0.3">
      <c r="A809" s="2">
        <f>122.535857987919*(1/3.6)</f>
        <v>34.037738329977621</v>
      </c>
      <c r="B809" s="2">
        <f>278.685287671642*(1/3.6)</f>
        <v>77.412579908789354</v>
      </c>
      <c r="C809" s="2">
        <f t="shared" si="26"/>
        <v>0</v>
      </c>
      <c r="D809" s="2">
        <f t="shared" si="25"/>
        <v>0</v>
      </c>
    </row>
    <row r="810" spans="1:4" x14ac:dyDescent="0.3">
      <c r="A810" s="2">
        <f>122.326759154769*(1/3.6)</f>
        <v>33.979655320769204</v>
      </c>
      <c r="B810" s="2">
        <f>277.885763814681*(1/3.6)</f>
        <v>77.19048994852244</v>
      </c>
      <c r="C810" s="2">
        <f t="shared" si="26"/>
        <v>0</v>
      </c>
      <c r="D810" s="2">
        <f t="shared" si="25"/>
        <v>0</v>
      </c>
    </row>
    <row r="811" spans="1:4" x14ac:dyDescent="0.3">
      <c r="A811" s="2">
        <f>122.542321399377*(1/3.6)</f>
        <v>34.039533722049192</v>
      </c>
      <c r="B811" s="2">
        <f>277.772497846382*(1/3.6)</f>
        <v>77.159027179550662</v>
      </c>
      <c r="C811" s="2">
        <f t="shared" si="26"/>
        <v>0</v>
      </c>
      <c r="D811" s="2">
        <f t="shared" si="25"/>
        <v>0</v>
      </c>
    </row>
    <row r="812" spans="1:4" x14ac:dyDescent="0.3">
      <c r="A812" s="2">
        <f>122.307875527767*(1/3.6)</f>
        <v>33.974409868824267</v>
      </c>
      <c r="B812" s="2">
        <f>277.58754520813*(1/3.6)</f>
        <v>77.10765144670286</v>
      </c>
      <c r="C812" s="2">
        <f t="shared" si="26"/>
        <v>0</v>
      </c>
      <c r="D812" s="2">
        <f t="shared" si="25"/>
        <v>0</v>
      </c>
    </row>
    <row r="813" spans="1:4" x14ac:dyDescent="0.3">
      <c r="A813" s="2">
        <f>122.370066866397*(1/3.6)</f>
        <v>33.991685240665831</v>
      </c>
      <c r="B813" s="2">
        <f>276.91053935193*(1/3.6)</f>
        <v>76.919594264425058</v>
      </c>
      <c r="C813" s="2">
        <f t="shared" si="26"/>
        <v>0</v>
      </c>
      <c r="D813" s="2">
        <f t="shared" si="25"/>
        <v>0</v>
      </c>
    </row>
    <row r="814" spans="1:4" x14ac:dyDescent="0.3">
      <c r="A814" s="2">
        <f>122.383916411165*(1/3.6)</f>
        <v>33.995532336434827</v>
      </c>
      <c r="B814" s="2">
        <f>277.317736441506*(1/3.6)</f>
        <v>77.032704567084977</v>
      </c>
      <c r="C814" s="2">
        <f t="shared" si="26"/>
        <v>0</v>
      </c>
      <c r="D814" s="2">
        <f t="shared" si="25"/>
        <v>0</v>
      </c>
    </row>
    <row r="815" spans="1:4" x14ac:dyDescent="0.3">
      <c r="A815" s="2">
        <f>122.173138058724*(1/3.6)</f>
        <v>33.936982794089943</v>
      </c>
      <c r="B815" s="2">
        <f>276.034770745746*(1/3.6)</f>
        <v>76.676325207151706</v>
      </c>
      <c r="C815" s="2">
        <f t="shared" si="26"/>
        <v>0</v>
      </c>
      <c r="D815" s="2">
        <f t="shared" si="25"/>
        <v>0</v>
      </c>
    </row>
    <row r="816" spans="1:4" x14ac:dyDescent="0.3">
      <c r="A816" s="2">
        <f>121.850589906444*(1/3.6)</f>
        <v>33.847386085123375</v>
      </c>
      <c r="B816" s="2">
        <f>276.195897154153*(1/3.6)</f>
        <v>76.721082542820326</v>
      </c>
      <c r="C816" s="2">
        <f t="shared" si="26"/>
        <v>0</v>
      </c>
      <c r="D816" s="2">
        <f t="shared" si="25"/>
        <v>0</v>
      </c>
    </row>
    <row r="817" spans="1:4" x14ac:dyDescent="0.3">
      <c r="A817" s="2">
        <f>121.994059409645*(1/3.6)</f>
        <v>33.887238724901394</v>
      </c>
      <c r="B817" s="2">
        <f>276.178312465364*(1/3.6)</f>
        <v>76.716197907045654</v>
      </c>
      <c r="C817" s="2">
        <f t="shared" ref="C817:C848" si="27">0*(1/3.6)</f>
        <v>0</v>
      </c>
      <c r="D817" s="2">
        <f t="shared" si="25"/>
        <v>0</v>
      </c>
    </row>
    <row r="818" spans="1:4" x14ac:dyDescent="0.3">
      <c r="A818" s="2">
        <f>121.990607398909*(1/3.6)</f>
        <v>33.886279833030287</v>
      </c>
      <c r="B818" s="2">
        <f>275.576015940994*(1/3.6)</f>
        <v>76.548893316942852</v>
      </c>
      <c r="C818" s="2">
        <f t="shared" si="27"/>
        <v>0</v>
      </c>
      <c r="D818" s="2">
        <f t="shared" si="25"/>
        <v>0</v>
      </c>
    </row>
    <row r="819" spans="1:4" x14ac:dyDescent="0.3">
      <c r="A819" s="2">
        <f>122.446557713376*(1/3.6)</f>
        <v>34.012932698159879</v>
      </c>
      <c r="B819" s="2">
        <f>276.113451921521*(1/3.6)</f>
        <v>76.698181089311262</v>
      </c>
      <c r="C819" s="2">
        <f t="shared" si="27"/>
        <v>0</v>
      </c>
      <c r="D819" s="2">
        <f t="shared" si="25"/>
        <v>0</v>
      </c>
    </row>
    <row r="820" spans="1:4" x14ac:dyDescent="0.3">
      <c r="A820" s="2">
        <f>122.22547162076*(1/3.6)</f>
        <v>33.951519894655689</v>
      </c>
      <c r="B820" s="2">
        <f>275.307532938157*(1/3.6)</f>
        <v>76.474314705043568</v>
      </c>
      <c r="C820" s="2">
        <f t="shared" si="27"/>
        <v>0</v>
      </c>
      <c r="D820" s="2">
        <f t="shared" si="25"/>
        <v>0</v>
      </c>
    </row>
    <row r="821" spans="1:4" x14ac:dyDescent="0.3">
      <c r="A821" s="2">
        <f>122.58392336173*(1/3.6)</f>
        <v>34.051089822702892</v>
      </c>
      <c r="B821" s="2">
        <f>275.43521013243*(1/3.6)</f>
        <v>76.509780592341784</v>
      </c>
      <c r="C821" s="2">
        <f t="shared" si="27"/>
        <v>0</v>
      </c>
      <c r="D821" s="2">
        <f t="shared" si="25"/>
        <v>0</v>
      </c>
    </row>
    <row r="822" spans="1:4" x14ac:dyDescent="0.3">
      <c r="A822" s="2">
        <f>121.985997084401*(1/3.6)</f>
        <v>33.884999190111287</v>
      </c>
      <c r="B822" s="2">
        <f>274.743579162604*(1/3.6)</f>
        <v>76.317660878501016</v>
      </c>
      <c r="C822" s="2">
        <f t="shared" si="27"/>
        <v>0</v>
      </c>
      <c r="D822" s="2">
        <f t="shared" si="25"/>
        <v>0</v>
      </c>
    </row>
    <row r="823" spans="1:4" x14ac:dyDescent="0.3">
      <c r="A823" s="2">
        <f>122.535001640056*(1/3.6)</f>
        <v>34.03750045557107</v>
      </c>
      <c r="B823" s="2">
        <f>274.588420317291*(1/3.6)</f>
        <v>76.274561199247458</v>
      </c>
      <c r="C823" s="2">
        <f t="shared" si="27"/>
        <v>0</v>
      </c>
      <c r="D823" s="2">
        <f t="shared" si="25"/>
        <v>0</v>
      </c>
    </row>
    <row r="824" spans="1:4" x14ac:dyDescent="0.3">
      <c r="A824" s="2">
        <f>121.993785764851*(1/3.6)</f>
        <v>33.88716271245859</v>
      </c>
      <c r="B824" s="2">
        <f>274.006755223387*(1/3.6)</f>
        <v>76.112987562051813</v>
      </c>
      <c r="C824" s="2">
        <f t="shared" si="27"/>
        <v>0</v>
      </c>
      <c r="D824" s="2">
        <f t="shared" si="25"/>
        <v>0</v>
      </c>
    </row>
    <row r="825" spans="1:4" x14ac:dyDescent="0.3">
      <c r="A825" s="2">
        <f>121.922717422671*(1/3.6)</f>
        <v>33.867421506297426</v>
      </c>
      <c r="B825" s="2">
        <f>273.878521895843*(1/3.6)</f>
        <v>76.077367193289604</v>
      </c>
      <c r="C825" s="2">
        <f t="shared" si="27"/>
        <v>0</v>
      </c>
      <c r="D825" s="2">
        <f t="shared" si="25"/>
        <v>0</v>
      </c>
    </row>
    <row r="826" spans="1:4" x14ac:dyDescent="0.3">
      <c r="A826" s="2">
        <f>122.117745697459*(1/3.6)</f>
        <v>33.92159602707185</v>
      </c>
      <c r="B826" s="2">
        <f>273.519479437643*(1/3.6)</f>
        <v>75.977633177123153</v>
      </c>
      <c r="C826" s="2">
        <f t="shared" si="27"/>
        <v>0</v>
      </c>
      <c r="D826" s="2">
        <f t="shared" si="25"/>
        <v>0</v>
      </c>
    </row>
    <row r="827" spans="1:4" x14ac:dyDescent="0.3">
      <c r="A827" s="2">
        <f>124.559282782141*(1/3.6)</f>
        <v>34.599800772817019</v>
      </c>
      <c r="B827" s="2">
        <f>247.581413493008*(1/3.6)</f>
        <v>68.772614859168769</v>
      </c>
      <c r="C827" s="2">
        <f t="shared" si="27"/>
        <v>0</v>
      </c>
      <c r="D827" s="2">
        <f t="shared" si="25"/>
        <v>0</v>
      </c>
    </row>
    <row r="828" spans="1:4" x14ac:dyDescent="0.3">
      <c r="A828" s="2">
        <f>124.330172345695*(1/3.6)</f>
        <v>34.536158984915254</v>
      </c>
      <c r="B828" s="2">
        <f>248.012150309017*(1/3.6)</f>
        <v>68.892263974727044</v>
      </c>
      <c r="C828" s="2">
        <f t="shared" si="27"/>
        <v>0</v>
      </c>
      <c r="D828" s="2">
        <f t="shared" si="25"/>
        <v>0</v>
      </c>
    </row>
    <row r="829" spans="1:4" x14ac:dyDescent="0.3">
      <c r="A829" s="2">
        <f>124.044165314639*(1/3.6)</f>
        <v>34.456712587399643</v>
      </c>
      <c r="B829" s="2">
        <f>248.448296821946*(1/3.6)</f>
        <v>69.013415783873796</v>
      </c>
      <c r="C829" s="2">
        <f t="shared" si="27"/>
        <v>0</v>
      </c>
      <c r="D829" s="2">
        <f t="shared" si="25"/>
        <v>0</v>
      </c>
    </row>
    <row r="830" spans="1:4" x14ac:dyDescent="0.3">
      <c r="A830" s="2">
        <f>124.135403714435*(1/3.6)</f>
        <v>34.48205658734296</v>
      </c>
      <c r="B830" s="2">
        <f>248.156734337609*(1/3.6)</f>
        <v>68.932426204891399</v>
      </c>
      <c r="C830" s="2">
        <f t="shared" si="27"/>
        <v>0</v>
      </c>
      <c r="D830" s="2">
        <f t="shared" si="25"/>
        <v>0</v>
      </c>
    </row>
    <row r="831" spans="1:4" x14ac:dyDescent="0.3">
      <c r="A831" s="2">
        <f>124.277990983202*(1/3.6)</f>
        <v>34.521664162000576</v>
      </c>
      <c r="B831" s="2">
        <f>247.338665685666*(1/3.6)</f>
        <v>68.705184912684899</v>
      </c>
      <c r="C831" s="2">
        <f t="shared" si="27"/>
        <v>0</v>
      </c>
      <c r="D831" s="2">
        <f t="shared" si="25"/>
        <v>0</v>
      </c>
    </row>
    <row r="832" spans="1:4" x14ac:dyDescent="0.3">
      <c r="A832" s="2">
        <f>124.181035706769*(1/3.6)</f>
        <v>34.494732140769116</v>
      </c>
      <c r="B832" s="2">
        <f>247.803344094223*(1/3.6)</f>
        <v>68.834262248395234</v>
      </c>
      <c r="C832" s="2">
        <f t="shared" si="27"/>
        <v>0</v>
      </c>
      <c r="D832" s="2">
        <f t="shared" si="25"/>
        <v>0</v>
      </c>
    </row>
    <row r="833" spans="1:4" x14ac:dyDescent="0.3">
      <c r="A833" s="2">
        <f>124.393929940434*(1/3.6)</f>
        <v>34.553869427898235</v>
      </c>
      <c r="B833" s="2">
        <f>247.525308116324*(1/3.6)</f>
        <v>68.75703003231213</v>
      </c>
      <c r="C833" s="2">
        <f t="shared" si="27"/>
        <v>0</v>
      </c>
      <c r="D833" s="2">
        <f t="shared" si="25"/>
        <v>0</v>
      </c>
    </row>
    <row r="834" spans="1:4" x14ac:dyDescent="0.3">
      <c r="A834" s="2">
        <f>124.310470072136*(1/3.6)</f>
        <v>34.530686131148755</v>
      </c>
      <c r="B834" s="2">
        <f>245.384485438385*(1/3.6)</f>
        <v>68.162357066218064</v>
      </c>
      <c r="C834" s="2">
        <f t="shared" si="27"/>
        <v>0</v>
      </c>
      <c r="D834" s="2">
        <f t="shared" ref="D834:D897" si="28">0*(1/3.6)</f>
        <v>0</v>
      </c>
    </row>
    <row r="835" spans="1:4" x14ac:dyDescent="0.3">
      <c r="A835" s="2">
        <f>124.594451407063*(1/3.6)</f>
        <v>34.609569835295311</v>
      </c>
      <c r="B835" s="2">
        <f>245.877342172296*(1/3.6)</f>
        <v>68.299261714526622</v>
      </c>
      <c r="C835" s="2">
        <f t="shared" si="27"/>
        <v>0</v>
      </c>
      <c r="D835" s="2">
        <f t="shared" si="28"/>
        <v>0</v>
      </c>
    </row>
    <row r="836" spans="1:4" x14ac:dyDescent="0.3">
      <c r="A836" s="2">
        <f>124.303431572004*(1/3.6)</f>
        <v>34.528730992223338</v>
      </c>
      <c r="B836" s="2">
        <f>246.929001215913*(1/3.6)</f>
        <v>68.59138922664259</v>
      </c>
      <c r="C836" s="2">
        <f t="shared" si="27"/>
        <v>0</v>
      </c>
      <c r="D836" s="2">
        <f t="shared" si="28"/>
        <v>0</v>
      </c>
    </row>
    <row r="837" spans="1:4" x14ac:dyDescent="0.3">
      <c r="A837" s="2">
        <f>124.365607738679*(1/3.6)</f>
        <v>34.546002149633111</v>
      </c>
      <c r="B837" s="2">
        <f>246.996597961043*(1/3.6)</f>
        <v>68.610166100289845</v>
      </c>
      <c r="C837" s="2">
        <f t="shared" si="27"/>
        <v>0</v>
      </c>
      <c r="D837" s="2">
        <f t="shared" si="28"/>
        <v>0</v>
      </c>
    </row>
    <row r="838" spans="1:4" x14ac:dyDescent="0.3">
      <c r="A838" s="2">
        <f>124.501894774328*(1/3.6)</f>
        <v>34.583859659535605</v>
      </c>
      <c r="B838" s="2">
        <f>246.482731590992*(1/3.6)</f>
        <v>68.467425441942282</v>
      </c>
      <c r="C838" s="2">
        <f t="shared" si="27"/>
        <v>0</v>
      </c>
      <c r="D838" s="2">
        <f t="shared" si="28"/>
        <v>0</v>
      </c>
    </row>
    <row r="839" spans="1:4" x14ac:dyDescent="0.3">
      <c r="A839" s="2">
        <f>124.292873821807*(1/3.6)</f>
        <v>34.525798283835222</v>
      </c>
      <c r="B839" s="2">
        <f>244.352121771231*(1/3.6)</f>
        <v>67.875589380897395</v>
      </c>
      <c r="C839" s="2">
        <f t="shared" si="27"/>
        <v>0</v>
      </c>
      <c r="D839" s="2">
        <f t="shared" si="28"/>
        <v>0</v>
      </c>
    </row>
    <row r="840" spans="1:4" x14ac:dyDescent="0.3">
      <c r="A840" s="2">
        <f>124.615908660313*(1/3.6)</f>
        <v>34.615530183420269</v>
      </c>
      <c r="B840" s="2">
        <f>246.141065590056*(1/3.6)</f>
        <v>68.372518219460105</v>
      </c>
      <c r="C840" s="2">
        <f t="shared" si="27"/>
        <v>0</v>
      </c>
      <c r="D840" s="2">
        <f t="shared" si="28"/>
        <v>0</v>
      </c>
    </row>
    <row r="841" spans="1:4" x14ac:dyDescent="0.3">
      <c r="A841" s="2">
        <f>124.527454698824*(1/3.6)</f>
        <v>34.590959638562111</v>
      </c>
      <c r="B841" s="2">
        <f>245.546304966357*(1/3.6)</f>
        <v>68.207306935099083</v>
      </c>
      <c r="C841" s="2">
        <f t="shared" si="27"/>
        <v>0</v>
      </c>
      <c r="D841" s="2">
        <f t="shared" si="28"/>
        <v>0</v>
      </c>
    </row>
    <row r="842" spans="1:4" x14ac:dyDescent="0.3">
      <c r="A842" s="2">
        <f>124.148893804059*(1/3.6)</f>
        <v>34.485803834460789</v>
      </c>
      <c r="B842" s="2">
        <f>244.642625081778*(1/3.6)</f>
        <v>67.956284744938316</v>
      </c>
      <c r="C842" s="2">
        <f t="shared" si="27"/>
        <v>0</v>
      </c>
      <c r="D842" s="2">
        <f t="shared" si="28"/>
        <v>0</v>
      </c>
    </row>
    <row r="843" spans="1:4" x14ac:dyDescent="0.3">
      <c r="A843" s="2">
        <f>124.166262408707*(1/3.6)</f>
        <v>34.490628446863191</v>
      </c>
      <c r="B843" s="2">
        <f>245.995440636251*(1/3.6)</f>
        <v>68.33206684340314</v>
      </c>
      <c r="C843" s="2">
        <f t="shared" si="27"/>
        <v>0</v>
      </c>
      <c r="D843" s="2">
        <f t="shared" si="28"/>
        <v>0</v>
      </c>
    </row>
    <row r="844" spans="1:4" x14ac:dyDescent="0.3">
      <c r="A844" s="2">
        <f>124.275277571478*(1/3.6)</f>
        <v>34.520910436521696</v>
      </c>
      <c r="B844" s="2">
        <f>245.489996375716*(1/3.6)</f>
        <v>68.191665659921014</v>
      </c>
      <c r="C844" s="2">
        <f t="shared" si="27"/>
        <v>0</v>
      </c>
      <c r="D844" s="2">
        <f t="shared" si="28"/>
        <v>0</v>
      </c>
    </row>
    <row r="845" spans="1:4" x14ac:dyDescent="0.3">
      <c r="A845" s="2">
        <f>124.13722484447*(1/3.6)</f>
        <v>34.482562456797105</v>
      </c>
      <c r="B845" s="2">
        <f>243.663367388578*(1/3.6)</f>
        <v>67.684268719049427</v>
      </c>
      <c r="C845" s="2">
        <f t="shared" si="27"/>
        <v>0</v>
      </c>
      <c r="D845" s="2">
        <f t="shared" si="28"/>
        <v>0</v>
      </c>
    </row>
    <row r="846" spans="1:4" x14ac:dyDescent="0.3">
      <c r="A846" s="2">
        <f>124.268239071347*(1/3.6)</f>
        <v>34.518955297596285</v>
      </c>
      <c r="B846" s="2">
        <f>245.28660261932*(1/3.6)</f>
        <v>68.135167394255689</v>
      </c>
      <c r="C846" s="2">
        <f t="shared" si="27"/>
        <v>0</v>
      </c>
      <c r="D846" s="2">
        <f t="shared" si="28"/>
        <v>0</v>
      </c>
    </row>
    <row r="847" spans="1:4" x14ac:dyDescent="0.3">
      <c r="A847" s="2">
        <f>124.264719821281*(1/3.6)</f>
        <v>34.51797772813358</v>
      </c>
      <c r="B847" s="2">
        <f>244.552519604337*(1/3.6)</f>
        <v>67.931255445649072</v>
      </c>
      <c r="C847" s="2">
        <f t="shared" si="27"/>
        <v>0</v>
      </c>
      <c r="D847" s="2">
        <f t="shared" si="28"/>
        <v>0</v>
      </c>
    </row>
    <row r="848" spans="1:4" x14ac:dyDescent="0.3">
      <c r="A848" s="2">
        <f>124.193870584258*(1/3.6)</f>
        <v>34.498297384516086</v>
      </c>
      <c r="B848" s="2">
        <f>244.305972580985*(1/3.6)</f>
        <v>67.86277016138466</v>
      </c>
      <c r="C848" s="2">
        <f t="shared" si="27"/>
        <v>0</v>
      </c>
      <c r="D848" s="2">
        <f t="shared" si="28"/>
        <v>0</v>
      </c>
    </row>
    <row r="849" spans="1:4" x14ac:dyDescent="0.3">
      <c r="A849" s="2">
        <f>124.13474755442*(1/3.6)</f>
        <v>34.481874320672212</v>
      </c>
      <c r="B849" s="2">
        <f>242.829121991073*(1/3.6)</f>
        <v>67.452533886409171</v>
      </c>
      <c r="C849" s="2">
        <f t="shared" ref="C849:C880" si="29">0*(1/3.6)</f>
        <v>0</v>
      </c>
      <c r="D849" s="2">
        <f t="shared" si="28"/>
        <v>0</v>
      </c>
    </row>
    <row r="850" spans="1:4" x14ac:dyDescent="0.3">
      <c r="A850" s="2">
        <f>124.446159204454*(1/3.6)</f>
        <v>34.568377556792832</v>
      </c>
      <c r="B850" s="2">
        <f>244.300375482073*(1/3.6)</f>
        <v>67.861215411686999</v>
      </c>
      <c r="C850" s="2">
        <f t="shared" si="29"/>
        <v>0</v>
      </c>
      <c r="D850" s="2">
        <f t="shared" si="28"/>
        <v>0</v>
      </c>
    </row>
    <row r="851" spans="1:4" x14ac:dyDescent="0.3">
      <c r="A851" s="2">
        <f>124.250642821018*(1/3.6)</f>
        <v>34.514067450282759</v>
      </c>
      <c r="B851" s="2">
        <f>244.624315022*(1/3.6)</f>
        <v>67.951198617222289</v>
      </c>
      <c r="C851" s="2">
        <f t="shared" si="29"/>
        <v>0</v>
      </c>
      <c r="D851" s="2">
        <f t="shared" si="28"/>
        <v>0</v>
      </c>
    </row>
    <row r="852" spans="1:4" x14ac:dyDescent="0.3">
      <c r="A852" s="2">
        <f>99.5554866610664*(1/3.6)</f>
        <v>27.654301850296218</v>
      </c>
      <c r="B852" s="2">
        <f>231.88091677512*(1/3.6)</f>
        <v>64.411365770866766</v>
      </c>
      <c r="C852" s="2">
        <f t="shared" si="29"/>
        <v>0</v>
      </c>
      <c r="D852" s="2">
        <f t="shared" si="28"/>
        <v>0</v>
      </c>
    </row>
    <row r="853" spans="1:4" x14ac:dyDescent="0.3">
      <c r="A853" s="2">
        <f>134.841496249311*(1/3.6)</f>
        <v>37.455971180364038</v>
      </c>
      <c r="B853" s="2">
        <f>294.080512773237*(1/3.6)</f>
        <v>81.689031325899251</v>
      </c>
      <c r="C853" s="2">
        <f t="shared" si="29"/>
        <v>0</v>
      </c>
      <c r="D853" s="2">
        <f t="shared" si="28"/>
        <v>0</v>
      </c>
    </row>
    <row r="854" spans="1:4" x14ac:dyDescent="0.3">
      <c r="A854" s="2">
        <f t="shared" ref="A854:A863" si="30">0*(1/3.6)</f>
        <v>0</v>
      </c>
      <c r="B854" s="2">
        <f>259.749582229148*(1/3.6)</f>
        <v>72.152661730318925</v>
      </c>
      <c r="C854" s="2">
        <f t="shared" si="29"/>
        <v>0</v>
      </c>
      <c r="D854" s="2">
        <f t="shared" si="28"/>
        <v>0</v>
      </c>
    </row>
    <row r="855" spans="1:4" x14ac:dyDescent="0.3">
      <c r="A855" s="2">
        <f t="shared" si="30"/>
        <v>0</v>
      </c>
      <c r="B855" s="2">
        <f t="shared" ref="B855:B863" si="31">0*(1/3.6)</f>
        <v>0</v>
      </c>
      <c r="C855" s="2">
        <f t="shared" si="29"/>
        <v>0</v>
      </c>
      <c r="D855" s="2">
        <f t="shared" si="28"/>
        <v>0</v>
      </c>
    </row>
    <row r="856" spans="1:4" x14ac:dyDescent="0.3">
      <c r="A856" s="2">
        <f t="shared" si="30"/>
        <v>0</v>
      </c>
      <c r="B856" s="2">
        <f t="shared" si="31"/>
        <v>0</v>
      </c>
      <c r="C856" s="2">
        <f t="shared" si="29"/>
        <v>0</v>
      </c>
      <c r="D856" s="2">
        <f t="shared" si="28"/>
        <v>0</v>
      </c>
    </row>
    <row r="857" spans="1:4" x14ac:dyDescent="0.3">
      <c r="A857" s="2">
        <f t="shared" si="30"/>
        <v>0</v>
      </c>
      <c r="B857" s="2">
        <f t="shared" si="31"/>
        <v>0</v>
      </c>
      <c r="C857" s="2">
        <f t="shared" si="29"/>
        <v>0</v>
      </c>
      <c r="D857" s="2">
        <f t="shared" si="28"/>
        <v>0</v>
      </c>
    </row>
    <row r="858" spans="1:4" x14ac:dyDescent="0.3">
      <c r="A858" s="2">
        <f t="shared" si="30"/>
        <v>0</v>
      </c>
      <c r="B858" s="2">
        <f t="shared" si="31"/>
        <v>0</v>
      </c>
      <c r="C858" s="2">
        <f t="shared" si="29"/>
        <v>0</v>
      </c>
      <c r="D858" s="2">
        <f t="shared" si="28"/>
        <v>0</v>
      </c>
    </row>
    <row r="859" spans="1:4" x14ac:dyDescent="0.3">
      <c r="A859" s="2">
        <f t="shared" si="30"/>
        <v>0</v>
      </c>
      <c r="B859" s="2">
        <f t="shared" si="31"/>
        <v>0</v>
      </c>
      <c r="C859" s="2">
        <f t="shared" si="29"/>
        <v>0</v>
      </c>
      <c r="D859" s="2">
        <f t="shared" si="28"/>
        <v>0</v>
      </c>
    </row>
    <row r="860" spans="1:4" x14ac:dyDescent="0.3">
      <c r="A860" s="2">
        <f t="shared" si="30"/>
        <v>0</v>
      </c>
      <c r="B860" s="2">
        <f t="shared" si="31"/>
        <v>0</v>
      </c>
      <c r="C860" s="2">
        <f t="shared" si="29"/>
        <v>0</v>
      </c>
      <c r="D860" s="2">
        <f t="shared" si="28"/>
        <v>0</v>
      </c>
    </row>
    <row r="861" spans="1:4" x14ac:dyDescent="0.3">
      <c r="A861" s="2">
        <f t="shared" si="30"/>
        <v>0</v>
      </c>
      <c r="B861" s="2">
        <f t="shared" si="31"/>
        <v>0</v>
      </c>
      <c r="C861" s="2">
        <f t="shared" si="29"/>
        <v>0</v>
      </c>
      <c r="D861" s="2">
        <f t="shared" si="28"/>
        <v>0</v>
      </c>
    </row>
    <row r="862" spans="1:4" x14ac:dyDescent="0.3">
      <c r="A862" s="2">
        <f t="shared" si="30"/>
        <v>0</v>
      </c>
      <c r="B862" s="2">
        <f t="shared" si="31"/>
        <v>0</v>
      </c>
      <c r="C862" s="2">
        <f t="shared" si="29"/>
        <v>0</v>
      </c>
      <c r="D862" s="2">
        <f t="shared" si="28"/>
        <v>0</v>
      </c>
    </row>
    <row r="863" spans="1:4" x14ac:dyDescent="0.3">
      <c r="A863" s="2">
        <f t="shared" si="30"/>
        <v>0</v>
      </c>
      <c r="B863" s="2">
        <f t="shared" si="31"/>
        <v>0</v>
      </c>
      <c r="C863" s="2">
        <f t="shared" si="29"/>
        <v>0</v>
      </c>
      <c r="D863" s="2">
        <f t="shared" si="28"/>
        <v>0</v>
      </c>
    </row>
    <row r="864" spans="1:4" x14ac:dyDescent="0.3">
      <c r="A864" s="2">
        <f>125.03470445678*(1/3.6)</f>
        <v>34.731862349105597</v>
      </c>
      <c r="B864" s="2">
        <f>269.598543208403*(1/3.6)</f>
        <v>74.888484224556265</v>
      </c>
      <c r="C864" s="2">
        <f t="shared" si="29"/>
        <v>0</v>
      </c>
      <c r="D864" s="2">
        <f t="shared" si="28"/>
        <v>0</v>
      </c>
    </row>
    <row r="865" spans="1:4" x14ac:dyDescent="0.3">
      <c r="A865" s="2">
        <f>125.22458183787*(1/3.6)</f>
        <v>34.784606066075071</v>
      </c>
      <c r="B865" s="2">
        <f>269.253039955919*(1/3.6)</f>
        <v>74.792511098866456</v>
      </c>
      <c r="C865" s="2">
        <f t="shared" si="29"/>
        <v>0</v>
      </c>
      <c r="D865" s="2">
        <f t="shared" si="28"/>
        <v>0</v>
      </c>
    </row>
    <row r="866" spans="1:4" x14ac:dyDescent="0.3">
      <c r="A866" s="2">
        <f>125.477616050174*(1/3.6)</f>
        <v>34.854893347270483</v>
      </c>
      <c r="B866" s="2">
        <f>269.153186118178*(1/3.6)</f>
        <v>74.764773921716255</v>
      </c>
      <c r="C866" s="2">
        <f t="shared" si="29"/>
        <v>0</v>
      </c>
      <c r="D866" s="2">
        <f t="shared" si="28"/>
        <v>0</v>
      </c>
    </row>
    <row r="867" spans="1:4" x14ac:dyDescent="0.3">
      <c r="A867" s="2">
        <f>125.542691628251*(1/3.6)</f>
        <v>34.872969896736485</v>
      </c>
      <c r="B867" s="2">
        <f>268.853539350778*(1/3.6)</f>
        <v>74.681538708549439</v>
      </c>
      <c r="C867" s="2">
        <f t="shared" si="29"/>
        <v>0</v>
      </c>
      <c r="D867" s="2">
        <f t="shared" si="28"/>
        <v>0</v>
      </c>
    </row>
    <row r="868" spans="1:4" x14ac:dyDescent="0.3">
      <c r="A868" s="2">
        <f>125.659222282197*(1/3.6)</f>
        <v>34.905339522832527</v>
      </c>
      <c r="B868" s="2">
        <f>268.66375137218*(1/3.6)</f>
        <v>74.628819825605461</v>
      </c>
      <c r="C868" s="2">
        <f t="shared" si="29"/>
        <v>0</v>
      </c>
      <c r="D868" s="2">
        <f t="shared" si="28"/>
        <v>0</v>
      </c>
    </row>
    <row r="869" spans="1:4" x14ac:dyDescent="0.3">
      <c r="A869" s="2">
        <f>141.437189551867*(1/3.6)</f>
        <v>39.28810820885186</v>
      </c>
      <c r="B869" s="2">
        <f>267.853408563958*(1/3.6)</f>
        <v>74.403724601099441</v>
      </c>
      <c r="C869" s="2">
        <f t="shared" si="29"/>
        <v>0</v>
      </c>
      <c r="D869" s="2">
        <f t="shared" si="28"/>
        <v>0</v>
      </c>
    </row>
    <row r="870" spans="1:4" x14ac:dyDescent="0.3">
      <c r="A870" s="2">
        <f>141.831214745068*(1/3.6)</f>
        <v>39.397559651407676</v>
      </c>
      <c r="B870" s="2">
        <f>267.983168415494*(1/3.6)</f>
        <v>74.439769004303827</v>
      </c>
      <c r="C870" s="2">
        <f t="shared" si="29"/>
        <v>0</v>
      </c>
      <c r="D870" s="2">
        <f t="shared" si="28"/>
        <v>0</v>
      </c>
    </row>
    <row r="871" spans="1:4" x14ac:dyDescent="0.3">
      <c r="A871" s="2">
        <f>145.325736702091*(1/3.6)</f>
        <v>40.368260195025336</v>
      </c>
      <c r="B871" s="2">
        <f>230.570766491091*(1/3.6)</f>
        <v>64.04743513641408</v>
      </c>
      <c r="C871" s="2">
        <f t="shared" si="29"/>
        <v>0</v>
      </c>
      <c r="D871" s="2">
        <f t="shared" si="28"/>
        <v>0</v>
      </c>
    </row>
    <row r="872" spans="1:4" x14ac:dyDescent="0.3">
      <c r="A872" s="2">
        <f>145.915609924221*(1/3.6)</f>
        <v>40.532113867839158</v>
      </c>
      <c r="B872" s="2">
        <f>233.077256274359*(1/3.6)</f>
        <v>64.743682298433129</v>
      </c>
      <c r="C872" s="2">
        <f t="shared" si="29"/>
        <v>0</v>
      </c>
      <c r="D872" s="2">
        <f t="shared" si="28"/>
        <v>0</v>
      </c>
    </row>
    <row r="873" spans="1:4" x14ac:dyDescent="0.3">
      <c r="A873" s="2">
        <f>145.670511725954*(1/3.6)</f>
        <v>40.464031034987123</v>
      </c>
      <c r="B873" s="2">
        <f>229.749767118101*(1/3.6)</f>
        <v>63.819379755028123</v>
      </c>
      <c r="C873" s="2">
        <f t="shared" si="29"/>
        <v>0</v>
      </c>
      <c r="D873" s="2">
        <f t="shared" si="28"/>
        <v>0</v>
      </c>
    </row>
    <row r="874" spans="1:4" x14ac:dyDescent="0.3">
      <c r="A874" s="2">
        <f>145.830653744897*(1/3.6)</f>
        <v>40.50851492913818</v>
      </c>
      <c r="B874" s="2">
        <f>232.484758501657*(1/3.6)</f>
        <v>64.579099583793479</v>
      </c>
      <c r="C874" s="2">
        <f t="shared" si="29"/>
        <v>0</v>
      </c>
      <c r="D874" s="2">
        <f t="shared" si="28"/>
        <v>0</v>
      </c>
    </row>
    <row r="875" spans="1:4" x14ac:dyDescent="0.3">
      <c r="A875" s="2">
        <f>145.66203154215*(1/3.6)</f>
        <v>40.461675428374917</v>
      </c>
      <c r="B875" s="2">
        <f>231.440923211671*(1/3.6)</f>
        <v>64.289145336575217</v>
      </c>
      <c r="C875" s="2">
        <f t="shared" si="29"/>
        <v>0</v>
      </c>
      <c r="D875" s="2">
        <f t="shared" si="28"/>
        <v>0</v>
      </c>
    </row>
    <row r="876" spans="1:4" x14ac:dyDescent="0.3">
      <c r="A876" s="2">
        <f>145.65804014544*(1/3.6)</f>
        <v>40.460566707066533</v>
      </c>
      <c r="B876" s="2">
        <f>232.373488812759*(1/3.6)</f>
        <v>64.548191336877579</v>
      </c>
      <c r="C876" s="2">
        <f t="shared" si="29"/>
        <v>0</v>
      </c>
      <c r="D876" s="2">
        <f t="shared" si="28"/>
        <v>0</v>
      </c>
    </row>
    <row r="877" spans="1:4" x14ac:dyDescent="0.3">
      <c r="A877" s="2">
        <f>145.886713214847*(1/3.6)</f>
        <v>40.524087004124276</v>
      </c>
      <c r="B877" s="2">
        <f>231.679944971981*(1/3.6)</f>
        <v>64.355540269994734</v>
      </c>
      <c r="C877" s="2">
        <f t="shared" si="29"/>
        <v>0</v>
      </c>
      <c r="D877" s="2">
        <f t="shared" si="28"/>
        <v>0</v>
      </c>
    </row>
    <row r="878" spans="1:4" x14ac:dyDescent="0.3">
      <c r="A878" s="2">
        <f>145.725210233537*(1/3.6)</f>
        <v>40.479225064871521</v>
      </c>
      <c r="B878" s="2">
        <f>231.725214554559*(1/3.6)</f>
        <v>64.368115154044148</v>
      </c>
      <c r="C878" s="2">
        <f t="shared" si="29"/>
        <v>0</v>
      </c>
      <c r="D878" s="2">
        <f t="shared" si="28"/>
        <v>0</v>
      </c>
    </row>
    <row r="879" spans="1:4" x14ac:dyDescent="0.3">
      <c r="A879" s="2">
        <f>145.817187083414*(1/3.6)</f>
        <v>40.504774189837228</v>
      </c>
      <c r="B879" s="2">
        <f>230.605832852304*(1/3.6)</f>
        <v>64.05717579230668</v>
      </c>
      <c r="C879" s="2">
        <f t="shared" si="29"/>
        <v>0</v>
      </c>
      <c r="D879" s="2">
        <f t="shared" si="28"/>
        <v>0</v>
      </c>
    </row>
    <row r="880" spans="1:4" x14ac:dyDescent="0.3">
      <c r="A880" s="2">
        <f>145.8829072336*(1/3.6)</f>
        <v>40.523029787110985</v>
      </c>
      <c r="B880" s="2">
        <f>228.677873045243*(1/3.6)</f>
        <v>63.52163140145651</v>
      </c>
      <c r="C880" s="2">
        <f t="shared" si="29"/>
        <v>0</v>
      </c>
      <c r="D880" s="2">
        <f t="shared" si="28"/>
        <v>0</v>
      </c>
    </row>
    <row r="881" spans="1:4" x14ac:dyDescent="0.3">
      <c r="A881" s="2">
        <f>145.878909236745*(1/3.6)</f>
        <v>40.521919232429113</v>
      </c>
      <c r="B881" s="2">
        <f>228.09983131061*(1/3.6)</f>
        <v>63.361064252947344</v>
      </c>
      <c r="C881" s="2">
        <f t="shared" ref="C881:C912" si="32">0*(1/3.6)</f>
        <v>0</v>
      </c>
      <c r="D881" s="2">
        <f t="shared" si="28"/>
        <v>0</v>
      </c>
    </row>
    <row r="882" spans="1:4" x14ac:dyDescent="0.3">
      <c r="A882" s="2">
        <f>145.875629758749*(1/3.6)</f>
        <v>40.521008266319079</v>
      </c>
      <c r="B882" s="2">
        <f>229.497806997184*(1/3.6)</f>
        <v>63.749390832551185</v>
      </c>
      <c r="C882" s="2">
        <f t="shared" si="32"/>
        <v>0</v>
      </c>
      <c r="D882" s="2">
        <f t="shared" si="28"/>
        <v>0</v>
      </c>
    </row>
    <row r="883" spans="1:4" x14ac:dyDescent="0.3">
      <c r="A883" s="2">
        <f>146.085360134963*(1/3.6)</f>
        <v>40.579266704156524</v>
      </c>
      <c r="B883" s="2">
        <f>228.041819175389*(1/3.6)</f>
        <v>63.344949770941511</v>
      </c>
      <c r="C883" s="2">
        <f t="shared" si="32"/>
        <v>0</v>
      </c>
      <c r="D883" s="2">
        <f t="shared" si="28"/>
        <v>0</v>
      </c>
    </row>
    <row r="884" spans="1:4" x14ac:dyDescent="0.3">
      <c r="A884" s="2">
        <f>144.13164661814*(1/3.6)</f>
        <v>40.036568505039021</v>
      </c>
      <c r="B884" s="2">
        <f>251.037900084115*(1/3.6)</f>
        <v>69.732750023365213</v>
      </c>
      <c r="C884" s="2">
        <f t="shared" si="32"/>
        <v>0</v>
      </c>
      <c r="D884" s="2">
        <f t="shared" si="28"/>
        <v>0</v>
      </c>
    </row>
    <row r="885" spans="1:4" x14ac:dyDescent="0.3">
      <c r="A885" s="2">
        <f>145.631221405469*(1/3.6)</f>
        <v>40.453117057074756</v>
      </c>
      <c r="B885" s="2">
        <f>233.047659057201*(1/3.6)</f>
        <v>64.735460849222363</v>
      </c>
      <c r="C885" s="2">
        <f t="shared" si="32"/>
        <v>0</v>
      </c>
      <c r="D885" s="2">
        <f t="shared" si="28"/>
        <v>0</v>
      </c>
    </row>
    <row r="886" spans="1:4" x14ac:dyDescent="0.3">
      <c r="A886" s="2">
        <f>146.201488971072*(1/3.6)</f>
        <v>40.611524714186594</v>
      </c>
      <c r="B886" s="2">
        <f>232.788919027449*(1/3.6)</f>
        <v>64.663588618735972</v>
      </c>
      <c r="C886" s="2">
        <f t="shared" si="32"/>
        <v>0</v>
      </c>
      <c r="D886" s="2">
        <f t="shared" si="28"/>
        <v>0</v>
      </c>
    </row>
    <row r="887" spans="1:4" x14ac:dyDescent="0.3">
      <c r="A887" s="2">
        <f>146.027486303814*(1/3.6)</f>
        <v>40.563190639948196</v>
      </c>
      <c r="B887" s="2">
        <f>230.297452912087*(1/3.6)</f>
        <v>63.971514697801901</v>
      </c>
      <c r="C887" s="2">
        <f t="shared" si="32"/>
        <v>0</v>
      </c>
      <c r="D887" s="2">
        <f t="shared" si="28"/>
        <v>0</v>
      </c>
    </row>
    <row r="888" spans="1:4" x14ac:dyDescent="0.3">
      <c r="A888" s="2">
        <f>145.905285417661*(1/3.6)</f>
        <v>40.529245949350312</v>
      </c>
      <c r="B888" s="2">
        <f>233.616686728028*(1/3.6)</f>
        <v>64.893524091118806</v>
      </c>
      <c r="C888" s="2">
        <f t="shared" si="32"/>
        <v>0</v>
      </c>
      <c r="D888" s="2">
        <f t="shared" si="28"/>
        <v>0</v>
      </c>
    </row>
    <row r="889" spans="1:4" x14ac:dyDescent="0.3">
      <c r="A889" s="2">
        <f>144.348125767683*(1/3.6)</f>
        <v>40.096701602134154</v>
      </c>
      <c r="B889" s="2">
        <f>252.2657691273*(1/3.6)</f>
        <v>70.073824757583466</v>
      </c>
      <c r="C889" s="2">
        <f t="shared" si="32"/>
        <v>0</v>
      </c>
      <c r="D889" s="2">
        <f t="shared" si="28"/>
        <v>0</v>
      </c>
    </row>
    <row r="890" spans="1:4" x14ac:dyDescent="0.3">
      <c r="A890" s="2">
        <f>144.344168856341*(1/3.6)</f>
        <v>40.095602460094618</v>
      </c>
      <c r="B890" s="2">
        <f>251.945364219106*(1/3.6)</f>
        <v>69.984823394196084</v>
      </c>
      <c r="C890" s="2">
        <f t="shared" si="32"/>
        <v>0</v>
      </c>
      <c r="D890" s="2">
        <f t="shared" si="28"/>
        <v>0</v>
      </c>
    </row>
    <row r="891" spans="1:4" x14ac:dyDescent="0.3">
      <c r="A891" s="2">
        <f>144.340211944998*(1/3.6)</f>
        <v>40.094503318055089</v>
      </c>
      <c r="B891" s="2">
        <f>251.348367956223*(1/3.6)</f>
        <v>69.818991098950747</v>
      </c>
      <c r="C891" s="2">
        <f t="shared" si="32"/>
        <v>0</v>
      </c>
      <c r="D891" s="2">
        <f t="shared" si="28"/>
        <v>0</v>
      </c>
    </row>
    <row r="892" spans="1:4" x14ac:dyDescent="0.3">
      <c r="A892" s="2">
        <f>143.98156167288*(1/3.6)</f>
        <v>39.994878242466704</v>
      </c>
      <c r="B892" s="2">
        <f>251.518632572368*(1/3.6)</f>
        <v>69.866286825657824</v>
      </c>
      <c r="C892" s="2">
        <f t="shared" si="32"/>
        <v>0</v>
      </c>
      <c r="D892" s="2">
        <f t="shared" si="28"/>
        <v>0</v>
      </c>
    </row>
    <row r="893" spans="1:4" x14ac:dyDescent="0.3">
      <c r="A893" s="2">
        <f>144.320809563185*(1/3.6)</f>
        <v>40.089113767551488</v>
      </c>
      <c r="B893" s="2">
        <f>251.092710984239*(1/3.6)</f>
        <v>69.747975273399675</v>
      </c>
      <c r="C893" s="2">
        <f t="shared" si="32"/>
        <v>0</v>
      </c>
      <c r="D893" s="2">
        <f t="shared" si="28"/>
        <v>0</v>
      </c>
    </row>
    <row r="894" spans="1:4" x14ac:dyDescent="0.3">
      <c r="A894" s="2">
        <f>144.142733931426*(1/3.6)</f>
        <v>40.039648314285095</v>
      </c>
      <c r="B894" s="2">
        <f>250.62353684576*(1/3.6)</f>
        <v>69.617649123822133</v>
      </c>
      <c r="C894" s="2">
        <f t="shared" si="32"/>
        <v>0</v>
      </c>
      <c r="D894" s="2">
        <f t="shared" si="28"/>
        <v>0</v>
      </c>
    </row>
    <row r="895" spans="1:4" x14ac:dyDescent="0.3">
      <c r="A895" s="2">
        <f>144.160021599442*(1/3.6)</f>
        <v>40.044450444289375</v>
      </c>
      <c r="B895" s="2">
        <f>250.255072164219*(1/3.6)</f>
        <v>69.515297823394306</v>
      </c>
      <c r="C895" s="2">
        <f t="shared" si="32"/>
        <v>0</v>
      </c>
      <c r="D895" s="2">
        <f t="shared" si="28"/>
        <v>0</v>
      </c>
    </row>
    <row r="896" spans="1:4" x14ac:dyDescent="0.3">
      <c r="A896" s="2">
        <f>144.103899944981*(1/3.6)</f>
        <v>40.028861095828042</v>
      </c>
      <c r="B896" s="2">
        <f>250.417680593173*(1/3.6)</f>
        <v>69.560466831437068</v>
      </c>
      <c r="C896" s="2">
        <f t="shared" si="32"/>
        <v>0</v>
      </c>
      <c r="D896" s="2">
        <f t="shared" si="28"/>
        <v>0</v>
      </c>
    </row>
    <row r="897" spans="1:4" x14ac:dyDescent="0.3">
      <c r="A897" s="2">
        <f>144.131854664861*(1/3.6)</f>
        <v>40.036626295794605</v>
      </c>
      <c r="B897" s="2">
        <f>250.311786718947*(1/3.6)</f>
        <v>69.531051866374298</v>
      </c>
      <c r="C897" s="2">
        <f t="shared" si="32"/>
        <v>0</v>
      </c>
      <c r="D897" s="2">
        <f t="shared" si="28"/>
        <v>0</v>
      </c>
    </row>
    <row r="898" spans="1:4" x14ac:dyDescent="0.3">
      <c r="A898" s="2">
        <f>144.312513565602*(1/3.6)</f>
        <v>40.086809323778361</v>
      </c>
      <c r="B898" s="2">
        <f>249.985201504891*(1/3.6)</f>
        <v>69.440333751358722</v>
      </c>
      <c r="C898" s="2">
        <f t="shared" si="32"/>
        <v>0</v>
      </c>
      <c r="D898" s="2">
        <f t="shared" ref="D898:D961" si="33">0*(1/3.6)</f>
        <v>0</v>
      </c>
    </row>
    <row r="899" spans="1:4" x14ac:dyDescent="0.3">
      <c r="A899" s="2">
        <f>144.171837189171*(1/3.6)</f>
        <v>40.047732552547394</v>
      </c>
      <c r="B899" s="2">
        <f>249.767357278556*(1/3.6)</f>
        <v>69.379821466265497</v>
      </c>
      <c r="C899" s="2">
        <f t="shared" si="32"/>
        <v>0</v>
      </c>
      <c r="D899" s="2">
        <f t="shared" si="33"/>
        <v>0</v>
      </c>
    </row>
    <row r="900" spans="1:4" x14ac:dyDescent="0.3">
      <c r="A900" s="2">
        <f>144.304599742917*(1/3.6)</f>
        <v>40.084611039699297</v>
      </c>
      <c r="B900" s="2">
        <f>249.435802372618*(1/3.6)</f>
        <v>69.287722881282804</v>
      </c>
      <c r="C900" s="2">
        <f t="shared" si="32"/>
        <v>0</v>
      </c>
      <c r="D900" s="2">
        <f t="shared" si="33"/>
        <v>0</v>
      </c>
    </row>
    <row r="901" spans="1:4" x14ac:dyDescent="0.3">
      <c r="A901" s="2">
        <f>144.984307856454*(1/3.6)</f>
        <v>40.27341884901508</v>
      </c>
      <c r="B901" s="2">
        <f>249.939364132784*(1/3.6)</f>
        <v>69.42760114799546</v>
      </c>
      <c r="C901" s="2">
        <f t="shared" si="32"/>
        <v>0</v>
      </c>
      <c r="D901" s="2">
        <f t="shared" si="33"/>
        <v>0</v>
      </c>
    </row>
    <row r="902" spans="1:4" x14ac:dyDescent="0.3">
      <c r="A902" s="2">
        <f>144.17334363761*(1/3.6)</f>
        <v>40.048151010447157</v>
      </c>
      <c r="B902" s="2">
        <f>249.075444291785*(1/3.6)</f>
        <v>69.187623414384589</v>
      </c>
      <c r="C902" s="2">
        <f t="shared" si="32"/>
        <v>0</v>
      </c>
      <c r="D902" s="2">
        <f t="shared" si="33"/>
        <v>0</v>
      </c>
    </row>
    <row r="903" spans="1:4" x14ac:dyDescent="0.3">
      <c r="A903" s="2">
        <f>144.292729008891*(1/3.6)</f>
        <v>40.081313613580704</v>
      </c>
      <c r="B903" s="2">
        <f>249.4961504898*(1/3.6)</f>
        <v>69.304486247166594</v>
      </c>
      <c r="C903" s="2">
        <f t="shared" si="32"/>
        <v>0</v>
      </c>
      <c r="D903" s="2">
        <f t="shared" si="33"/>
        <v>0</v>
      </c>
    </row>
    <row r="904" spans="1:4" x14ac:dyDescent="0.3">
      <c r="A904" s="2">
        <f>144.165365895119*(1/3.6)</f>
        <v>40.045934970866313</v>
      </c>
      <c r="B904" s="2">
        <f>248.664795507328*(1/3.6)</f>
        <v>69.07355430759111</v>
      </c>
      <c r="C904" s="2">
        <f t="shared" si="32"/>
        <v>0</v>
      </c>
      <c r="D904" s="2">
        <f t="shared" si="33"/>
        <v>0</v>
      </c>
    </row>
    <row r="905" spans="1:4" x14ac:dyDescent="0.3">
      <c r="A905" s="2">
        <f>144.09926388144*(1/3.6)</f>
        <v>40.027573300400043</v>
      </c>
      <c r="B905" s="2">
        <f>248.71936403529*(1/3.6)</f>
        <v>69.088712232025088</v>
      </c>
      <c r="C905" s="2">
        <f t="shared" si="32"/>
        <v>0</v>
      </c>
      <c r="D905" s="2">
        <f t="shared" si="33"/>
        <v>0</v>
      </c>
    </row>
    <row r="906" spans="1:4" x14ac:dyDescent="0.3">
      <c r="A906" s="2">
        <f>143.928287461478*(1/3.6)</f>
        <v>39.980079850410647</v>
      </c>
      <c r="B906" s="2">
        <f>248.503281963559*(1/3.6)</f>
        <v>69.028689434321933</v>
      </c>
      <c r="C906" s="2">
        <f t="shared" si="32"/>
        <v>0</v>
      </c>
      <c r="D906" s="2">
        <f t="shared" si="33"/>
        <v>0</v>
      </c>
    </row>
    <row r="907" spans="1:4" x14ac:dyDescent="0.3">
      <c r="A907" s="2">
        <f>144.363041785527*(1/3.6)</f>
        <v>40.100844940424153</v>
      </c>
      <c r="B907" s="2">
        <f>248.343780352*(1/3.6)</f>
        <v>68.984383431111041</v>
      </c>
      <c r="C907" s="2">
        <f t="shared" si="32"/>
        <v>0</v>
      </c>
      <c r="D907" s="2">
        <f t="shared" si="33"/>
        <v>0</v>
      </c>
    </row>
    <row r="908" spans="1:4" x14ac:dyDescent="0.3">
      <c r="A908" s="2">
        <f>144.272944452179*(1/3.6)</f>
        <v>40.07581790338304</v>
      </c>
      <c r="B908" s="2">
        <f>248.070665158776*(1/3.6)</f>
        <v>68.908518099660071</v>
      </c>
      <c r="C908" s="2">
        <f t="shared" si="32"/>
        <v>0</v>
      </c>
      <c r="D908" s="2">
        <f t="shared" si="33"/>
        <v>0</v>
      </c>
    </row>
    <row r="909" spans="1:4" x14ac:dyDescent="0.3">
      <c r="A909" s="2">
        <f>144.594559167123*(1/3.6)</f>
        <v>40.165155324200782</v>
      </c>
      <c r="B909" s="2">
        <f>248.085580219492*(1/3.6)</f>
        <v>68.912661172081243</v>
      </c>
      <c r="C909" s="2">
        <f t="shared" si="32"/>
        <v>0</v>
      </c>
      <c r="D909" s="2">
        <f t="shared" si="33"/>
        <v>0</v>
      </c>
    </row>
    <row r="910" spans="1:4" x14ac:dyDescent="0.3">
      <c r="A910" s="2">
        <f>144.018964532776*(1/3.6)</f>
        <v>40.005267925771008</v>
      </c>
      <c r="B910" s="2">
        <f>247.545693717151*(1/3.6)</f>
        <v>68.762692699208571</v>
      </c>
      <c r="C910" s="2">
        <f t="shared" si="32"/>
        <v>0</v>
      </c>
      <c r="D910" s="2">
        <f t="shared" si="33"/>
        <v>0</v>
      </c>
    </row>
    <row r="911" spans="1:4" x14ac:dyDescent="0.3">
      <c r="A911" s="2">
        <f>144.261073718152*(1/3.6)</f>
        <v>40.07252047726444</v>
      </c>
      <c r="B911" s="2">
        <f>247.473597979818*(1/3.6)</f>
        <v>68.74266610550508</v>
      </c>
      <c r="C911" s="2">
        <f t="shared" si="32"/>
        <v>0</v>
      </c>
      <c r="D911" s="2">
        <f t="shared" si="33"/>
        <v>0</v>
      </c>
    </row>
    <row r="912" spans="1:4" x14ac:dyDescent="0.3">
      <c r="A912" s="2">
        <f>144.427425768863*(1/3.6)</f>
        <v>40.118729380239763</v>
      </c>
      <c r="B912" s="2">
        <f>247.602763739615*(1/3.6)</f>
        <v>68.778545483226381</v>
      </c>
      <c r="C912" s="2">
        <f t="shared" si="32"/>
        <v>0</v>
      </c>
      <c r="D912" s="2">
        <f t="shared" si="33"/>
        <v>0</v>
      </c>
    </row>
    <row r="913" spans="1:4" x14ac:dyDescent="0.3">
      <c r="A913" s="2">
        <f>144.326231502865*(1/3.6)</f>
        <v>40.090619861906809</v>
      </c>
      <c r="B913" s="2">
        <f>246.644801745316*(1/3.6)</f>
        <v>68.512444929254329</v>
      </c>
      <c r="C913" s="2">
        <f t="shared" ref="C913:C944" si="34">0*(1/3.6)</f>
        <v>0</v>
      </c>
      <c r="D913" s="2">
        <f t="shared" si="33"/>
        <v>0</v>
      </c>
    </row>
    <row r="914" spans="1:4" x14ac:dyDescent="0.3">
      <c r="A914" s="2">
        <f>144.615756254964*(1/3.6)</f>
        <v>40.171043404156741</v>
      </c>
      <c r="B914" s="2">
        <f>246.410496993816*(1/3.6)</f>
        <v>68.447360276059968</v>
      </c>
      <c r="C914" s="2">
        <f t="shared" si="34"/>
        <v>0</v>
      </c>
      <c r="D914" s="2">
        <f t="shared" si="33"/>
        <v>0</v>
      </c>
    </row>
    <row r="915" spans="1:4" x14ac:dyDescent="0.3">
      <c r="A915" s="2">
        <f>144.476574040458*(1/3.6)</f>
        <v>40.132381677905009</v>
      </c>
      <c r="B915" s="2">
        <f>246.782212212319*(1/3.6)</f>
        <v>68.550614503422011</v>
      </c>
      <c r="C915" s="2">
        <f t="shared" si="34"/>
        <v>0</v>
      </c>
      <c r="D915" s="2">
        <f t="shared" si="33"/>
        <v>0</v>
      </c>
    </row>
    <row r="916" spans="1:4" x14ac:dyDescent="0.3">
      <c r="A916" s="2">
        <f>144.323406794579*(1/3.6)</f>
        <v>40.089835220716481</v>
      </c>
      <c r="B916" s="2">
        <f>246.173951319282*(1/3.6)</f>
        <v>68.381653144245107</v>
      </c>
      <c r="C916" s="2">
        <f t="shared" si="34"/>
        <v>0</v>
      </c>
      <c r="D916" s="2">
        <f t="shared" si="33"/>
        <v>0</v>
      </c>
    </row>
    <row r="917" spans="1:4" x14ac:dyDescent="0.3">
      <c r="A917" s="2">
        <f>144.237332250098*(1/3.6)</f>
        <v>40.065925625027248</v>
      </c>
      <c r="B917" s="2">
        <f>246.210313209582*(1/3.6)</f>
        <v>68.391753669328452</v>
      </c>
      <c r="C917" s="2">
        <f t="shared" si="34"/>
        <v>0</v>
      </c>
      <c r="D917" s="2">
        <f t="shared" si="33"/>
        <v>0</v>
      </c>
    </row>
    <row r="918" spans="1:4" x14ac:dyDescent="0.3">
      <c r="A918" s="2">
        <f>144.233375338756*(1/3.6)</f>
        <v>40.064826482987712</v>
      </c>
      <c r="B918" s="2">
        <f>245.752578041726*(1/3.6)</f>
        <v>68.264605011590461</v>
      </c>
      <c r="C918" s="2">
        <f t="shared" si="34"/>
        <v>0</v>
      </c>
      <c r="D918" s="2">
        <f t="shared" si="33"/>
        <v>0</v>
      </c>
    </row>
    <row r="919" spans="1:4" x14ac:dyDescent="0.3">
      <c r="A919" s="2">
        <f>144.409731407907*(1/3.6)</f>
        <v>40.113814279974264</v>
      </c>
      <c r="B919" s="2">
        <f>245.73945269682*(1/3.6)</f>
        <v>68.260959082450071</v>
      </c>
      <c r="C919" s="2">
        <f t="shared" si="34"/>
        <v>0</v>
      </c>
      <c r="D919" s="2">
        <f t="shared" si="33"/>
        <v>0</v>
      </c>
    </row>
    <row r="920" spans="1:4" x14ac:dyDescent="0.3">
      <c r="A920" s="2">
        <f>144.410092001295*(1/3.6)</f>
        <v>40.113914444804031</v>
      </c>
      <c r="B920" s="2">
        <f>245.004668484818*(1/3.6)</f>
        <v>68.05685235689387</v>
      </c>
      <c r="C920" s="2">
        <f t="shared" si="34"/>
        <v>0</v>
      </c>
      <c r="D920" s="2">
        <f t="shared" si="33"/>
        <v>0</v>
      </c>
    </row>
    <row r="921" spans="1:4" x14ac:dyDescent="0.3">
      <c r="A921" s="2">
        <f>144.246262097585*(1/3.6)</f>
        <v>40.068406138218165</v>
      </c>
      <c r="B921" s="2">
        <f>245.507629750956*(1/3.6)</f>
        <v>68.196563819709894</v>
      </c>
      <c r="C921" s="2">
        <f t="shared" si="34"/>
        <v>0</v>
      </c>
      <c r="D921" s="2">
        <f t="shared" si="33"/>
        <v>0</v>
      </c>
    </row>
    <row r="922" spans="1:4" x14ac:dyDescent="0.3">
      <c r="A922" s="2">
        <f>144.401524747267*(1/3.6)</f>
        <v>40.111534652018562</v>
      </c>
      <c r="B922" s="2">
        <f>244.556150298803*(1/3.6)</f>
        <v>67.93226397188964</v>
      </c>
      <c r="C922" s="2">
        <f t="shared" si="34"/>
        <v>0</v>
      </c>
      <c r="D922" s="2">
        <f t="shared" si="33"/>
        <v>0</v>
      </c>
    </row>
    <row r="923" spans="1:4" x14ac:dyDescent="0.3">
      <c r="A923" s="2">
        <f>144.321073562817*(1/3.6)</f>
        <v>40.089187100782482</v>
      </c>
      <c r="B923" s="2">
        <f>244.947933883546*(1/3.6)</f>
        <v>68.041092745429552</v>
      </c>
      <c r="C923" s="2">
        <f t="shared" si="34"/>
        <v>0</v>
      </c>
      <c r="D923" s="2">
        <f t="shared" si="33"/>
        <v>0</v>
      </c>
    </row>
    <row r="924" spans="1:4" x14ac:dyDescent="0.3">
      <c r="A924" s="2">
        <f>143.962805958289*(1/3.6)</f>
        <v>39.989668321747047</v>
      </c>
      <c r="B924" s="2">
        <f>244.998441730503*(1/3.6)</f>
        <v>68.055122702917629</v>
      </c>
      <c r="C924" s="2">
        <f t="shared" si="34"/>
        <v>0</v>
      </c>
      <c r="D924" s="2">
        <f t="shared" si="33"/>
        <v>0</v>
      </c>
    </row>
    <row r="925" spans="1:4" x14ac:dyDescent="0.3">
      <c r="A925" s="2">
        <f>144.20567695936*(1/3.6)</f>
        <v>40.057132488710998</v>
      </c>
      <c r="B925" s="2">
        <f>244.321363388991*(1/3.6)</f>
        <v>67.86704538583092</v>
      </c>
      <c r="C925" s="2">
        <f t="shared" si="34"/>
        <v>0</v>
      </c>
      <c r="D925" s="2">
        <f t="shared" si="33"/>
        <v>0</v>
      </c>
    </row>
    <row r="926" spans="1:4" x14ac:dyDescent="0.3">
      <c r="A926" s="2">
        <f>144.022159914941*(1/3.6)</f>
        <v>40.006155531927931</v>
      </c>
      <c r="B926" s="2">
        <f>244.324953199425*(1/3.6)</f>
        <v>67.868042555395846</v>
      </c>
      <c r="C926" s="2">
        <f t="shared" si="34"/>
        <v>0</v>
      </c>
      <c r="D926" s="2">
        <f t="shared" si="33"/>
        <v>0</v>
      </c>
    </row>
    <row r="927" spans="1:4" x14ac:dyDescent="0.3">
      <c r="A927" s="2">
        <f>144.328953322853*(1/3.6)</f>
        <v>40.091375923014667</v>
      </c>
      <c r="B927" s="2">
        <f>244.31643309362*(1/3.6)</f>
        <v>67.865675859338978</v>
      </c>
      <c r="C927" s="2">
        <f t="shared" si="34"/>
        <v>0</v>
      </c>
      <c r="D927" s="2">
        <f t="shared" si="33"/>
        <v>0</v>
      </c>
    </row>
    <row r="928" spans="1:4" x14ac:dyDescent="0.3">
      <c r="A928" s="2">
        <f>144.47949637722*(1/3.6)</f>
        <v>40.133193438116713</v>
      </c>
      <c r="B928" s="2">
        <f>243.728078817679*(1/3.6)</f>
        <v>67.702244116021831</v>
      </c>
      <c r="C928" s="2">
        <f t="shared" si="34"/>
        <v>0</v>
      </c>
      <c r="D928" s="2">
        <f t="shared" si="33"/>
        <v>0</v>
      </c>
    </row>
    <row r="929" spans="1:4" x14ac:dyDescent="0.3">
      <c r="A929" s="2">
        <f>144.004420136016*(1/3.6)</f>
        <v>40.001227815559936</v>
      </c>
      <c r="B929" s="2">
        <f>243.396779895057*(1/3.6)</f>
        <v>67.610216637515734</v>
      </c>
      <c r="C929" s="2">
        <f t="shared" si="34"/>
        <v>0</v>
      </c>
      <c r="D929" s="2">
        <f t="shared" si="33"/>
        <v>0</v>
      </c>
    </row>
    <row r="930" spans="1:4" x14ac:dyDescent="0.3">
      <c r="A930" s="2">
        <f>144.369829074153*(1/3.6)</f>
        <v>40.102730298375839</v>
      </c>
      <c r="B930" s="2">
        <f>243.315885068104*(1/3.6)</f>
        <v>67.587745852251047</v>
      </c>
      <c r="C930" s="2">
        <f t="shared" si="34"/>
        <v>0</v>
      </c>
      <c r="D930" s="2">
        <f t="shared" si="33"/>
        <v>0</v>
      </c>
    </row>
    <row r="931" spans="1:4" x14ac:dyDescent="0.3">
      <c r="A931" s="2">
        <f>123.217740341182*(1/3.6)</f>
        <v>34.22715009477281</v>
      </c>
      <c r="B931" s="2">
        <f>242.998584475907*(1/3.6)</f>
        <v>67.499606798863013</v>
      </c>
      <c r="C931" s="2">
        <f t="shared" si="34"/>
        <v>0</v>
      </c>
      <c r="D931" s="2">
        <f t="shared" si="33"/>
        <v>0</v>
      </c>
    </row>
    <row r="932" spans="1:4" x14ac:dyDescent="0.3">
      <c r="A932" s="2">
        <f>143.80566295354*(1/3.6)</f>
        <v>39.946017487094394</v>
      </c>
      <c r="B932" s="2">
        <f>242.91493423258*(1/3.6)</f>
        <v>67.476370620161106</v>
      </c>
      <c r="C932" s="2">
        <f t="shared" si="34"/>
        <v>0</v>
      </c>
      <c r="D932" s="2">
        <f t="shared" si="33"/>
        <v>0</v>
      </c>
    </row>
    <row r="933" spans="1:4" x14ac:dyDescent="0.3">
      <c r="A933" s="2">
        <f>144.057908505659*(1/3.6)</f>
        <v>40.01608569601629</v>
      </c>
      <c r="B933" s="2">
        <f>242.661978930145*(1/3.6)</f>
        <v>67.4061052583736</v>
      </c>
      <c r="C933" s="2">
        <f t="shared" si="34"/>
        <v>0</v>
      </c>
      <c r="D933" s="2">
        <f t="shared" si="33"/>
        <v>0</v>
      </c>
    </row>
    <row r="934" spans="1:4" x14ac:dyDescent="0.3">
      <c r="A934" s="2">
        <f>144.170064757279*(1/3.6)</f>
        <v>40.047240210355206</v>
      </c>
      <c r="B934" s="2">
        <f>242.670878833667*(1/3.6)</f>
        <v>67.408577453796454</v>
      </c>
      <c r="C934" s="2">
        <f t="shared" si="34"/>
        <v>0</v>
      </c>
      <c r="D934" s="2">
        <f t="shared" si="33"/>
        <v>0</v>
      </c>
    </row>
    <row r="935" spans="1:4" x14ac:dyDescent="0.3">
      <c r="A935" s="2">
        <f>144.350019278457*(1/3.6)</f>
        <v>40.097227577349138</v>
      </c>
      <c r="B935" s="2">
        <f>242.434663390717*(1/3.6)</f>
        <v>67.342962052976929</v>
      </c>
      <c r="C935" s="2">
        <f t="shared" si="34"/>
        <v>0</v>
      </c>
      <c r="D935" s="2">
        <f t="shared" si="33"/>
        <v>0</v>
      </c>
    </row>
    <row r="936" spans="1:4" x14ac:dyDescent="0.3">
      <c r="A936" s="2">
        <f>144.509166697923*(1/3.6)</f>
        <v>40.141435193867579</v>
      </c>
      <c r="B936" s="2">
        <f>242.533828025947*(1/3.6)</f>
        <v>67.370507784985151</v>
      </c>
      <c r="C936" s="2">
        <f t="shared" si="34"/>
        <v>0</v>
      </c>
      <c r="D936" s="2">
        <f t="shared" si="33"/>
        <v>0</v>
      </c>
    </row>
    <row r="937" spans="1:4" x14ac:dyDescent="0.3">
      <c r="A937" s="2">
        <f>144.377300059581*(1/3.6)</f>
        <v>40.104805572105718</v>
      </c>
      <c r="B937" s="2">
        <f>242.080684440187*(1/3.6)</f>
        <v>67.244634566718574</v>
      </c>
      <c r="C937" s="2">
        <f t="shared" si="34"/>
        <v>0</v>
      </c>
      <c r="D937" s="2">
        <f t="shared" si="33"/>
        <v>0</v>
      </c>
    </row>
    <row r="938" spans="1:4" x14ac:dyDescent="0.3">
      <c r="A938" s="2">
        <f>144.579265321009*(1/3.6)</f>
        <v>40.160907033613498</v>
      </c>
      <c r="B938" s="2">
        <f>241.952114370946*(1/3.6)</f>
        <v>67.208920658596185</v>
      </c>
      <c r="C938" s="2">
        <f t="shared" si="34"/>
        <v>0</v>
      </c>
      <c r="D938" s="2">
        <f t="shared" si="33"/>
        <v>0</v>
      </c>
    </row>
    <row r="939" spans="1:4" x14ac:dyDescent="0.3">
      <c r="A939" s="2">
        <f>144.843261250376*(1/3.6)</f>
        <v>40.23423923621543</v>
      </c>
      <c r="B939" s="2">
        <f>241.565779543427*(1/3.6)</f>
        <v>67.101605428729656</v>
      </c>
      <c r="C939" s="2">
        <f t="shared" si="34"/>
        <v>0</v>
      </c>
      <c r="D939" s="2">
        <f t="shared" si="33"/>
        <v>0</v>
      </c>
    </row>
    <row r="940" spans="1:4" x14ac:dyDescent="0.3">
      <c r="A940" s="2">
        <f>144.873004237321*(1/3.6)</f>
        <v>40.242501177033589</v>
      </c>
      <c r="B940" s="2">
        <f>241.290747854311*(1/3.6)</f>
        <v>67.025207737308691</v>
      </c>
      <c r="C940" s="2">
        <f t="shared" si="34"/>
        <v>0</v>
      </c>
      <c r="D940" s="2">
        <f t="shared" si="33"/>
        <v>0</v>
      </c>
    </row>
    <row r="941" spans="1:4" x14ac:dyDescent="0.3">
      <c r="A941" s="2">
        <f>144.811223482957*(1/3.6)</f>
        <v>40.225339856377047</v>
      </c>
      <c r="B941" s="2">
        <f>241.403347229856*(1/3.6)</f>
        <v>67.056485341626583</v>
      </c>
      <c r="C941" s="2">
        <f t="shared" si="34"/>
        <v>0</v>
      </c>
      <c r="D941" s="2">
        <f t="shared" si="33"/>
        <v>0</v>
      </c>
    </row>
    <row r="942" spans="1:4" x14ac:dyDescent="0.3">
      <c r="A942" s="2">
        <f>145.098750465452*(1/3.6)</f>
        <v>40.305208462625608</v>
      </c>
      <c r="B942" s="2">
        <f>241.88912054525*(1/3.6)</f>
        <v>67.191422373680552</v>
      </c>
      <c r="C942" s="2">
        <f t="shared" si="34"/>
        <v>0</v>
      </c>
      <c r="D942" s="2">
        <f t="shared" si="33"/>
        <v>0</v>
      </c>
    </row>
    <row r="943" spans="1:4" x14ac:dyDescent="0.3">
      <c r="A943" s="2">
        <f>144.681630783003*(1/3.6)</f>
        <v>40.189341884167504</v>
      </c>
      <c r="B943" s="2">
        <f>240.666144066813*(1/3.6)</f>
        <v>66.851706685225736</v>
      </c>
      <c r="C943" s="2">
        <f t="shared" si="34"/>
        <v>0</v>
      </c>
      <c r="D943" s="2">
        <f t="shared" si="33"/>
        <v>0</v>
      </c>
    </row>
    <row r="944" spans="1:4" x14ac:dyDescent="0.3">
      <c r="A944" s="2">
        <f>144.821126728201*(1/3.6)</f>
        <v>40.228090757833606</v>
      </c>
      <c r="B944" s="2">
        <f>240.760322818544*(1/3.6)</f>
        <v>66.877867449595655</v>
      </c>
      <c r="C944" s="2">
        <f t="shared" si="34"/>
        <v>0</v>
      </c>
      <c r="D944" s="2">
        <f t="shared" si="33"/>
        <v>0</v>
      </c>
    </row>
    <row r="945" spans="1:4" x14ac:dyDescent="0.3">
      <c r="A945" s="2">
        <f>142.991319966968*(1/3.6)</f>
        <v>39.719811101935562</v>
      </c>
      <c r="B945" s="2">
        <f>252.255548785613*(1/3.6)</f>
        <v>70.070985773781359</v>
      </c>
      <c r="C945" s="2">
        <f t="shared" ref="C945:C959" si="35">0*(1/3.6)</f>
        <v>0</v>
      </c>
      <c r="D945" s="2">
        <f t="shared" si="33"/>
        <v>0</v>
      </c>
    </row>
    <row r="946" spans="1:4" x14ac:dyDescent="0.3">
      <c r="A946" s="2">
        <f>143.79761419863*(1/3.6)</f>
        <v>39.94378172184156</v>
      </c>
      <c r="B946" s="2">
        <f>252.663055663518*(1/3.6)</f>
        <v>70.184182128754884</v>
      </c>
      <c r="C946" s="2">
        <f t="shared" si="35"/>
        <v>0</v>
      </c>
      <c r="D946" s="2">
        <f t="shared" si="33"/>
        <v>0</v>
      </c>
    </row>
    <row r="947" spans="1:4" x14ac:dyDescent="0.3">
      <c r="A947" s="2">
        <f>142.902427681831*(1/3.6)</f>
        <v>39.695118800508737</v>
      </c>
      <c r="B947" s="2">
        <f>251.093879316763*(1/3.6)</f>
        <v>69.748299810211932</v>
      </c>
      <c r="C947" s="2">
        <f t="shared" si="35"/>
        <v>0</v>
      </c>
      <c r="D947" s="2">
        <f t="shared" si="33"/>
        <v>0</v>
      </c>
    </row>
    <row r="948" spans="1:4" x14ac:dyDescent="0.3">
      <c r="A948" s="2">
        <f>143.104301750954*(1/3.6)</f>
        <v>39.751194930820482</v>
      </c>
      <c r="B948" s="2">
        <f>251.267622572946*(1/3.6)</f>
        <v>69.796561825818316</v>
      </c>
      <c r="C948" s="2">
        <f t="shared" si="35"/>
        <v>0</v>
      </c>
      <c r="D948" s="2">
        <f t="shared" si="33"/>
        <v>0</v>
      </c>
    </row>
    <row r="949" spans="1:4" x14ac:dyDescent="0.3">
      <c r="A949" s="2">
        <f>143.169143087193*(1/3.6)</f>
        <v>39.769206413109288</v>
      </c>
      <c r="B949" s="2">
        <f>250.622162146985*(1/3.6)</f>
        <v>69.617267263051374</v>
      </c>
      <c r="C949" s="2">
        <f t="shared" si="35"/>
        <v>0</v>
      </c>
      <c r="D949" s="2">
        <f t="shared" si="33"/>
        <v>0</v>
      </c>
    </row>
    <row r="950" spans="1:4" x14ac:dyDescent="0.3">
      <c r="A950" s="2">
        <f>142.940205523257*(1/3.6)</f>
        <v>39.705612645349234</v>
      </c>
      <c r="B950" s="2">
        <f>250.522009506346*(1/3.6)</f>
        <v>69.589447085096083</v>
      </c>
      <c r="C950" s="2">
        <f t="shared" si="35"/>
        <v>0</v>
      </c>
      <c r="D950" s="2">
        <f t="shared" si="33"/>
        <v>0</v>
      </c>
    </row>
    <row r="951" spans="1:4" x14ac:dyDescent="0.3">
      <c r="A951" s="2">
        <f>143.351780380786*(1/3.6)</f>
        <v>39.819938994662706</v>
      </c>
      <c r="B951" s="2">
        <f>250.454311566604*(1/3.6)</f>
        <v>69.57064210183438</v>
      </c>
      <c r="C951" s="2">
        <f t="shared" si="35"/>
        <v>0</v>
      </c>
      <c r="D951" s="2">
        <f t="shared" si="33"/>
        <v>0</v>
      </c>
    </row>
    <row r="952" spans="1:4" x14ac:dyDescent="0.3">
      <c r="A952" s="2">
        <f>143.219278775282*(1/3.6)</f>
        <v>39.783132993133975</v>
      </c>
      <c r="B952" s="2">
        <f>250.195132012058*(1/3.6)</f>
        <v>69.498647781127119</v>
      </c>
      <c r="C952" s="2">
        <f t="shared" si="35"/>
        <v>0</v>
      </c>
      <c r="D952" s="2">
        <f t="shared" si="33"/>
        <v>0</v>
      </c>
    </row>
    <row r="953" spans="1:4" x14ac:dyDescent="0.3">
      <c r="A953" s="2">
        <f>143.344707230588*(1/3.6)</f>
        <v>39.817974230718917</v>
      </c>
      <c r="B953" s="2">
        <f>250.040546977594*(1/3.6)</f>
        <v>69.455707493776103</v>
      </c>
      <c r="C953" s="2">
        <f t="shared" si="35"/>
        <v>0</v>
      </c>
      <c r="D953" s="2">
        <f t="shared" si="33"/>
        <v>0</v>
      </c>
    </row>
    <row r="954" spans="1:4" x14ac:dyDescent="0.3">
      <c r="A954" s="2">
        <f>143.340770919427*(1/3.6)</f>
        <v>39.816880810952036</v>
      </c>
      <c r="B954" s="2">
        <f>249.814756845852*(1/3.6)</f>
        <v>69.392988012736581</v>
      </c>
      <c r="C954" s="2">
        <f t="shared" si="35"/>
        <v>0</v>
      </c>
      <c r="D954" s="2">
        <f t="shared" si="33"/>
        <v>0</v>
      </c>
    </row>
    <row r="955" spans="1:4" x14ac:dyDescent="0.3">
      <c r="A955" s="2">
        <f>143.228041787565*(1/3.6)</f>
        <v>39.785567163212605</v>
      </c>
      <c r="B955" s="2">
        <f>249.454666313896*(1/3.6)</f>
        <v>69.292962864971201</v>
      </c>
      <c r="C955" s="2">
        <f t="shared" si="35"/>
        <v>0</v>
      </c>
      <c r="D955" s="2">
        <f t="shared" si="33"/>
        <v>0</v>
      </c>
    </row>
    <row r="956" spans="1:4" x14ac:dyDescent="0.3">
      <c r="A956" s="2">
        <f>143.141625679132*(1/3.6)</f>
        <v>39.761562688647672</v>
      </c>
      <c r="B956" s="2">
        <f>249.276332304964*(1/3.6)</f>
        <v>69.243425640267873</v>
      </c>
      <c r="C956" s="2">
        <f t="shared" si="35"/>
        <v>0</v>
      </c>
      <c r="D956" s="2">
        <f t="shared" si="33"/>
        <v>0</v>
      </c>
    </row>
    <row r="957" spans="1:4" x14ac:dyDescent="0.3">
      <c r="A957" s="2">
        <f>143.310269968112*(1/3.6)</f>
        <v>39.808408324475543</v>
      </c>
      <c r="B957" s="2">
        <f>249.289774861288*(1/3.6)</f>
        <v>69.24715968369118</v>
      </c>
      <c r="C957" s="2">
        <f t="shared" si="35"/>
        <v>0</v>
      </c>
      <c r="D957" s="2">
        <f t="shared" si="33"/>
        <v>0</v>
      </c>
    </row>
    <row r="958" spans="1:4" x14ac:dyDescent="0.3">
      <c r="A958" s="2">
        <f>143.325025674784*(1/3.6)</f>
        <v>39.812507131884509</v>
      </c>
      <c r="B958" s="2">
        <f>248.849847113729*(1/3.6)</f>
        <v>69.124957531591306</v>
      </c>
      <c r="C958" s="2">
        <f t="shared" si="35"/>
        <v>0</v>
      </c>
      <c r="D958" s="2">
        <f t="shared" si="33"/>
        <v>0</v>
      </c>
    </row>
    <row r="959" spans="1:4" x14ac:dyDescent="0.3">
      <c r="A959" s="2">
        <f>143.688287525513*(1/3.6)</f>
        <v>39.91341320153127</v>
      </c>
      <c r="B959" s="2">
        <f>248.70009405249*(1/3.6)</f>
        <v>69.083359459024862</v>
      </c>
      <c r="C959" s="2">
        <f t="shared" si="35"/>
        <v>0</v>
      </c>
      <c r="D959" s="2">
        <f t="shared" si="33"/>
        <v>0</v>
      </c>
    </row>
    <row r="960" spans="1:4" x14ac:dyDescent="0.3">
      <c r="A960" s="2">
        <f>138.233326384742*(1/3.6)</f>
        <v>38.398146217983992</v>
      </c>
      <c r="B960" s="2">
        <f>202.96763486217*(1/3.6)</f>
        <v>56.379898572824885</v>
      </c>
      <c r="C960" s="2">
        <f>165.083500963628*(1/3.6)</f>
        <v>45.856528045452144</v>
      </c>
      <c r="D960" s="2">
        <f t="shared" si="33"/>
        <v>0</v>
      </c>
    </row>
    <row r="961" spans="1:4" x14ac:dyDescent="0.3">
      <c r="A961" s="2">
        <f>138.648389088387*(1/3.6)</f>
        <v>38.513441413440837</v>
      </c>
      <c r="B961" s="2">
        <f>203.680904653662*(1/3.6)</f>
        <v>56.578029070461788</v>
      </c>
      <c r="C961" s="2">
        <f>165.67599528459*(1/3.6)</f>
        <v>46.021109801274903</v>
      </c>
      <c r="D961" s="2">
        <f t="shared" si="33"/>
        <v>0</v>
      </c>
    </row>
    <row r="962" spans="1:4" x14ac:dyDescent="0.3">
      <c r="A962" s="2">
        <f>139.095875992856*(1/3.6)</f>
        <v>38.637743331349029</v>
      </c>
      <c r="B962" s="2">
        <f>209.338036249877*(1/3.6)</f>
        <v>58.149454513854785</v>
      </c>
      <c r="C962" s="2">
        <f>166.080714561863*(1/3.6)</f>
        <v>46.13353182273967</v>
      </c>
      <c r="D962" s="2">
        <f t="shared" ref="D962:D1025" si="36">0*(1/3.6)</f>
        <v>0</v>
      </c>
    </row>
    <row r="963" spans="1:4" x14ac:dyDescent="0.3">
      <c r="A963" s="2">
        <f>139.036465399629*(1/3.6)</f>
        <v>38.621240388785964</v>
      </c>
      <c r="B963" s="2">
        <f>208.440775755158*(1/3.6)</f>
        <v>57.90021548754379</v>
      </c>
      <c r="C963" s="2">
        <f>166.425854671322*(1/3.6)</f>
        <v>46.229404075367363</v>
      </c>
      <c r="D963" s="2">
        <f t="shared" si="36"/>
        <v>0</v>
      </c>
    </row>
    <row r="964" spans="1:4" x14ac:dyDescent="0.3">
      <c r="A964" s="2">
        <f>139.34508471602*(1/3.6)</f>
        <v>38.70696797667226</v>
      </c>
      <c r="B964" s="2">
        <f>207.282755233831*(1/3.6)</f>
        <v>57.578543120508527</v>
      </c>
      <c r="C964" s="2">
        <f>166.427459691934*(1/3.6)</f>
        <v>46.229849914426197</v>
      </c>
      <c r="D964" s="2">
        <f t="shared" si="36"/>
        <v>0</v>
      </c>
    </row>
    <row r="965" spans="1:4" x14ac:dyDescent="0.3">
      <c r="A965" s="2">
        <f>140.003719295678*(1/3.6)</f>
        <v>38.889922026577295</v>
      </c>
      <c r="B965" s="2">
        <f>204.362455742994*(1/3.6)</f>
        <v>56.767348817498252</v>
      </c>
      <c r="C965" s="2">
        <f>167.227216438642*(1/3.6)</f>
        <v>46.452004566289538</v>
      </c>
      <c r="D965" s="2">
        <f t="shared" si="36"/>
        <v>0</v>
      </c>
    </row>
    <row r="966" spans="1:4" x14ac:dyDescent="0.3">
      <c r="A966" s="2">
        <f>139.531363053736*(1/3.6)</f>
        <v>38.758711959371027</v>
      </c>
      <c r="B966" s="2">
        <f>208.072467431228*(1/3.6)</f>
        <v>57.797907619785484</v>
      </c>
      <c r="C966" s="2">
        <f>167.049659959382*(1/3.6)</f>
        <v>46.402683322050592</v>
      </c>
      <c r="D966" s="2">
        <f t="shared" si="36"/>
        <v>0</v>
      </c>
    </row>
    <row r="967" spans="1:4" x14ac:dyDescent="0.3">
      <c r="A967" s="2">
        <f>139.559666417605*(1/3.6)</f>
        <v>38.766574004890408</v>
      </c>
      <c r="B967" s="2">
        <f>206.489886495843*(1/3.6)</f>
        <v>57.358301804400867</v>
      </c>
      <c r="C967" s="2">
        <f>167.26127372757*(1/3.6)</f>
        <v>46.461464924325028</v>
      </c>
      <c r="D967" s="2">
        <f t="shared" si="36"/>
        <v>0</v>
      </c>
    </row>
    <row r="968" spans="1:4" x14ac:dyDescent="0.3">
      <c r="A968" s="2">
        <f>139.88981800788*(1/3.6)</f>
        <v>38.858282779966792</v>
      </c>
      <c r="B968" s="2">
        <f>207.21662503126*(1/3.6)</f>
        <v>57.560173619794533</v>
      </c>
      <c r="C968" s="2">
        <f>167.649101843127*(1/3.6)</f>
        <v>46.56919495642412</v>
      </c>
      <c r="D968" s="2">
        <f t="shared" si="36"/>
        <v>0</v>
      </c>
    </row>
    <row r="969" spans="1:4" x14ac:dyDescent="0.3">
      <c r="A969" s="2">
        <f>139.822263225771*(1/3.6)</f>
        <v>38.839517562714157</v>
      </c>
      <c r="B969" s="2">
        <f>203.740771417767*(1/3.6)</f>
        <v>56.594658727157416</v>
      </c>
      <c r="C969" s="2">
        <f>167.643382739096*(1/3.6)</f>
        <v>46.567606316415514</v>
      </c>
      <c r="D969" s="2">
        <f t="shared" si="36"/>
        <v>0</v>
      </c>
    </row>
    <row r="970" spans="1:4" x14ac:dyDescent="0.3">
      <c r="A970" s="2">
        <f>139.872199576682*(1/3.6)</f>
        <v>38.853388771300686</v>
      </c>
      <c r="B970" s="2">
        <f>201.156188252952*(1/3.6)</f>
        <v>55.876718959153465</v>
      </c>
      <c r="C970" s="2">
        <f>167.768724239024*(1/3.6)</f>
        <v>46.60242339972887</v>
      </c>
      <c r="D970" s="2">
        <f t="shared" si="36"/>
        <v>0</v>
      </c>
    </row>
    <row r="971" spans="1:4" x14ac:dyDescent="0.3">
      <c r="A971" s="2">
        <f>139.978060713974*(1/3.6)</f>
        <v>38.88279464277052</v>
      </c>
      <c r="B971" s="2">
        <f>196.923033376397*(1/3.6)</f>
        <v>54.700842604554843</v>
      </c>
      <c r="C971" s="2">
        <f>167.416668364294*(1/3.6)</f>
        <v>46.504630101192895</v>
      </c>
      <c r="D971" s="2">
        <f t="shared" si="36"/>
        <v>0</v>
      </c>
    </row>
    <row r="972" spans="1:4" x14ac:dyDescent="0.3">
      <c r="A972" s="2">
        <f>139.508365273928*(1/3.6)</f>
        <v>38.752323687202349</v>
      </c>
      <c r="B972" s="2">
        <f>206.874038537154*(1/3.6)</f>
        <v>57.465010704764936</v>
      </c>
      <c r="C972" s="2">
        <f>166.944951054468*(1/3.6)</f>
        <v>46.373597515130108</v>
      </c>
      <c r="D972" s="2">
        <f t="shared" si="36"/>
        <v>0</v>
      </c>
    </row>
    <row r="973" spans="1:4" x14ac:dyDescent="0.3">
      <c r="A973" s="2">
        <f>139.728093716136*(1/3.6)</f>
        <v>38.813359365593463</v>
      </c>
      <c r="B973" s="2">
        <f>209.592922975565*(1/3.6)</f>
        <v>58.220256382101375</v>
      </c>
      <c r="C973" s="2">
        <f>167.383666279727*(1/3.6)</f>
        <v>46.495462855479815</v>
      </c>
      <c r="D973" s="2">
        <f t="shared" si="36"/>
        <v>0</v>
      </c>
    </row>
    <row r="974" spans="1:4" x14ac:dyDescent="0.3">
      <c r="A974" s="2">
        <f>139.768031783956*(1/3.6)</f>
        <v>38.82445327332114</v>
      </c>
      <c r="B974" s="2">
        <f>206.31318254005*(1/3.6)</f>
        <v>57.309217372236219</v>
      </c>
      <c r="C974" s="2">
        <f>167.72146782729*(1/3.6)</f>
        <v>46.589296618691584</v>
      </c>
      <c r="D974" s="2">
        <f t="shared" si="36"/>
        <v>0</v>
      </c>
    </row>
    <row r="975" spans="1:4" x14ac:dyDescent="0.3">
      <c r="A975" s="2">
        <f>139.792090181209*(1/3.6)</f>
        <v>38.831136161446835</v>
      </c>
      <c r="B975" s="2">
        <f>201.392600576682*(1/3.6)</f>
        <v>55.94238904907823</v>
      </c>
      <c r="C975" s="2">
        <f>168.327101836819*(1/3.6)</f>
        <v>46.757528288005403</v>
      </c>
      <c r="D975" s="2">
        <f t="shared" si="36"/>
        <v>0</v>
      </c>
    </row>
    <row r="976" spans="1:4" x14ac:dyDescent="0.3">
      <c r="A976" s="2">
        <f>139.964684233873*(1/3.6)</f>
        <v>38.879078953853707</v>
      </c>
      <c r="B976" s="2">
        <f>207.34791536263*(1/3.6)</f>
        <v>57.596643156286042</v>
      </c>
      <c r="C976" s="2">
        <f>167.658753031692*(1/3.6)</f>
        <v>46.571875842136564</v>
      </c>
      <c r="D976" s="2">
        <f t="shared" si="36"/>
        <v>0</v>
      </c>
    </row>
    <row r="977" spans="1:4" x14ac:dyDescent="0.3">
      <c r="A977" s="2">
        <f>140.084359202704*(1/3.6)</f>
        <v>38.912322000751239</v>
      </c>
      <c r="B977" s="2">
        <f>210.098691232104*(1/3.6)</f>
        <v>58.360747564473435</v>
      </c>
      <c r="C977" s="2">
        <f>167.697192829425*(1/3.6)</f>
        <v>46.582553563729071</v>
      </c>
      <c r="D977" s="2">
        <f t="shared" si="36"/>
        <v>0</v>
      </c>
    </row>
    <row r="978" spans="1:4" x14ac:dyDescent="0.3">
      <c r="A978" s="2">
        <f>140.172053793954*(1/3.6)</f>
        <v>38.93668160943178</v>
      </c>
      <c r="B978" s="2">
        <f>203.691258620013*(1/3.6)</f>
        <v>56.580905172225734</v>
      </c>
      <c r="C978" s="2">
        <f>167.767363046242*(1/3.6)</f>
        <v>46.602045290622897</v>
      </c>
      <c r="D978" s="2">
        <f t="shared" si="36"/>
        <v>0</v>
      </c>
    </row>
    <row r="979" spans="1:4" x14ac:dyDescent="0.3">
      <c r="A979" s="2">
        <f>140.168201960979*(1/3.6)</f>
        <v>38.935611655827607</v>
      </c>
      <c r="B979" s="2">
        <f>207.187089740121*(1/3.6)</f>
        <v>57.551969372255826</v>
      </c>
      <c r="C979" s="2">
        <f>167.521116212529*(1/3.6)</f>
        <v>46.533643392369228</v>
      </c>
      <c r="D979" s="2">
        <f t="shared" si="36"/>
        <v>0</v>
      </c>
    </row>
    <row r="980" spans="1:4" x14ac:dyDescent="0.3">
      <c r="A980" s="2">
        <f>139.81375688462*(1/3.6)</f>
        <v>38.837154690172191</v>
      </c>
      <c r="B980" s="2">
        <f>206.919143086504*(1/3.6)</f>
        <v>57.477539746251125</v>
      </c>
      <c r="C980" s="2">
        <f>167.660776411524*(1/3.6)</f>
        <v>46.5724378920901</v>
      </c>
      <c r="D980" s="2">
        <f t="shared" si="36"/>
        <v>0</v>
      </c>
    </row>
    <row r="981" spans="1:4" x14ac:dyDescent="0.3">
      <c r="A981" s="2">
        <f>137.758402813225*(1/3.6)</f>
        <v>38.266223003673687</v>
      </c>
      <c r="B981" s="2">
        <f>224.552519229726*(1/3.6)</f>
        <v>62.375699786034907</v>
      </c>
      <c r="C981" s="2">
        <f>165.389834718589*(1/3.6)</f>
        <v>45.941620755163711</v>
      </c>
      <c r="D981" s="2">
        <f t="shared" si="36"/>
        <v>0</v>
      </c>
    </row>
    <row r="982" spans="1:4" x14ac:dyDescent="0.3">
      <c r="A982" s="2">
        <f>138.14827760392*(1/3.6)</f>
        <v>38.374521556644567</v>
      </c>
      <c r="B982" s="2">
        <f>223.592803440079*(1/3.6)</f>
        <v>62.109112066688603</v>
      </c>
      <c r="C982" s="2">
        <f>165.803017021244*(1/3.6)</f>
        <v>46.056393617012169</v>
      </c>
      <c r="D982" s="2">
        <f t="shared" si="36"/>
        <v>0</v>
      </c>
    </row>
    <row r="983" spans="1:4" x14ac:dyDescent="0.3">
      <c r="A983" s="2">
        <f>138.262338565072*(1/3.6)</f>
        <v>38.406205156964496</v>
      </c>
      <c r="B983" s="2">
        <f>223.713385682318*(1/3.6)</f>
        <v>62.142607133977144</v>
      </c>
      <c r="C983" s="2">
        <f>166.221213495224*(1/3.6)</f>
        <v>46.172559304228997</v>
      </c>
      <c r="D983" s="2">
        <f t="shared" si="36"/>
        <v>0</v>
      </c>
    </row>
    <row r="984" spans="1:4" x14ac:dyDescent="0.3">
      <c r="A984" s="2">
        <f>138.416612101318*(1/3.6)</f>
        <v>38.449058917032858</v>
      </c>
      <c r="B984" s="2">
        <f>223.556621392101*(1/3.6)</f>
        <v>62.09906149780587</v>
      </c>
      <c r="C984" s="2">
        <f>166.36116557519*(1/3.6)</f>
        <v>46.211434881997228</v>
      </c>
      <c r="D984" s="2">
        <f t="shared" si="36"/>
        <v>0</v>
      </c>
    </row>
    <row r="985" spans="1:4" x14ac:dyDescent="0.3">
      <c r="A985" s="2">
        <f>138.560544465936*(1/3.6)</f>
        <v>38.489040129426591</v>
      </c>
      <c r="B985" s="2">
        <f>222.467566398125*(1/3.6)</f>
        <v>61.796546221701377</v>
      </c>
      <c r="C985" s="2">
        <f>166.308218036815*(1/3.6)</f>
        <v>46.196727232448531</v>
      </c>
      <c r="D985" s="2">
        <f t="shared" si="36"/>
        <v>0</v>
      </c>
    </row>
    <row r="986" spans="1:4" x14ac:dyDescent="0.3">
      <c r="A986" s="2">
        <f>138.556736183601*(1/3.6)</f>
        <v>38.487982273222499</v>
      </c>
      <c r="B986" s="2">
        <f>223.493006871439*(1/3.6)</f>
        <v>62.081390797622007</v>
      </c>
      <c r="C986" s="2">
        <f>166.556424430465*(1/3.6)</f>
        <v>46.265673452906974</v>
      </c>
      <c r="D986" s="2">
        <f t="shared" si="36"/>
        <v>0</v>
      </c>
    </row>
    <row r="987" spans="1:4" x14ac:dyDescent="0.3">
      <c r="A987" s="2">
        <f>138.552927901266*(1/3.6)</f>
        <v>38.486924417018415</v>
      </c>
      <c r="B987" s="2">
        <f>223.144050455052*(1/3.6)</f>
        <v>61.984458459736636</v>
      </c>
      <c r="C987" s="2">
        <f>166.83349594779*(1/3.6)</f>
        <v>46.342637763274936</v>
      </c>
      <c r="D987" s="2">
        <f t="shared" si="36"/>
        <v>0</v>
      </c>
    </row>
    <row r="988" spans="1:4" x14ac:dyDescent="0.3">
      <c r="A988" s="2">
        <f>138.342911024767*(1/3.6)</f>
        <v>38.428586395768519</v>
      </c>
      <c r="B988" s="2">
        <f>222.668660988541*(1/3.6)</f>
        <v>61.852405830150197</v>
      </c>
      <c r="C988" s="2">
        <f>166.163492882996*(1/3.6)</f>
        <v>46.156525800832235</v>
      </c>
      <c r="D988" s="2">
        <f t="shared" si="36"/>
        <v>0</v>
      </c>
    </row>
    <row r="989" spans="1:4" x14ac:dyDescent="0.3">
      <c r="A989" s="2">
        <f>138.502177202112*(1/3.6)</f>
        <v>38.472827000586641</v>
      </c>
      <c r="B989" s="2">
        <f>221.883627622349*(1/3.6)</f>
        <v>61.634341006208125</v>
      </c>
      <c r="C989" s="2">
        <f>290.767961281638*(1/3.6)</f>
        <v>80.768878133788334</v>
      </c>
      <c r="D989" s="2">
        <f t="shared" si="36"/>
        <v>0</v>
      </c>
    </row>
    <row r="990" spans="1:4" x14ac:dyDescent="0.3">
      <c r="A990" s="2">
        <f>138.864521789524*(1/3.6)</f>
        <v>38.573478274867639</v>
      </c>
      <c r="B990" s="2">
        <f>221.857423964616*(1/3.6)</f>
        <v>61.627062212393369</v>
      </c>
      <c r="C990" s="2">
        <f>290.683398829842*(1/3.6)</f>
        <v>80.74538856384504</v>
      </c>
      <c r="D990" s="2">
        <f t="shared" si="36"/>
        <v>0</v>
      </c>
    </row>
    <row r="991" spans="1:4" x14ac:dyDescent="0.3">
      <c r="A991" s="2">
        <f>138.716632451511*(1/3.6)</f>
        <v>38.532397903197456</v>
      </c>
      <c r="B991" s="2">
        <f>222.851558006063*(1/3.6)</f>
        <v>61.903210557239838</v>
      </c>
      <c r="C991" s="2">
        <f>290.210324095618*(1/3.6)</f>
        <v>80.613978915449565</v>
      </c>
      <c r="D991" s="2">
        <f t="shared" si="36"/>
        <v>0</v>
      </c>
    </row>
    <row r="992" spans="1:4" x14ac:dyDescent="0.3">
      <c r="A992" s="2">
        <f>138.981258576431*(1/3.6)</f>
        <v>38.605905160119853</v>
      </c>
      <c r="B992" s="2">
        <f>222.504681581332*(1/3.6)</f>
        <v>61.806855994814413</v>
      </c>
      <c r="C992" s="2">
        <f>290.269248731455*(1/3.6)</f>
        <v>80.630346869848722</v>
      </c>
      <c r="D992" s="2">
        <f t="shared" si="36"/>
        <v>0</v>
      </c>
    </row>
    <row r="993" spans="1:4" x14ac:dyDescent="0.3">
      <c r="A993" s="2">
        <f>138.977437995884*(1/3.6)</f>
        <v>38.604843887745552</v>
      </c>
      <c r="B993" s="2">
        <f>220.913754788149*(1/3.6)</f>
        <v>61.364931885596945</v>
      </c>
      <c r="C993" s="2">
        <f>290.009025590572*(1/3.6)</f>
        <v>80.558062664047682</v>
      </c>
      <c r="D993" s="2">
        <f t="shared" si="36"/>
        <v>0</v>
      </c>
    </row>
    <row r="994" spans="1:4" x14ac:dyDescent="0.3">
      <c r="A994" s="2">
        <f>138.973617415336*(1/3.6)</f>
        <v>38.603782615371244</v>
      </c>
      <c r="B994" s="2">
        <f>221.322003366475*(1/3.6)</f>
        <v>61.478334268465225</v>
      </c>
      <c r="C994" s="2">
        <f>289.874747502919*(1/3.6)</f>
        <v>80.520763195255313</v>
      </c>
      <c r="D994" s="2">
        <f t="shared" si="36"/>
        <v>0</v>
      </c>
    </row>
    <row r="995" spans="1:4" x14ac:dyDescent="0.3">
      <c r="A995" s="2">
        <f>139.164775317756*(1/3.6)</f>
        <v>38.65688203271003</v>
      </c>
      <c r="B995" s="2">
        <f>221.712375836235*(1/3.6)</f>
        <v>61.586771065620795</v>
      </c>
      <c r="C995" s="2">
        <f>290.551254811531*(1/3.6)</f>
        <v>80.708681892091931</v>
      </c>
      <c r="D995" s="2">
        <f t="shared" si="36"/>
        <v>0</v>
      </c>
    </row>
    <row r="996" spans="1:4" x14ac:dyDescent="0.3">
      <c r="A996" s="2">
        <f>139.182024100065*(1/3.6)</f>
        <v>38.661673361129239</v>
      </c>
      <c r="B996" s="2">
        <f>221.24075201681*(1/3.6)</f>
        <v>61.455764449113865</v>
      </c>
      <c r="C996" s="2">
        <f>290.054668669503*(1/3.6)</f>
        <v>80.570741297084254</v>
      </c>
      <c r="D996" s="2">
        <f t="shared" si="36"/>
        <v>0</v>
      </c>
    </row>
    <row r="997" spans="1:4" x14ac:dyDescent="0.3">
      <c r="A997" s="2">
        <f>138.061050440895*(1/3.6)</f>
        <v>38.35029178913743</v>
      </c>
      <c r="B997" s="2">
        <f>220.257715817689*(1/3.6)</f>
        <v>61.182698838246949</v>
      </c>
      <c r="C997" s="2">
        <f>288.285410126888*(1/3.6)</f>
        <v>80.079280590802284</v>
      </c>
      <c r="D997" s="2">
        <f t="shared" si="36"/>
        <v>0</v>
      </c>
    </row>
    <row r="998" spans="1:4" x14ac:dyDescent="0.3">
      <c r="A998" s="2">
        <f>138.413950046915*(1/3.6)</f>
        <v>38.448319457476288</v>
      </c>
      <c r="B998" s="2">
        <f>220.141978459201*(1/3.6)</f>
        <v>61.150549572000379</v>
      </c>
      <c r="C998" s="2">
        <f>288.592182964997*(1/3.6)</f>
        <v>80.16449526805475</v>
      </c>
      <c r="D998" s="2">
        <f t="shared" si="36"/>
        <v>0</v>
      </c>
    </row>
    <row r="999" spans="1:4" x14ac:dyDescent="0.3">
      <c r="A999" s="2">
        <f>138.429595112476*(1/3.6)</f>
        <v>38.4526653090211</v>
      </c>
      <c r="B999" s="2">
        <f>220.422805819404*(1/3.6)</f>
        <v>61.228557172056746</v>
      </c>
      <c r="C999" s="2">
        <f>288.292178917031*(1/3.6)</f>
        <v>80.081160810286519</v>
      </c>
      <c r="D999" s="2">
        <f t="shared" si="36"/>
        <v>0</v>
      </c>
    </row>
    <row r="1000" spans="1:4" x14ac:dyDescent="0.3">
      <c r="A1000" s="2">
        <f>138.67303003872*(1/3.6)</f>
        <v>38.52028612186654</v>
      </c>
      <c r="B1000" s="2">
        <f>220.084889753091*(1/3.6)</f>
        <v>61.134691598080956</v>
      </c>
      <c r="C1000" s="2">
        <f>287.769411267979*(1/3.6)</f>
        <v>79.935947574438671</v>
      </c>
      <c r="D1000" s="2">
        <f t="shared" si="36"/>
        <v>0</v>
      </c>
    </row>
    <row r="1001" spans="1:4" x14ac:dyDescent="0.3">
      <c r="A1001" s="2">
        <f>138.918749162376*(1/3.6)</f>
        <v>38.588541433993328</v>
      </c>
      <c r="B1001" s="2">
        <f>220.115955692296*(1/3.6)</f>
        <v>61.143321025637768</v>
      </c>
      <c r="C1001" s="2">
        <f>288.400667837415*(1/3.6)</f>
        <v>80.111296621504181</v>
      </c>
      <c r="D1001" s="2">
        <f t="shared" si="36"/>
        <v>0</v>
      </c>
    </row>
    <row r="1002" spans="1:4" x14ac:dyDescent="0.3">
      <c r="A1002" s="2">
        <f>138.720237075878*(1/3.6)</f>
        <v>38.533399187743953</v>
      </c>
      <c r="B1002" s="2">
        <f>220.807344633778*(1/3.6)</f>
        <v>61.335373509382912</v>
      </c>
      <c r="C1002" s="2">
        <f>288.131330844121*(1/3.6)</f>
        <v>80.036480790033536</v>
      </c>
      <c r="D1002" s="2">
        <f t="shared" si="36"/>
        <v>0</v>
      </c>
    </row>
    <row r="1003" spans="1:4" x14ac:dyDescent="0.3">
      <c r="A1003" s="2">
        <f>138.491995383911*(1/3.6)</f>
        <v>38.469998717753064</v>
      </c>
      <c r="B1003" s="2">
        <f>219.231324835884*(1/3.6)</f>
        <v>60.89759023219009</v>
      </c>
      <c r="C1003" s="2">
        <f>288.001426520316*(1/3.6)</f>
        <v>80.000396255643295</v>
      </c>
      <c r="D1003" s="2">
        <f t="shared" si="36"/>
        <v>0</v>
      </c>
    </row>
    <row r="1004" spans="1:4" x14ac:dyDescent="0.3">
      <c r="A1004" s="2">
        <f>138.788825104644*(1/3.6)</f>
        <v>38.552451417956576</v>
      </c>
      <c r="B1004" s="2">
        <f>219.885576099341*(1/3.6)</f>
        <v>61.079326694261411</v>
      </c>
      <c r="C1004" s="2">
        <f>287.4819412989*(1/3.6)</f>
        <v>79.856094805250123</v>
      </c>
      <c r="D1004" s="2">
        <f t="shared" si="36"/>
        <v>0</v>
      </c>
    </row>
    <row r="1005" spans="1:4" x14ac:dyDescent="0.3">
      <c r="A1005" s="2">
        <f>138.931591029314*(1/3.6)</f>
        <v>38.592108619253878</v>
      </c>
      <c r="B1005" s="2">
        <f>219.426106665309*(1/3.6)</f>
        <v>60.951696295919263</v>
      </c>
      <c r="C1005" s="2">
        <f>287.204738691648*(1/3.6)</f>
        <v>79.779094081013213</v>
      </c>
      <c r="D1005" s="2">
        <f t="shared" si="36"/>
        <v>0</v>
      </c>
    </row>
    <row r="1006" spans="1:4" x14ac:dyDescent="0.3">
      <c r="A1006" s="2">
        <f>138.927770448766*(1/3.6)</f>
        <v>38.591047346879577</v>
      </c>
      <c r="B1006" s="2">
        <f>219.836360733827*(1/3.6)</f>
        <v>61.065655759396456</v>
      </c>
      <c r="C1006" s="2">
        <f>287.360098593422*(1/3.6)</f>
        <v>79.822249609283773</v>
      </c>
      <c r="D1006" s="2">
        <f t="shared" si="36"/>
        <v>0</v>
      </c>
    </row>
    <row r="1007" spans="1:4" x14ac:dyDescent="0.3">
      <c r="A1007" s="2">
        <f>138.950281435971*(1/3.6)</f>
        <v>38.59730039888084</v>
      </c>
      <c r="B1007" s="2">
        <f>218.764619370585*(1/3.6)</f>
        <v>60.767949825162411</v>
      </c>
      <c r="C1007" s="2">
        <f>287.371660177731*(1/3.6)</f>
        <v>79.825461160480799</v>
      </c>
      <c r="D1007" s="2">
        <f t="shared" si="36"/>
        <v>0</v>
      </c>
    </row>
    <row r="1008" spans="1:4" x14ac:dyDescent="0.3">
      <c r="A1008" s="2">
        <f>139.10269642302*(1/3.6)</f>
        <v>38.639637895283371</v>
      </c>
      <c r="B1008" s="2">
        <f>219.517657828081*(1/3.6)</f>
        <v>60.977127174467029</v>
      </c>
      <c r="C1008" s="2">
        <f>287.282638685056*(1/3.6)</f>
        <v>79.800732968071216</v>
      </c>
      <c r="D1008" s="2">
        <f t="shared" si="36"/>
        <v>0</v>
      </c>
    </row>
    <row r="1009" spans="1:4" x14ac:dyDescent="0.3">
      <c r="A1009" s="2">
        <f>139.366545631784*(1/3.6)</f>
        <v>38.712929342162198</v>
      </c>
      <c r="B1009" s="2">
        <f>218.737226676623*(1/3.6)</f>
        <v>60.760340743506362</v>
      </c>
      <c r="C1009" s="2">
        <f>286.654606724872*(1/3.6)</f>
        <v>79.626279645797894</v>
      </c>
      <c r="D1009" s="2">
        <f t="shared" si="36"/>
        <v>0</v>
      </c>
    </row>
    <row r="1010" spans="1:4" x14ac:dyDescent="0.3">
      <c r="A1010" s="2">
        <f>139.268154295078*(1/3.6)</f>
        <v>38.685598415299552</v>
      </c>
      <c r="B1010" s="2">
        <f>218.747973004669*(1/3.6)</f>
        <v>60.763325834630336</v>
      </c>
      <c r="C1010" s="2">
        <f>286.849732561138*(1/3.6)</f>
        <v>79.680481266982724</v>
      </c>
      <c r="D1010" s="2">
        <f t="shared" si="36"/>
        <v>0</v>
      </c>
    </row>
    <row r="1011" spans="1:4" x14ac:dyDescent="0.3">
      <c r="A1011" s="2">
        <f>139.547408356485*(1/3.6)</f>
        <v>38.763168987912557</v>
      </c>
      <c r="B1011" s="2">
        <f>218.143378990533*(1/3.6)</f>
        <v>60.595383052925726</v>
      </c>
      <c r="C1011" s="2">
        <f>286.855236002829*(1/3.6)</f>
        <v>79.68201000078588</v>
      </c>
      <c r="D1011" s="2">
        <f t="shared" si="36"/>
        <v>0</v>
      </c>
    </row>
    <row r="1012" spans="1:4" x14ac:dyDescent="0.3">
      <c r="A1012" s="2">
        <f>139.48568085944*(1/3.6)</f>
        <v>38.746022460955594</v>
      </c>
      <c r="B1012" s="2">
        <f>216.097483962197*(1/3.6)</f>
        <v>60.027078878388096</v>
      </c>
      <c r="C1012" s="2">
        <f>286.423082495231*(1/3.6)</f>
        <v>79.561967359786308</v>
      </c>
      <c r="D1012" s="2">
        <f t="shared" si="36"/>
        <v>0</v>
      </c>
    </row>
    <row r="1013" spans="1:4" x14ac:dyDescent="0.3">
      <c r="A1013" s="2">
        <f>139.716713015775*(1/3.6)</f>
        <v>38.810198059937633</v>
      </c>
      <c r="B1013" s="2">
        <f>216.930763692846*(1/3.6)</f>
        <v>60.258545470234949</v>
      </c>
      <c r="C1013" s="2">
        <f>286.848913474343*(1/3.6)</f>
        <v>79.680253742872935</v>
      </c>
      <c r="D1013" s="2">
        <f t="shared" si="36"/>
        <v>0</v>
      </c>
    </row>
    <row r="1014" spans="1:4" x14ac:dyDescent="0.3">
      <c r="A1014" s="2">
        <f>139.818971898029*(1/3.6)</f>
        <v>38.838603305008149</v>
      </c>
      <c r="B1014" s="2">
        <f>217.832390278455*(1/3.6)</f>
        <v>60.508997299570851</v>
      </c>
      <c r="C1014" s="2">
        <f>286.566876527266*(1/3.6)</f>
        <v>79.601910146462714</v>
      </c>
      <c r="D1014" s="2">
        <f t="shared" si="36"/>
        <v>0</v>
      </c>
    </row>
    <row r="1015" spans="1:4" x14ac:dyDescent="0.3">
      <c r="A1015" s="2">
        <f>139.814445279354*(1/3.6)</f>
        <v>38.837345910931639</v>
      </c>
      <c r="B1015" s="2">
        <f>217.632950797988*(1/3.6)</f>
        <v>60.453597443885563</v>
      </c>
      <c r="C1015" s="2">
        <f>286.194991893986*(1/3.6)</f>
        <v>79.498608859440694</v>
      </c>
      <c r="D1015" s="2">
        <f t="shared" si="36"/>
        <v>0</v>
      </c>
    </row>
    <row r="1016" spans="1:4" x14ac:dyDescent="0.3">
      <c r="A1016" s="2">
        <f>139.95579368916*(1/3.6)</f>
        <v>38.876609358100076</v>
      </c>
      <c r="B1016" s="2">
        <f>217.625275667187*(1/3.6)</f>
        <v>60.451465463107454</v>
      </c>
      <c r="C1016" s="2">
        <f>286.597745818114*(1/3.6)</f>
        <v>79.610484949476032</v>
      </c>
      <c r="D1016" s="2">
        <f t="shared" si="36"/>
        <v>0</v>
      </c>
    </row>
    <row r="1017" spans="1:4" x14ac:dyDescent="0.3">
      <c r="A1017" s="2">
        <f>139.637908096898*(1/3.6)</f>
        <v>38.788307804693765</v>
      </c>
      <c r="B1017" s="2">
        <f>216.693634725277*(1/3.6)</f>
        <v>60.192676312576872</v>
      </c>
      <c r="C1017" s="2">
        <f>285.603976971597*(1/3.6)</f>
        <v>79.334438047665927</v>
      </c>
      <c r="D1017" s="2">
        <f t="shared" si="36"/>
        <v>0</v>
      </c>
    </row>
    <row r="1018" spans="1:4" x14ac:dyDescent="0.3">
      <c r="A1018" s="2">
        <f>139.824065054168*(1/3.6)</f>
        <v>38.840018070602113</v>
      </c>
      <c r="B1018" s="2">
        <f>216.218241780521*(1/3.6)</f>
        <v>60.060622716811388</v>
      </c>
      <c r="C1018" s="2">
        <f>285.354148762105*(1/3.6)</f>
        <v>79.265041322807008</v>
      </c>
      <c r="D1018" s="2">
        <f t="shared" si="36"/>
        <v>0</v>
      </c>
    </row>
    <row r="1019" spans="1:4" x14ac:dyDescent="0.3">
      <c r="A1019" s="2">
        <f>139.916165976019*(1/3.6)</f>
        <v>38.865601660005211</v>
      </c>
      <c r="B1019" s="2">
        <f>217.156976970235*(1/3.6)</f>
        <v>60.321382491732031</v>
      </c>
      <c r="C1019" s="2">
        <f>285.875466583219*(1/3.6)</f>
        <v>79.409851828671933</v>
      </c>
      <c r="D1019" s="2">
        <f t="shared" si="36"/>
        <v>0</v>
      </c>
    </row>
    <row r="1020" spans="1:4" x14ac:dyDescent="0.3">
      <c r="A1020" s="2">
        <f>140.223076840959*(1/3.6)</f>
        <v>38.950854678044074</v>
      </c>
      <c r="B1020" s="2">
        <f>216.689884201832*(1/3.6)</f>
        <v>60.191634500508876</v>
      </c>
      <c r="C1020" s="2">
        <f>285.825719151588*(1/3.6)</f>
        <v>79.396033097663235</v>
      </c>
      <c r="D1020" s="2">
        <f t="shared" si="36"/>
        <v>0</v>
      </c>
    </row>
    <row r="1021" spans="1:4" x14ac:dyDescent="0.3">
      <c r="A1021" s="2">
        <f>139.914390713768*(1/3.6)</f>
        <v>38.865108531602239</v>
      </c>
      <c r="B1021" s="2">
        <f>215.532386092815*(1/3.6)</f>
        <v>59.870107248004182</v>
      </c>
      <c r="C1021" s="2">
        <f>284.961595125669*(1/3.6)</f>
        <v>79.155998646019114</v>
      </c>
      <c r="D1021" s="2">
        <f t="shared" si="36"/>
        <v>0</v>
      </c>
    </row>
    <row r="1022" spans="1:4" x14ac:dyDescent="0.3">
      <c r="A1022" s="2">
        <f>140.002573143054*(1/3.6)</f>
        <v>38.889603650848201</v>
      </c>
      <c r="B1022" s="2">
        <f>216.451471864268*(1/3.6)</f>
        <v>60.125408851185597</v>
      </c>
      <c r="C1022" s="2">
        <f>285.128903228419*(1/3.6)</f>
        <v>79.202473119005376</v>
      </c>
      <c r="D1022" s="2">
        <f t="shared" si="36"/>
        <v>0</v>
      </c>
    </row>
    <row r="1023" spans="1:4" x14ac:dyDescent="0.3">
      <c r="A1023" s="2">
        <f>140.29461295347*(1/3.6)</f>
        <v>38.97072582040839</v>
      </c>
      <c r="B1023" s="2">
        <f>216.002464759528*(1/3.6)</f>
        <v>60.000684655424429</v>
      </c>
      <c r="C1023" s="2">
        <f>284.846557447885*(1/3.6)</f>
        <v>79.124043735523557</v>
      </c>
      <c r="D1023" s="2">
        <f t="shared" si="36"/>
        <v>0</v>
      </c>
    </row>
    <row r="1024" spans="1:4" x14ac:dyDescent="0.3">
      <c r="A1024" s="2">
        <f>139.994869477103*(1/3.6)</f>
        <v>38.887463743639863</v>
      </c>
      <c r="B1024" s="2">
        <f>215.77241478815*(1/3.6)</f>
        <v>59.936781885597256</v>
      </c>
      <c r="C1024" s="2">
        <f>285.006941940548*(1/3.6)</f>
        <v>79.168594983485448</v>
      </c>
      <c r="D1024" s="2">
        <f t="shared" si="36"/>
        <v>0</v>
      </c>
    </row>
    <row r="1025" spans="1:4" x14ac:dyDescent="0.3">
      <c r="A1025" s="2">
        <f>140.238550617352*(1/3.6)</f>
        <v>38.955152949264459</v>
      </c>
      <c r="B1025" s="2">
        <f>215.086000237787*(1/3.6)</f>
        <v>59.746111177163179</v>
      </c>
      <c r="C1025" s="2">
        <f>284.956449182252*(1/3.6)</f>
        <v>79.154569217292277</v>
      </c>
      <c r="D1025" s="2">
        <f t="shared" si="36"/>
        <v>0</v>
      </c>
    </row>
    <row r="1026" spans="1:4" x14ac:dyDescent="0.3">
      <c r="A1026" s="2">
        <f>140.199930716965*(1/3.6)</f>
        <v>38.944425199156953</v>
      </c>
      <c r="B1026" s="2">
        <f>213.958421835981*(1/3.6)</f>
        <v>59.432894954439263</v>
      </c>
      <c r="C1026" s="2">
        <f>284.482567013083*(1/3.6)</f>
        <v>79.022935281411876</v>
      </c>
      <c r="D1026" s="2">
        <f t="shared" ref="D1026:D1089" si="37">0*(1/3.6)</f>
        <v>0</v>
      </c>
    </row>
    <row r="1027" spans="1:4" x14ac:dyDescent="0.3">
      <c r="A1027" s="2">
        <f>140.407259821687*(1/3.6)</f>
        <v>39.002016617135233</v>
      </c>
      <c r="B1027" s="2">
        <f>215.314107085734*(1/3.6)</f>
        <v>59.80947419048173</v>
      </c>
      <c r="C1027" s="2">
        <f>284.810349604441*(1/3.6)</f>
        <v>79.113986001233613</v>
      </c>
      <c r="D1027" s="2">
        <f t="shared" si="37"/>
        <v>0</v>
      </c>
    </row>
    <row r="1028" spans="1:4" x14ac:dyDescent="0.3">
      <c r="A1028" s="2">
        <f>140.40339632326*(1/3.6)</f>
        <v>39.000943423127829</v>
      </c>
      <c r="B1028" s="2">
        <f>214.69224337669*(1/3.6)</f>
        <v>59.636734271302764</v>
      </c>
      <c r="C1028" s="2">
        <f>284.526915932671*(1/3.6)</f>
        <v>79.035254425741911</v>
      </c>
      <c r="D1028" s="2">
        <f t="shared" si="37"/>
        <v>0</v>
      </c>
    </row>
    <row r="1029" spans="1:4" x14ac:dyDescent="0.3">
      <c r="A1029" s="2">
        <f>140.817190912735*(1/3.6)</f>
        <v>39.115886364648674</v>
      </c>
      <c r="B1029" s="2">
        <f>215.063950040219*(1/3.6)</f>
        <v>59.739986122283128</v>
      </c>
      <c r="C1029" s="2">
        <f>284.88885631695*(1/3.6)</f>
        <v>79.135793421375112</v>
      </c>
      <c r="D1029" s="2">
        <f t="shared" si="37"/>
        <v>0</v>
      </c>
    </row>
    <row r="1030" spans="1:4" x14ac:dyDescent="0.3">
      <c r="A1030" s="2">
        <f>141.124658029273*(1/3.6)</f>
        <v>39.20129389702025</v>
      </c>
      <c r="B1030" s="2">
        <f>213.478972393272*(1/3.6)</f>
        <v>59.29971455368657</v>
      </c>
      <c r="C1030" s="2">
        <f>285.033934177836*(1/3.6)</f>
        <v>79.176092827176547</v>
      </c>
      <c r="D1030" s="2">
        <f t="shared" si="37"/>
        <v>0</v>
      </c>
    </row>
    <row r="1031" spans="1:4" x14ac:dyDescent="0.3">
      <c r="A1031" s="2">
        <f>138.852609357261*(1/3.6)</f>
        <v>38.570169265905889</v>
      </c>
      <c r="B1031" s="2">
        <f>228.693495946281*(1/3.6)</f>
        <v>63.525971096189174</v>
      </c>
      <c r="C1031" s="2">
        <f>282.142585563939*(1/3.6)</f>
        <v>78.372940434427633</v>
      </c>
      <c r="D1031" s="2">
        <f t="shared" si="37"/>
        <v>0</v>
      </c>
    </row>
    <row r="1032" spans="1:4" x14ac:dyDescent="0.3">
      <c r="A1032" s="2">
        <f>139.381957842708*(1/3.6)</f>
        <v>38.717210511863378</v>
      </c>
      <c r="B1032" s="2">
        <f>229.064815048831*(1/3.6)</f>
        <v>63.629115291341847</v>
      </c>
      <c r="C1032" s="2">
        <f>282.744661465896*(1/3.6)</f>
        <v>78.540183740526544</v>
      </c>
      <c r="D1032" s="2">
        <f t="shared" si="37"/>
        <v>0</v>
      </c>
    </row>
    <row r="1033" spans="1:4" x14ac:dyDescent="0.3">
      <c r="A1033" s="2">
        <f>139.611308830992*(1/3.6)</f>
        <v>38.78091911971994</v>
      </c>
      <c r="B1033" s="2">
        <f>228.970802063346*(1/3.6)</f>
        <v>63.603000573151768</v>
      </c>
      <c r="C1033" s="2">
        <f>282.679200806082*(1/3.6)</f>
        <v>78.522000223911704</v>
      </c>
      <c r="D1033" s="2">
        <f t="shared" si="37"/>
        <v>0</v>
      </c>
    </row>
    <row r="1034" spans="1:4" x14ac:dyDescent="0.3">
      <c r="A1034" s="2">
        <f>139.619371715448*(1/3.6)</f>
        <v>38.783158809846796</v>
      </c>
      <c r="B1034" s="2">
        <f>228.992130723676*(1/3.6)</f>
        <v>63.608925201021222</v>
      </c>
      <c r="C1034" s="2">
        <f>282.73736834325*(1/3.6)</f>
        <v>78.538157873124945</v>
      </c>
      <c r="D1034" s="2">
        <f t="shared" si="37"/>
        <v>0</v>
      </c>
    </row>
    <row r="1035" spans="1:4" x14ac:dyDescent="0.3">
      <c r="A1035" s="2">
        <f>143.423476150163*(1/3.6)</f>
        <v>39.839854486156383</v>
      </c>
      <c r="B1035" s="2">
        <f>231.04994339565*(1/3.6)</f>
        <v>64.180539832125106</v>
      </c>
      <c r="C1035" s="2">
        <f>288.082824476428*(1/3.6)</f>
        <v>80.023006799007788</v>
      </c>
      <c r="D1035" s="2">
        <f t="shared" si="37"/>
        <v>0</v>
      </c>
    </row>
    <row r="1036" spans="1:4" x14ac:dyDescent="0.3">
      <c r="A1036" s="2">
        <f>143.766459800362*(1/3.6)</f>
        <v>39.935127722322918</v>
      </c>
      <c r="B1036" s="2">
        <f>230.809544187729*(1/3.6)</f>
        <v>64.11376227436925</v>
      </c>
      <c r="C1036" s="2">
        <f>297.788201385597*(1/3.6)</f>
        <v>82.7189448293325</v>
      </c>
      <c r="D1036" s="2">
        <f t="shared" si="37"/>
        <v>0</v>
      </c>
    </row>
    <row r="1037" spans="1:4" x14ac:dyDescent="0.3">
      <c r="A1037" s="2">
        <f>142.62974215846*(1/3.6)</f>
        <v>39.619372821794428</v>
      </c>
      <c r="B1037" s="2">
        <f>211.14346651096*(1/3.6)</f>
        <v>58.650962919710992</v>
      </c>
      <c r="C1037" s="2">
        <f>285.155774552093*(1/3.6)</f>
        <v>79.209937375581376</v>
      </c>
      <c r="D1037" s="2">
        <f t="shared" si="37"/>
        <v>0</v>
      </c>
    </row>
    <row r="1038" spans="1:4" x14ac:dyDescent="0.3">
      <c r="A1038" s="2">
        <f>143.010120781923*(1/3.6)</f>
        <v>39.725033550534079</v>
      </c>
      <c r="B1038" s="2">
        <f>210.442472393651*(1/3.6)</f>
        <v>58.456242331569683</v>
      </c>
      <c r="C1038" s="2">
        <f>285.768673261599*(1/3.6)</f>
        <v>79.380187017110941</v>
      </c>
      <c r="D1038" s="2">
        <f t="shared" si="37"/>
        <v>0</v>
      </c>
    </row>
    <row r="1039" spans="1:4" x14ac:dyDescent="0.3">
      <c r="A1039" s="2">
        <f>145.663267122135*(1/3.6)</f>
        <v>40.462018645037574</v>
      </c>
      <c r="B1039" s="2">
        <f>211.55478961823*(1/3.6)</f>
        <v>58.765219338397259</v>
      </c>
      <c r="C1039" s="2">
        <f>289.33493509052*(1/3.6)</f>
        <v>80.370815302922296</v>
      </c>
      <c r="D1039" s="2">
        <f t="shared" si="37"/>
        <v>0</v>
      </c>
    </row>
    <row r="1040" spans="1:4" x14ac:dyDescent="0.3">
      <c r="A1040" s="2">
        <f>145.653868647674*(1/3.6)</f>
        <v>40.459407957687226</v>
      </c>
      <c r="B1040" s="2">
        <f>210.967578108665*(1/3.6)</f>
        <v>58.602105030184838</v>
      </c>
      <c r="C1040" s="2">
        <f>289.460158404583*(1/3.6)</f>
        <v>80.405599556828605</v>
      </c>
      <c r="D1040" s="2">
        <f t="shared" si="37"/>
        <v>0</v>
      </c>
    </row>
    <row r="1041" spans="1:4" x14ac:dyDescent="0.3">
      <c r="A1041" s="2">
        <f>145.915794135128*(1/3.6)</f>
        <v>40.53216503753557</v>
      </c>
      <c r="B1041" s="2">
        <f>208.466850850861*(1/3.6)</f>
        <v>57.907458569683612</v>
      </c>
      <c r="C1041" s="2">
        <f>296.700157489381*(1/3.6)</f>
        <v>82.416710413716913</v>
      </c>
      <c r="D1041" s="2">
        <f t="shared" si="37"/>
        <v>0</v>
      </c>
    </row>
    <row r="1042" spans="1:4" x14ac:dyDescent="0.3">
      <c r="A1042" s="2">
        <f>145.576736993247*(1/3.6)</f>
        <v>40.437982498124171</v>
      </c>
      <c r="B1042" s="2">
        <f>210.27686062461*(1/3.6)</f>
        <v>58.41023906239154</v>
      </c>
      <c r="C1042" s="2">
        <f t="shared" ref="C1042:C1070" si="38">0*(1/3.6)</f>
        <v>0</v>
      </c>
      <c r="D1042" s="2">
        <f t="shared" si="37"/>
        <v>0</v>
      </c>
    </row>
    <row r="1043" spans="1:4" x14ac:dyDescent="0.3">
      <c r="A1043" s="2">
        <f>145.681717944298*(1/3.6)</f>
        <v>40.467143873416227</v>
      </c>
      <c r="B1043" s="2">
        <f>207.75826166248*(1/3.6)</f>
        <v>57.710628239577652</v>
      </c>
      <c r="C1043" s="2">
        <f t="shared" si="38"/>
        <v>0</v>
      </c>
      <c r="D1043" s="2">
        <f t="shared" si="37"/>
        <v>0</v>
      </c>
    </row>
    <row r="1044" spans="1:4" x14ac:dyDescent="0.3">
      <c r="A1044" s="2">
        <f>145.903744273247*(1/3.6)</f>
        <v>40.52881785367979</v>
      </c>
      <c r="B1044" s="2">
        <f>209.488112089587*(1/3.6)</f>
        <v>58.191142247107557</v>
      </c>
      <c r="C1044" s="2">
        <f t="shared" si="38"/>
        <v>0</v>
      </c>
      <c r="D1044" s="2">
        <f t="shared" si="37"/>
        <v>0</v>
      </c>
    </row>
    <row r="1045" spans="1:4" x14ac:dyDescent="0.3">
      <c r="A1045" s="2">
        <f>145.22395306155*(1/3.6)</f>
        <v>40.339986961541761</v>
      </c>
      <c r="B1045" s="2">
        <f>216.227323692309*(1/3.6)</f>
        <v>60.063145470085878</v>
      </c>
      <c r="C1045" s="2">
        <f t="shared" si="38"/>
        <v>0</v>
      </c>
      <c r="D1045" s="2">
        <f t="shared" si="37"/>
        <v>0</v>
      </c>
    </row>
    <row r="1046" spans="1:4" x14ac:dyDescent="0.3">
      <c r="A1046" s="2">
        <f>144.907319676838*(1/3.6)</f>
        <v>40.252033243566096</v>
      </c>
      <c r="B1046" s="2">
        <f>215.735635925805*(1/3.6)</f>
        <v>59.926565534945745</v>
      </c>
      <c r="C1046" s="2">
        <f t="shared" si="38"/>
        <v>0</v>
      </c>
      <c r="D1046" s="2">
        <f t="shared" si="37"/>
        <v>0</v>
      </c>
    </row>
    <row r="1047" spans="1:4" x14ac:dyDescent="0.3">
      <c r="A1047" s="2">
        <f>144.875777311908*(1/3.6)</f>
        <v>40.243271475530008</v>
      </c>
      <c r="B1047" s="2">
        <f>216.28933740069*(1/3.6)</f>
        <v>60.080371500191724</v>
      </c>
      <c r="C1047" s="2">
        <f t="shared" si="38"/>
        <v>0</v>
      </c>
      <c r="D1047" s="2">
        <f t="shared" si="37"/>
        <v>0</v>
      </c>
    </row>
    <row r="1048" spans="1:4" x14ac:dyDescent="0.3">
      <c r="A1048" s="2">
        <f>144.971519911285*(1/3.6)</f>
        <v>40.269866642023501</v>
      </c>
      <c r="B1048" s="2">
        <f>215.639944666438*(1/3.6)</f>
        <v>59.899984629566177</v>
      </c>
      <c r="C1048" s="2">
        <f t="shared" si="38"/>
        <v>0</v>
      </c>
      <c r="D1048" s="2">
        <f t="shared" si="37"/>
        <v>0</v>
      </c>
    </row>
    <row r="1049" spans="1:4" x14ac:dyDescent="0.3">
      <c r="A1049" s="2">
        <f>144.967528514574*(1/3.6)</f>
        <v>40.26875792071511</v>
      </c>
      <c r="B1049" s="2">
        <f>216.213884549988*(1/3.6)</f>
        <v>60.059412374996555</v>
      </c>
      <c r="C1049" s="2">
        <f t="shared" si="38"/>
        <v>0</v>
      </c>
      <c r="D1049" s="2">
        <f t="shared" si="37"/>
        <v>0</v>
      </c>
    </row>
    <row r="1050" spans="1:4" x14ac:dyDescent="0.3">
      <c r="A1050" s="2">
        <f>145.203962978814*(1/3.6)</f>
        <v>40.334434160781719</v>
      </c>
      <c r="B1050" s="2">
        <f>215.53809450775*(1/3.6)</f>
        <v>59.871692918819505</v>
      </c>
      <c r="C1050" s="2">
        <f t="shared" si="38"/>
        <v>0</v>
      </c>
      <c r="D1050" s="2">
        <f t="shared" si="37"/>
        <v>0</v>
      </c>
    </row>
    <row r="1051" spans="1:4" x14ac:dyDescent="0.3">
      <c r="A1051" s="2">
        <f>145.437969230641*(1/3.6)</f>
        <v>40.399435897400416</v>
      </c>
      <c r="B1051" s="2">
        <f>215.154366998797*(1/3.6)</f>
        <v>59.765101944110299</v>
      </c>
      <c r="C1051" s="2">
        <f t="shared" si="38"/>
        <v>0</v>
      </c>
      <c r="D1051" s="2">
        <f t="shared" si="37"/>
        <v>0</v>
      </c>
    </row>
    <row r="1052" spans="1:4" x14ac:dyDescent="0.3">
      <c r="A1052" s="2">
        <f>145.188900031075*(1/3.6)</f>
        <v>40.330250008632049</v>
      </c>
      <c r="B1052" s="2">
        <f>215.11214579655*(1/3.6)</f>
        <v>59.753373832375004</v>
      </c>
      <c r="C1052" s="2">
        <f t="shared" si="38"/>
        <v>0</v>
      </c>
      <c r="D1052" s="2">
        <f t="shared" si="37"/>
        <v>0</v>
      </c>
    </row>
    <row r="1053" spans="1:4" x14ac:dyDescent="0.3">
      <c r="A1053" s="2">
        <f>145.186502893387*(1/3.6)</f>
        <v>40.329584137051839</v>
      </c>
      <c r="B1053" s="2">
        <f>214.760328639939*(1/3.6)</f>
        <v>59.655646844427579</v>
      </c>
      <c r="C1053" s="2">
        <f t="shared" si="38"/>
        <v>0</v>
      </c>
      <c r="D1053" s="2">
        <f t="shared" si="37"/>
        <v>0</v>
      </c>
    </row>
    <row r="1054" spans="1:4" x14ac:dyDescent="0.3">
      <c r="A1054" s="2">
        <f>144.885844563977*(1/3.6)</f>
        <v>40.246067934438074</v>
      </c>
      <c r="B1054" s="2">
        <f>214.626653410688*(1/3.6)</f>
        <v>59.618514836302126</v>
      </c>
      <c r="C1054" s="2">
        <f t="shared" si="38"/>
        <v>0</v>
      </c>
      <c r="D1054" s="2">
        <f t="shared" si="37"/>
        <v>0</v>
      </c>
    </row>
    <row r="1055" spans="1:4" x14ac:dyDescent="0.3">
      <c r="A1055" s="2">
        <f>144.900250779865*(1/3.6)</f>
        <v>40.250069661073603</v>
      </c>
      <c r="B1055" s="2">
        <f>214.313692661151*(1/3.6)</f>
        <v>59.531581294764095</v>
      </c>
      <c r="C1055" s="2">
        <f t="shared" si="38"/>
        <v>0</v>
      </c>
      <c r="D1055" s="2">
        <f t="shared" si="37"/>
        <v>0</v>
      </c>
    </row>
    <row r="1056" spans="1:4" x14ac:dyDescent="0.3">
      <c r="A1056" s="2">
        <f>144.770713860173*(1/3.6)</f>
        <v>40.214087183381345</v>
      </c>
      <c r="B1056" s="2">
        <f>213.774542251116*(1/3.6)</f>
        <v>59.381817291976681</v>
      </c>
      <c r="C1056" s="2">
        <f t="shared" si="38"/>
        <v>0</v>
      </c>
      <c r="D1056" s="2">
        <f t="shared" si="37"/>
        <v>0</v>
      </c>
    </row>
    <row r="1057" spans="1:4" x14ac:dyDescent="0.3">
      <c r="A1057" s="2">
        <f>144.902360427264*(1/3.6)</f>
        <v>40.250655674239987</v>
      </c>
      <c r="B1057" s="2">
        <f>213.401151621336*(1/3.6)</f>
        <v>59.278097672593319</v>
      </c>
      <c r="C1057" s="2">
        <f t="shared" si="38"/>
        <v>0</v>
      </c>
      <c r="D1057" s="2">
        <f t="shared" si="37"/>
        <v>0</v>
      </c>
    </row>
    <row r="1058" spans="1:4" x14ac:dyDescent="0.3">
      <c r="A1058" s="2">
        <f>144.875028519145*(1/3.6)</f>
        <v>40.243063477540261</v>
      </c>
      <c r="B1058" s="2">
        <f>213.618125685123*(1/3.6)</f>
        <v>59.338368245867585</v>
      </c>
      <c r="C1058" s="2">
        <f t="shared" si="38"/>
        <v>0</v>
      </c>
      <c r="D1058" s="2">
        <f t="shared" si="37"/>
        <v>0</v>
      </c>
    </row>
    <row r="1059" spans="1:4" x14ac:dyDescent="0.3">
      <c r="A1059" s="2">
        <f>144.766553117342*(1/3.6)</f>
        <v>40.212931421483788</v>
      </c>
      <c r="B1059" s="2">
        <f>213.291134857833*(1/3.6)</f>
        <v>59.247537460509271</v>
      </c>
      <c r="C1059" s="2">
        <f t="shared" si="38"/>
        <v>0</v>
      </c>
      <c r="D1059" s="2">
        <f t="shared" si="37"/>
        <v>0</v>
      </c>
    </row>
    <row r="1060" spans="1:4" x14ac:dyDescent="0.3">
      <c r="A1060" s="2">
        <f>144.583364196029*(1/3.6)</f>
        <v>40.162045610008178</v>
      </c>
      <c r="B1060" s="2">
        <f>212.824692050202*(1/3.6)</f>
        <v>59.11797001394492</v>
      </c>
      <c r="C1060" s="2">
        <f t="shared" si="38"/>
        <v>0</v>
      </c>
      <c r="D1060" s="2">
        <f t="shared" si="37"/>
        <v>0</v>
      </c>
    </row>
    <row r="1061" spans="1:4" x14ac:dyDescent="0.3">
      <c r="A1061" s="2">
        <f>144.63945481556*(1/3.6)</f>
        <v>40.177626337655418</v>
      </c>
      <c r="B1061" s="2">
        <f>213.18718497115*(1/3.6)</f>
        <v>59.218662491986194</v>
      </c>
      <c r="C1061" s="2">
        <f t="shared" si="38"/>
        <v>0</v>
      </c>
      <c r="D1061" s="2">
        <f t="shared" si="37"/>
        <v>0</v>
      </c>
    </row>
    <row r="1062" spans="1:4" x14ac:dyDescent="0.3">
      <c r="A1062" s="2">
        <f>144.565223366837*(1/3.6)</f>
        <v>40.15700649078812</v>
      </c>
      <c r="B1062" s="2">
        <f>212.405486381647*(1/3.6)</f>
        <v>59.001523994902008</v>
      </c>
      <c r="C1062" s="2">
        <f t="shared" si="38"/>
        <v>0</v>
      </c>
      <c r="D1062" s="2">
        <f t="shared" si="37"/>
        <v>0</v>
      </c>
    </row>
    <row r="1063" spans="1:4" x14ac:dyDescent="0.3">
      <c r="A1063" s="2">
        <f>144.594164773573*(1/3.6)</f>
        <v>40.165045770436983</v>
      </c>
      <c r="B1063" s="2">
        <f>212.717053987405*(1/3.6)</f>
        <v>59.088070552056898</v>
      </c>
      <c r="C1063" s="2">
        <f t="shared" si="38"/>
        <v>0</v>
      </c>
      <c r="D1063" s="2">
        <f t="shared" si="37"/>
        <v>0</v>
      </c>
    </row>
    <row r="1064" spans="1:4" x14ac:dyDescent="0.3">
      <c r="A1064" s="2">
        <f>144.761116811583*(1/3.6)</f>
        <v>40.21142133655075</v>
      </c>
      <c r="B1064" s="2">
        <f>212.125909016931*(1/3.6)</f>
        <v>58.923863615814035</v>
      </c>
      <c r="C1064" s="2">
        <f t="shared" si="38"/>
        <v>0</v>
      </c>
      <c r="D1064" s="2">
        <f t="shared" si="37"/>
        <v>0</v>
      </c>
    </row>
    <row r="1065" spans="1:4" x14ac:dyDescent="0.3">
      <c r="A1065" s="2">
        <f>144.7291992073*(1/3.6)</f>
        <v>40.202555335361026</v>
      </c>
      <c r="B1065" s="2">
        <f>212.051447625786*(1/3.6)</f>
        <v>58.90317989605154</v>
      </c>
      <c r="C1065" s="2">
        <f t="shared" si="38"/>
        <v>0</v>
      </c>
      <c r="D1065" s="2">
        <f t="shared" si="37"/>
        <v>0</v>
      </c>
    </row>
    <row r="1066" spans="1:4" x14ac:dyDescent="0.3">
      <c r="A1066" s="2">
        <f>144.903879856188*(1/3.6)</f>
        <v>40.25107773782991</v>
      </c>
      <c r="B1066" s="2">
        <f>212.190757949116*(1/3.6)</f>
        <v>58.94187720808781</v>
      </c>
      <c r="C1066" s="2">
        <f t="shared" si="38"/>
        <v>0</v>
      </c>
      <c r="D1066" s="2">
        <f t="shared" si="37"/>
        <v>0</v>
      </c>
    </row>
    <row r="1067" spans="1:4" x14ac:dyDescent="0.3">
      <c r="A1067" s="2">
        <f>132.208738858873*(1/3.6)</f>
        <v>36.724649683020154</v>
      </c>
      <c r="B1067" s="2">
        <f>207.553226890841*(1/3.6)</f>
        <v>57.653674136344762</v>
      </c>
      <c r="C1067" s="2">
        <f t="shared" si="38"/>
        <v>0</v>
      </c>
      <c r="D1067" s="2">
        <f t="shared" si="37"/>
        <v>0</v>
      </c>
    </row>
    <row r="1068" spans="1:4" x14ac:dyDescent="0.3">
      <c r="A1068" s="2">
        <f>132.000579119369*(1/3.6)</f>
        <v>36.666827533158155</v>
      </c>
      <c r="B1068" s="2">
        <f>206.781009343952*(1/3.6)</f>
        <v>57.439169262208765</v>
      </c>
      <c r="C1068" s="2">
        <f t="shared" si="38"/>
        <v>0</v>
      </c>
      <c r="D1068" s="2">
        <f t="shared" si="37"/>
        <v>0</v>
      </c>
    </row>
    <row r="1069" spans="1:4" x14ac:dyDescent="0.3">
      <c r="A1069" s="2">
        <f>132.467274520267*(1/3.6)</f>
        <v>36.796465144518706</v>
      </c>
      <c r="B1069" s="2">
        <f>206.336339808594*(1/3.6)</f>
        <v>57.315649946831563</v>
      </c>
      <c r="C1069" s="2">
        <f t="shared" si="38"/>
        <v>0</v>
      </c>
      <c r="D1069" s="2">
        <f t="shared" si="37"/>
        <v>0</v>
      </c>
    </row>
    <row r="1070" spans="1:4" x14ac:dyDescent="0.3">
      <c r="A1070" s="2">
        <f>132.841516145254*(1/3.6)</f>
        <v>36.900421151459561</v>
      </c>
      <c r="B1070" s="2">
        <f>207.414950618734*(1/3.6)</f>
        <v>57.615264060759309</v>
      </c>
      <c r="C1070" s="2">
        <f t="shared" si="38"/>
        <v>0</v>
      </c>
      <c r="D1070" s="2">
        <f t="shared" si="37"/>
        <v>0</v>
      </c>
    </row>
    <row r="1071" spans="1:4" x14ac:dyDescent="0.3">
      <c r="A1071" s="2">
        <f>132.838227211688*(1/3.6)</f>
        <v>36.899507558802171</v>
      </c>
      <c r="B1071" s="2">
        <f>207.177260057892*(1/3.6)</f>
        <v>57.549238904970018</v>
      </c>
      <c r="C1071" s="2">
        <f>256.608736836604*(1/3.6)</f>
        <v>71.280204676834515</v>
      </c>
      <c r="D1071" s="2">
        <f t="shared" si="37"/>
        <v>0</v>
      </c>
    </row>
    <row r="1072" spans="1:4" x14ac:dyDescent="0.3">
      <c r="A1072" s="2">
        <f>132.914960462245*(1/3.6)</f>
        <v>36.920822350623624</v>
      </c>
      <c r="B1072" s="2">
        <f>206.957786467602*(1/3.6)</f>
        <v>57.488274018778249</v>
      </c>
      <c r="C1072" s="2">
        <f>256.86617787912*(1/3.6)</f>
        <v>71.351716077533297</v>
      </c>
      <c r="D1072" s="2">
        <f t="shared" si="37"/>
        <v>0</v>
      </c>
    </row>
    <row r="1073" spans="1:4" x14ac:dyDescent="0.3">
      <c r="A1073" s="2">
        <f>133.352050792133*(1/3.6)</f>
        <v>37.042236331148061</v>
      </c>
      <c r="B1073" s="2">
        <f>206.557531685041*(1/3.6)</f>
        <v>57.377092134733537</v>
      </c>
      <c r="C1073" s="2">
        <f>256.545312749506*(1/3.6)</f>
        <v>71.262586874862663</v>
      </c>
      <c r="D1073" s="2">
        <f t="shared" si="37"/>
        <v>0</v>
      </c>
    </row>
    <row r="1074" spans="1:4" x14ac:dyDescent="0.3">
      <c r="A1074" s="2">
        <f>133.348376777068*(1/3.6)</f>
        <v>37.041215771407835</v>
      </c>
      <c r="B1074" s="2">
        <f>206.488578577929*(1/3.6)</f>
        <v>57.357938493869284</v>
      </c>
      <c r="C1074" s="2">
        <f>256.760039912799*(1/3.6)</f>
        <v>71.322233309110828</v>
      </c>
      <c r="D1074" s="2">
        <f t="shared" si="37"/>
        <v>0</v>
      </c>
    </row>
    <row r="1075" spans="1:4" x14ac:dyDescent="0.3">
      <c r="A1075" s="2">
        <f>133.60261226847*(1/3.6)</f>
        <v>37.111836741241788</v>
      </c>
      <c r="B1075" s="2">
        <f>206.257002601954*(1/3.6)</f>
        <v>57.293611833876156</v>
      </c>
      <c r="C1075" s="2">
        <f>256.832447407432*(1/3.6)</f>
        <v>71.342346502064487</v>
      </c>
      <c r="D1075" s="2">
        <f t="shared" si="37"/>
        <v>0</v>
      </c>
    </row>
    <row r="1076" spans="1:4" x14ac:dyDescent="0.3">
      <c r="A1076" s="2">
        <f>133.770451045496*(1/3.6)</f>
        <v>37.158458623748885</v>
      </c>
      <c r="B1076" s="2">
        <f>206.027603633582*(1/3.6)</f>
        <v>57.229889898217117</v>
      </c>
      <c r="C1076" s="2">
        <f>256.383479499453*(1/3.6)</f>
        <v>71.217633194292375</v>
      </c>
      <c r="D1076" s="2">
        <f t="shared" si="37"/>
        <v>0</v>
      </c>
    </row>
    <row r="1077" spans="1:4" x14ac:dyDescent="0.3">
      <c r="A1077" s="2">
        <f>133.846327710863*(1/3.6)</f>
        <v>37.179535475239689</v>
      </c>
      <c r="B1077" s="2">
        <f>206.314439499193*(1/3.6)</f>
        <v>57.309566527553493</v>
      </c>
      <c r="C1077" s="2">
        <f>256.311857587896*(1/3.6)</f>
        <v>71.197738218859911</v>
      </c>
      <c r="D1077" s="2">
        <f t="shared" si="37"/>
        <v>0</v>
      </c>
    </row>
    <row r="1078" spans="1:4" x14ac:dyDescent="0.3">
      <c r="A1078" s="2">
        <f>134.068835754944*(1/3.6)</f>
        <v>37.241343265262195</v>
      </c>
      <c r="B1078" s="2">
        <f>206.308435857975*(1/3.6)</f>
        <v>57.307898849437422</v>
      </c>
      <c r="C1078" s="2">
        <f>256.391163655699*(1/3.6)</f>
        <v>71.219767682138624</v>
      </c>
      <c r="D1078" s="2">
        <f t="shared" si="37"/>
        <v>0</v>
      </c>
    </row>
    <row r="1079" spans="1:4" x14ac:dyDescent="0.3">
      <c r="A1079" s="2">
        <f>133.8440238368*(1/3.6)</f>
        <v>37.178895510222134</v>
      </c>
      <c r="B1079" s="2">
        <f>205.522159621555*(1/3.6)</f>
        <v>57.089488783765304</v>
      </c>
      <c r="C1079" s="2">
        <f>255.897506480023*(1/3.6)</f>
        <v>71.082640688895239</v>
      </c>
      <c r="D1079" s="2">
        <f t="shared" si="37"/>
        <v>0</v>
      </c>
    </row>
    <row r="1080" spans="1:4" x14ac:dyDescent="0.3">
      <c r="A1080" s="2">
        <f>134.094721783514*(1/3.6)</f>
        <v>37.248533828753793</v>
      </c>
      <c r="B1080" s="2">
        <f>205.306052150432*(1/3.6)</f>
        <v>57.029458930675553</v>
      </c>
      <c r="C1080" s="2">
        <f>256.225419598546*(1/3.6)</f>
        <v>71.173727666262735</v>
      </c>
      <c r="D1080" s="2">
        <f t="shared" si="37"/>
        <v>0</v>
      </c>
    </row>
    <row r="1081" spans="1:4" x14ac:dyDescent="0.3">
      <c r="A1081" s="2">
        <f>133.836647478363*(1/3.6)</f>
        <v>37.176846521767445</v>
      </c>
      <c r="B1081" s="2">
        <f>205.482770422802*(1/3.6)</f>
        <v>57.078547339667175</v>
      </c>
      <c r="C1081" s="2">
        <f>255.956234856359*(1/3.6)</f>
        <v>71.098954126766429</v>
      </c>
      <c r="D1081" s="2">
        <f t="shared" si="37"/>
        <v>0</v>
      </c>
    </row>
    <row r="1082" spans="1:4" x14ac:dyDescent="0.3">
      <c r="A1082" s="2">
        <f>133.830856311839*(1/3.6)</f>
        <v>37.175237864399691</v>
      </c>
      <c r="B1082" s="2">
        <f>204.182827892211*(1/3.6)</f>
        <v>56.717452192280703</v>
      </c>
      <c r="C1082" s="2">
        <f>256.160364550859*(1/3.6)</f>
        <v>71.155656819683031</v>
      </c>
      <c r="D1082" s="2">
        <f t="shared" si="37"/>
        <v>0</v>
      </c>
    </row>
    <row r="1083" spans="1:4" x14ac:dyDescent="0.3">
      <c r="A1083" s="2">
        <f>133.846428599288*(1/3.6)</f>
        <v>37.179563499802278</v>
      </c>
      <c r="B1083" s="2">
        <f>205.006193946479*(1/3.6)</f>
        <v>56.946164985133144</v>
      </c>
      <c r="C1083" s="2">
        <f>255.701687670976*(1/3.6)</f>
        <v>71.028246575270998</v>
      </c>
      <c r="D1083" s="2">
        <f t="shared" si="37"/>
        <v>0</v>
      </c>
    </row>
    <row r="1084" spans="1:4" x14ac:dyDescent="0.3">
      <c r="A1084" s="2">
        <f>134.079941026614*(1/3.6)</f>
        <v>37.244428062948309</v>
      </c>
      <c r="B1084" s="2">
        <f>204.383338166104*(1/3.6)</f>
        <v>56.773149490584338</v>
      </c>
      <c r="C1084" s="2">
        <f>255.714075678302*(1/3.6)</f>
        <v>71.031687688417335</v>
      </c>
      <c r="D1084" s="2">
        <f t="shared" si="37"/>
        <v>0</v>
      </c>
    </row>
    <row r="1085" spans="1:4" x14ac:dyDescent="0.3">
      <c r="A1085" s="2">
        <f>134.212683900215*(1/3.6)</f>
        <v>37.28130108339294</v>
      </c>
      <c r="B1085" s="2">
        <f>204.177930620015*(1/3.6)</f>
        <v>56.716091838892993</v>
      </c>
      <c r="C1085" s="2">
        <f>255.72422089585*(1/3.6)</f>
        <v>71.034505804402727</v>
      </c>
      <c r="D1085" s="2">
        <f t="shared" si="37"/>
        <v>0</v>
      </c>
    </row>
    <row r="1086" spans="1:4" x14ac:dyDescent="0.3">
      <c r="A1086" s="2">
        <f>134.413441002079*(1/3.6)</f>
        <v>37.337066945022016</v>
      </c>
      <c r="B1086" s="2">
        <f>203.737430557201*(1/3.6)</f>
        <v>56.593730710333716</v>
      </c>
      <c r="C1086" s="2">
        <f>255.450999802333*(1/3.6)</f>
        <v>70.958611056203708</v>
      </c>
      <c r="D1086" s="2">
        <f t="shared" si="37"/>
        <v>0</v>
      </c>
    </row>
    <row r="1087" spans="1:4" x14ac:dyDescent="0.3">
      <c r="A1087" s="2">
        <f>134.48974693098*(1/3.6)</f>
        <v>37.35826303638347</v>
      </c>
      <c r="B1087" s="2">
        <f>204.207054988265*(1/3.6)</f>
        <v>56.724181941184767</v>
      </c>
      <c r="C1087" s="2">
        <f>255.184067140186*(1/3.6)</f>
        <v>70.884463094496027</v>
      </c>
      <c r="D1087" s="2">
        <f t="shared" si="37"/>
        <v>0</v>
      </c>
    </row>
    <row r="1088" spans="1:4" x14ac:dyDescent="0.3">
      <c r="A1088" s="2">
        <f>134.817765994804*(1/3.6)</f>
        <v>37.449379443001099</v>
      </c>
      <c r="B1088" s="2">
        <f>204.110681162498*(1/3.6)</f>
        <v>56.697411434027323</v>
      </c>
      <c r="C1088" s="2">
        <f>255.019427621885*(1/3.6)</f>
        <v>70.838729894968026</v>
      </c>
      <c r="D1088" s="2">
        <f t="shared" si="37"/>
        <v>0</v>
      </c>
    </row>
    <row r="1089" spans="1:4" x14ac:dyDescent="0.3">
      <c r="A1089" s="2">
        <f>134.697890145581*(1/3.6)</f>
        <v>37.41608059599465</v>
      </c>
      <c r="B1089" s="2">
        <f>203.673428756709*(1/3.6)</f>
        <v>56.575952432419101</v>
      </c>
      <c r="C1089" s="2">
        <f>254.808279128843*(1/3.6)</f>
        <v>70.780077535789857</v>
      </c>
      <c r="D1089" s="2">
        <f t="shared" si="37"/>
        <v>0</v>
      </c>
    </row>
    <row r="1090" spans="1:4" x14ac:dyDescent="0.3">
      <c r="A1090" s="2">
        <f>134.810334128759*(1/3.6)</f>
        <v>37.447315035766287</v>
      </c>
      <c r="B1090" s="2">
        <f>203.425999419746*(1/3.6)</f>
        <v>56.507222061040615</v>
      </c>
      <c r="C1090" s="2">
        <f>254.877041019306*(1/3.6)</f>
        <v>70.799178060918408</v>
      </c>
      <c r="D1090" s="2">
        <f t="shared" ref="D1090:D1153" si="39">0*(1/3.6)</f>
        <v>0</v>
      </c>
    </row>
    <row r="1091" spans="1:4" x14ac:dyDescent="0.3">
      <c r="A1091" s="2">
        <f>134.653296965212*(1/3.6)</f>
        <v>37.40369360144765</v>
      </c>
      <c r="B1091" s="2">
        <f>203.007579827447*(1/3.6)</f>
        <v>56.39099439651293</v>
      </c>
      <c r="C1091" s="2">
        <f>254.380276251324*(1/3.6)</f>
        <v>70.661187847590085</v>
      </c>
      <c r="D1091" s="2">
        <f t="shared" si="39"/>
        <v>0</v>
      </c>
    </row>
    <row r="1092" spans="1:4" x14ac:dyDescent="0.3">
      <c r="A1092" s="2">
        <f>134.775124452761*(1/3.6)</f>
        <v>37.437534570211369</v>
      </c>
      <c r="B1092" s="2">
        <f>203.328320229982*(1/3.6)</f>
        <v>56.480088952772917</v>
      </c>
      <c r="C1092" s="2">
        <f>254.851569711732*(1/3.6)</f>
        <v>70.792102697703299</v>
      </c>
      <c r="D1092" s="2">
        <f t="shared" si="39"/>
        <v>0</v>
      </c>
    </row>
    <row r="1093" spans="1:4" x14ac:dyDescent="0.3">
      <c r="A1093" s="2">
        <f>135.046585112434*(1/3.6)</f>
        <v>37.512940309009501</v>
      </c>
      <c r="B1093" s="2">
        <f>203.290797584233*(1/3.6)</f>
        <v>56.46966599562041</v>
      </c>
      <c r="C1093" s="2">
        <f>254.119153829821*(1/3.6)</f>
        <v>70.588653841616818</v>
      </c>
      <c r="D1093" s="2">
        <f t="shared" si="39"/>
        <v>0</v>
      </c>
    </row>
    <row r="1094" spans="1:4" x14ac:dyDescent="0.3">
      <c r="A1094" s="2">
        <f>134.795470396668*(1/3.6)</f>
        <v>37.443186221296678</v>
      </c>
      <c r="B1094" s="2">
        <f>202.362309650688*(1/3.6)</f>
        <v>56.21175268074655</v>
      </c>
      <c r="C1094" s="2">
        <f>254.386432601049*(1/3.6)</f>
        <v>70.662897944735874</v>
      </c>
      <c r="D1094" s="2">
        <f t="shared" si="39"/>
        <v>0</v>
      </c>
    </row>
    <row r="1095" spans="1:4" x14ac:dyDescent="0.3">
      <c r="A1095" s="2">
        <f>135.039139606584*(1/3.6)</f>
        <v>37.510872112939978</v>
      </c>
      <c r="B1095" s="2">
        <f>202.584881755119*(1/3.6)</f>
        <v>56.273578265310952</v>
      </c>
      <c r="C1095" s="2">
        <f>253.844653592077*(1/3.6)</f>
        <v>70.512403775576956</v>
      </c>
      <c r="D1095" s="2">
        <f t="shared" si="39"/>
        <v>0</v>
      </c>
    </row>
    <row r="1096" spans="1:4" x14ac:dyDescent="0.3">
      <c r="A1096" s="2">
        <f>135.035416853659*(1/3.6)</f>
        <v>37.509838014905213</v>
      </c>
      <c r="B1096" s="2">
        <f>202.12386289757*(1/3.6)</f>
        <v>56.145517471547102</v>
      </c>
      <c r="C1096" s="2">
        <f>254.112604030167*(1/3.6)</f>
        <v>70.58683445282405</v>
      </c>
      <c r="D1096" s="2">
        <f t="shared" si="39"/>
        <v>0</v>
      </c>
    </row>
    <row r="1097" spans="1:4" x14ac:dyDescent="0.3">
      <c r="A1097" s="2">
        <f>134.813681943178*(1/3.6)</f>
        <v>37.448244984216004</v>
      </c>
      <c r="B1097" s="2">
        <f>202.028282020055*(1/3.6)</f>
        <v>56.118967227793085</v>
      </c>
      <c r="C1097" s="2">
        <f>253.841074763152*(1/3.6)</f>
        <v>70.511409656431169</v>
      </c>
      <c r="D1097" s="2">
        <f t="shared" si="39"/>
        <v>0</v>
      </c>
    </row>
    <row r="1098" spans="1:4" x14ac:dyDescent="0.3">
      <c r="A1098" s="2">
        <f>135.244226211578*(1/3.6)</f>
        <v>37.567840614327281</v>
      </c>
      <c r="B1098" s="2">
        <f>201.147859603462*(1/3.6)</f>
        <v>55.874405445406111</v>
      </c>
      <c r="C1098" s="2">
        <f>253.836061370177*(1/3.6)</f>
        <v>70.51001704727139</v>
      </c>
      <c r="D1098" s="2">
        <f t="shared" si="39"/>
        <v>0</v>
      </c>
    </row>
    <row r="1099" spans="1:4" x14ac:dyDescent="0.3">
      <c r="A1099" s="2">
        <f>135.269901766272*(1/3.6)</f>
        <v>37.574972712853231</v>
      </c>
      <c r="B1099" s="2">
        <f>201.700200753167*(1/3.6)</f>
        <v>56.027833542546361</v>
      </c>
      <c r="C1099" s="2">
        <f>253.576341376821*(1/3.6)</f>
        <v>70.437872604672634</v>
      </c>
      <c r="D1099" s="2">
        <f t="shared" si="39"/>
        <v>0</v>
      </c>
    </row>
    <row r="1100" spans="1:4" x14ac:dyDescent="0.3">
      <c r="A1100" s="2">
        <f>135.27232880007*(1/3.6)</f>
        <v>37.575646888908288</v>
      </c>
      <c r="B1100" s="2">
        <f>201.433347109878*(1/3.6)</f>
        <v>55.953707530521754</v>
      </c>
      <c r="C1100" s="2">
        <f>253.556808532937*(1/3.6)</f>
        <v>70.432446814704647</v>
      </c>
      <c r="D1100" s="2">
        <f t="shared" si="39"/>
        <v>0</v>
      </c>
    </row>
    <row r="1101" spans="1:4" x14ac:dyDescent="0.3">
      <c r="A1101" s="2">
        <f>135.439083820902*(1/3.6)</f>
        <v>37.621967728028267</v>
      </c>
      <c r="B1101" s="2">
        <f>201.11740260627*(1/3.6)</f>
        <v>55.865945168408352</v>
      </c>
      <c r="C1101" s="2">
        <f>253.359127826421*(1/3.6)</f>
        <v>70.377535507339189</v>
      </c>
      <c r="D1101" s="2">
        <f t="shared" si="39"/>
        <v>0</v>
      </c>
    </row>
    <row r="1102" spans="1:4" x14ac:dyDescent="0.3">
      <c r="A1102" s="2">
        <f>135.281154003433*(1/3.6)</f>
        <v>37.578098334287063</v>
      </c>
      <c r="B1102" s="2">
        <f>201.197428284274*(1/3.6)</f>
        <v>55.888174523409376</v>
      </c>
      <c r="C1102" s="2">
        <f>253.27173023311*(1/3.6)</f>
        <v>70.353258398085998</v>
      </c>
      <c r="D1102" s="2">
        <f t="shared" si="39"/>
        <v>0</v>
      </c>
    </row>
    <row r="1103" spans="1:4" x14ac:dyDescent="0.3">
      <c r="A1103" s="2">
        <f>135.254983662961*(1/3.6)</f>
        <v>37.570828795267033</v>
      </c>
      <c r="B1103" s="2">
        <f>200.965062669404*(1/3.6)</f>
        <v>55.823628519279019</v>
      </c>
      <c r="C1103" s="2">
        <f>253.262941830648*(1/3.6)</f>
        <v>70.350817175179913</v>
      </c>
      <c r="D1103" s="2">
        <f t="shared" si="39"/>
        <v>0</v>
      </c>
    </row>
    <row r="1104" spans="1:4" x14ac:dyDescent="0.3">
      <c r="A1104" s="2">
        <f>135.386382673218*(1/3.6)</f>
        <v>37.607328520338456</v>
      </c>
      <c r="B1104" s="2">
        <f>200.521197766836*(1/3.6)</f>
        <v>55.700332713009956</v>
      </c>
      <c r="C1104" s="2">
        <f>252.468415057707*(1/3.6)</f>
        <v>70.130115293807549</v>
      </c>
      <c r="D1104" s="2">
        <f t="shared" si="39"/>
        <v>0</v>
      </c>
    </row>
    <row r="1105" spans="1:4" x14ac:dyDescent="0.3">
      <c r="A1105" s="2">
        <f>135.435278212727*(1/3.6)</f>
        <v>37.620910614646277</v>
      </c>
      <c r="B1105" s="2">
        <f>199.908256681113*(1/3.6)</f>
        <v>55.530071300309203</v>
      </c>
      <c r="C1105" s="2">
        <f>252.457736879604*(1/3.6)</f>
        <v>70.127149133223256</v>
      </c>
      <c r="D1105" s="2">
        <f t="shared" si="39"/>
        <v>0</v>
      </c>
    </row>
    <row r="1106" spans="1:4" x14ac:dyDescent="0.3">
      <c r="A1106" s="2">
        <f>135.272815679369*(1/3.6)</f>
        <v>37.575782133157958</v>
      </c>
      <c r="B1106" s="2">
        <f>200.099981852723*(1/3.6)</f>
        <v>55.583328292422941</v>
      </c>
      <c r="C1106" s="2">
        <f>252.185356460652*(1/3.6)</f>
        <v>70.051487905736735</v>
      </c>
      <c r="D1106" s="2">
        <f t="shared" si="39"/>
        <v>0</v>
      </c>
    </row>
    <row r="1107" spans="1:4" x14ac:dyDescent="0.3">
      <c r="A1107" s="2">
        <f>135.48397004025*(1/3.6)</f>
        <v>37.634436122291582</v>
      </c>
      <c r="B1107" s="2">
        <f>199.658812997123*(1/3.6)</f>
        <v>55.460781388089799</v>
      </c>
      <c r="C1107" s="2">
        <f>251.932378898242*(1/3.6)</f>
        <v>69.981216360622867</v>
      </c>
      <c r="D1107" s="2">
        <f t="shared" si="39"/>
        <v>0</v>
      </c>
    </row>
    <row r="1108" spans="1:4" x14ac:dyDescent="0.3">
      <c r="A1108" s="2">
        <f>135.347039762665*(1/3.6)</f>
        <v>37.596399934073546</v>
      </c>
      <c r="B1108" s="2">
        <f>199.83746926556*(1/3.6)</f>
        <v>55.510408129322357</v>
      </c>
      <c r="C1108" s="2">
        <f>251.646059549552*(1/3.6)</f>
        <v>69.901683208208979</v>
      </c>
      <c r="D1108" s="2">
        <f t="shared" si="39"/>
        <v>0</v>
      </c>
    </row>
    <row r="1109" spans="1:4" x14ac:dyDescent="0.3">
      <c r="A1109" s="2">
        <f>135.452063524412*(1/3.6)</f>
        <v>37.625573201225635</v>
      </c>
      <c r="B1109" s="2">
        <f>199.472156162368*(1/3.6)</f>
        <v>55.408932267324381</v>
      </c>
      <c r="C1109" s="2">
        <f>251.643981518313*(1/3.6)</f>
        <v>69.901105977309214</v>
      </c>
      <c r="D1109" s="2">
        <f t="shared" si="39"/>
        <v>0</v>
      </c>
    </row>
    <row r="1110" spans="1:4" x14ac:dyDescent="0.3">
      <c r="A1110" s="2">
        <f>135.325040173986*(1/3.6)</f>
        <v>37.590288937218453</v>
      </c>
      <c r="B1110" s="2">
        <f>199.217428436404*(1/3.6)</f>
        <v>55.338174565667913</v>
      </c>
      <c r="C1110" s="2">
        <f>250.835824844863*(1/3.6)</f>
        <v>69.676618012461915</v>
      </c>
      <c r="D1110" s="2">
        <f t="shared" si="39"/>
        <v>0</v>
      </c>
    </row>
    <row r="1111" spans="1:4" x14ac:dyDescent="0.3">
      <c r="A1111" s="2">
        <f>135.469025032248*(1/3.6)</f>
        <v>37.63028473117997</v>
      </c>
      <c r="B1111" s="2">
        <f>199.292915836219*(1/3.6)</f>
        <v>55.359143287838563</v>
      </c>
      <c r="C1111" s="2">
        <f>250.563726476056*(1/3.6)</f>
        <v>69.601035132237641</v>
      </c>
      <c r="D1111" s="2">
        <f t="shared" si="39"/>
        <v>0</v>
      </c>
    </row>
    <row r="1112" spans="1:4" x14ac:dyDescent="0.3">
      <c r="A1112" s="2">
        <f>135.500888833894*(1/3.6)</f>
        <v>37.639135787192735</v>
      </c>
      <c r="B1112" s="2">
        <f>198.492140316858*(1/3.6)</f>
        <v>55.136705643571688</v>
      </c>
      <c r="C1112" s="2">
        <f>250.39680750603*(1/3.6)</f>
        <v>69.554668751674939</v>
      </c>
      <c r="D1112" s="2">
        <f t="shared" si="39"/>
        <v>0</v>
      </c>
    </row>
    <row r="1113" spans="1:4" x14ac:dyDescent="0.3">
      <c r="A1113" s="2">
        <f>135.461552528247*(1/3.6)</f>
        <v>37.628209035624167</v>
      </c>
      <c r="B1113" s="2">
        <f>198.527193139289*(1/3.6)</f>
        <v>55.146442538691325</v>
      </c>
      <c r="C1113" s="2">
        <f>250.409485270258*(1/3.6)</f>
        <v>69.55819035284955</v>
      </c>
      <c r="D1113" s="2">
        <f t="shared" si="39"/>
        <v>0</v>
      </c>
    </row>
    <row r="1114" spans="1:4" x14ac:dyDescent="0.3">
      <c r="A1114" s="2">
        <f>135.398147042106*(1/3.6)</f>
        <v>37.610596400585052</v>
      </c>
      <c r="B1114" s="2">
        <f>198.969224036001*(1/3.6)</f>
        <v>55.269228898889153</v>
      </c>
      <c r="C1114" s="2">
        <f>250.51951171162*(1/3.6)</f>
        <v>69.588753253227736</v>
      </c>
      <c r="D1114" s="2">
        <f t="shared" si="39"/>
        <v>0</v>
      </c>
    </row>
    <row r="1115" spans="1:4" x14ac:dyDescent="0.3">
      <c r="A1115" s="2">
        <f>135.656409255868*(1/3.6)</f>
        <v>37.682335904407836</v>
      </c>
      <c r="B1115" s="2">
        <f>197.202691432828*(1/3.6)</f>
        <v>54.778525398007744</v>
      </c>
      <c r="C1115" s="2">
        <f>250.484283566848*(1/3.6)</f>
        <v>69.578967657457753</v>
      </c>
      <c r="D1115" s="2">
        <f t="shared" si="39"/>
        <v>0</v>
      </c>
    </row>
    <row r="1116" spans="1:4" x14ac:dyDescent="0.3">
      <c r="A1116" s="2">
        <f>135.69249540501*(1/3.6)</f>
        <v>37.692359834724897</v>
      </c>
      <c r="B1116" s="2">
        <f>197.91773728593*(1/3.6)</f>
        <v>54.977149246091763</v>
      </c>
      <c r="C1116" s="2">
        <f>249.724821265076*(1/3.6)</f>
        <v>69.368005906965493</v>
      </c>
      <c r="D1116" s="2">
        <f t="shared" si="39"/>
        <v>0</v>
      </c>
    </row>
    <row r="1117" spans="1:4" x14ac:dyDescent="0.3">
      <c r="A1117" s="2">
        <f>135.861786495046*(1/3.6)</f>
        <v>37.739385137512912</v>
      </c>
      <c r="B1117" s="2">
        <f>197.789497338318*(1/3.6)</f>
        <v>54.94152703842159</v>
      </c>
      <c r="C1117" s="2">
        <f>249.44569047731*(1/3.6)</f>
        <v>69.290469577030464</v>
      </c>
      <c r="D1117" s="2">
        <f t="shared" si="39"/>
        <v>0</v>
      </c>
    </row>
    <row r="1118" spans="1:4" x14ac:dyDescent="0.3">
      <c r="A1118" s="2">
        <f>135.685009542024*(1/3.6)</f>
        <v>37.69028042834006</v>
      </c>
      <c r="B1118" s="2">
        <f>196.894494946525*(1/3.6)</f>
        <v>54.692915262923478</v>
      </c>
      <c r="C1118" s="2">
        <f>249.427753528285*(1/3.6)</f>
        <v>69.285487091190333</v>
      </c>
      <c r="D1118" s="2">
        <f t="shared" si="39"/>
        <v>0</v>
      </c>
    </row>
    <row r="1119" spans="1:4" x14ac:dyDescent="0.3">
      <c r="A1119" s="2">
        <f>135.934157383318*(1/3.6)</f>
        <v>37.759488162032788</v>
      </c>
      <c r="B1119" s="2">
        <f>197.240047572989*(1/3.6)</f>
        <v>54.788902103608116</v>
      </c>
      <c r="C1119" s="2">
        <f>249.713692668088*(1/3.6)</f>
        <v>69.364914630024415</v>
      </c>
      <c r="D1119" s="2">
        <f t="shared" si="39"/>
        <v>0</v>
      </c>
    </row>
    <row r="1120" spans="1:4" x14ac:dyDescent="0.3">
      <c r="A1120" s="2">
        <f>136.198089238354*(1/3.6)</f>
        <v>37.832802566209473</v>
      </c>
      <c r="B1120" s="2">
        <f>197.024790492852*(1/3.6)</f>
        <v>54.729108470236724</v>
      </c>
      <c r="C1120" s="2">
        <f>250.016333162656*(1/3.6)</f>
        <v>69.448981434071015</v>
      </c>
      <c r="D1120" s="2">
        <f t="shared" si="39"/>
        <v>0</v>
      </c>
    </row>
    <row r="1121" spans="1:4" x14ac:dyDescent="0.3">
      <c r="A1121" s="2">
        <f>135.930197927138*(1/3.6)</f>
        <v>37.758388313093974</v>
      </c>
      <c r="B1121" s="2">
        <f>196.832313299376*(1/3.6)</f>
        <v>54.675642583159963</v>
      </c>
      <c r="C1121" s="2">
        <f>248.97161585967*(1/3.6)</f>
        <v>69.158782183241669</v>
      </c>
      <c r="D1121" s="2">
        <f t="shared" si="39"/>
        <v>0</v>
      </c>
    </row>
    <row r="1122" spans="1:4" x14ac:dyDescent="0.3">
      <c r="A1122" s="2">
        <f>135.667931914295*(1/3.6)</f>
        <v>37.685536642859788</v>
      </c>
      <c r="B1122" s="2">
        <f>196.538861520967*(1/3.6)</f>
        <v>54.594128200268621</v>
      </c>
      <c r="C1122" s="2">
        <f>248.099109982793*(1/3.6)</f>
        <v>68.916419439664679</v>
      </c>
      <c r="D1122" s="2">
        <f t="shared" si="39"/>
        <v>0</v>
      </c>
    </row>
    <row r="1123" spans="1:4" x14ac:dyDescent="0.3">
      <c r="A1123" s="2">
        <f>135.547662283661*(1/3.6)</f>
        <v>37.652128412128064</v>
      </c>
      <c r="B1123" s="2">
        <f>195.925672910918*(1/3.6)</f>
        <v>54.423798030810467</v>
      </c>
      <c r="C1123" s="2">
        <f>248.546632692509*(1/3.6)</f>
        <v>69.0407313034748</v>
      </c>
      <c r="D1123" s="2">
        <f t="shared" si="39"/>
        <v>0</v>
      </c>
    </row>
    <row r="1124" spans="1:4" x14ac:dyDescent="0.3">
      <c r="A1124" s="2">
        <f>135.662551953068*(1/3.6)</f>
        <v>37.684042209185549</v>
      </c>
      <c r="B1124" s="2">
        <f>196.509378973851*(1/3.6)</f>
        <v>54.585938603847367</v>
      </c>
      <c r="C1124" s="2">
        <f>248.345933788059*(1/3.6)</f>
        <v>68.984981607794239</v>
      </c>
      <c r="D1124" s="2">
        <f t="shared" si="39"/>
        <v>0</v>
      </c>
    </row>
    <row r="1125" spans="1:4" x14ac:dyDescent="0.3">
      <c r="A1125" s="2">
        <f>135.89922089558*(1/3.6)</f>
        <v>37.749783582105579</v>
      </c>
      <c r="B1125" s="2">
        <f>195.745450604043*(1/3.6)</f>
        <v>54.373736278900751</v>
      </c>
      <c r="C1125" s="2">
        <f>248.210378098825*(1/3.6)</f>
        <v>68.94732724967362</v>
      </c>
      <c r="D1125" s="2">
        <f t="shared" si="39"/>
        <v>0</v>
      </c>
    </row>
    <row r="1126" spans="1:4" x14ac:dyDescent="0.3">
      <c r="A1126" s="2">
        <f>135.730298214663*(1/3.6)</f>
        <v>37.702860615184235</v>
      </c>
      <c r="B1126" s="2">
        <f>195.409674168158*(1/3.6)</f>
        <v>54.280465046710617</v>
      </c>
      <c r="C1126" s="2">
        <f>248.292857241881*(1/3.6)</f>
        <v>68.970238122744632</v>
      </c>
      <c r="D1126" s="2">
        <f t="shared" si="39"/>
        <v>0</v>
      </c>
    </row>
    <row r="1127" spans="1:4" x14ac:dyDescent="0.3">
      <c r="A1127" s="2">
        <f>135.891721766295*(1/3.6)</f>
        <v>37.747700490637627</v>
      </c>
      <c r="B1127" s="2">
        <f>195.561095058302*(1/3.6)</f>
        <v>54.322526405083906</v>
      </c>
      <c r="C1127" s="2">
        <f>248.183187087508*(1/3.6)</f>
        <v>68.939774190974461</v>
      </c>
      <c r="D1127" s="2">
        <f t="shared" si="39"/>
        <v>0</v>
      </c>
    </row>
    <row r="1128" spans="1:4" x14ac:dyDescent="0.3">
      <c r="A1128" s="2">
        <f>135.713003438998*(1/3.6)</f>
        <v>37.698056510832821</v>
      </c>
      <c r="B1128" s="2">
        <f>194.950237628863*(1/3.6)</f>
        <v>54.152843785795348</v>
      </c>
      <c r="C1128" s="2">
        <f>247.744662950541*(1/3.6)</f>
        <v>68.817961930705778</v>
      </c>
      <c r="D1128" s="2">
        <f t="shared" si="39"/>
        <v>0</v>
      </c>
    </row>
    <row r="1129" spans="1:4" x14ac:dyDescent="0.3">
      <c r="A1129" s="2">
        <f>135.843624977034*(1/3.6)</f>
        <v>37.734340271398317</v>
      </c>
      <c r="B1129" s="2">
        <f>195.097991539174*(1/3.6)</f>
        <v>54.193886538659392</v>
      </c>
      <c r="C1129" s="2">
        <f>247.159848524752*(1/3.6)</f>
        <v>68.65551347909782</v>
      </c>
      <c r="D1129" s="2">
        <f t="shared" si="39"/>
        <v>0</v>
      </c>
    </row>
    <row r="1130" spans="1:4" x14ac:dyDescent="0.3">
      <c r="A1130" s="2">
        <f>141.638240005293*(1/3.6)</f>
        <v>39.343955557025758</v>
      </c>
      <c r="B1130" s="2">
        <f>164.00918137697*(1/3.6)</f>
        <v>45.558105938047333</v>
      </c>
      <c r="C1130" s="2">
        <f>253.164037698653*(1/3.6)</f>
        <v>70.32334380518131</v>
      </c>
      <c r="D1130" s="2">
        <f t="shared" si="39"/>
        <v>0</v>
      </c>
    </row>
    <row r="1131" spans="1:4" x14ac:dyDescent="0.3">
      <c r="A1131" s="2">
        <f>141.634331557488*(1/3.6)</f>
        <v>39.342869877079927</v>
      </c>
      <c r="B1131" s="2">
        <f>158.936541544894*(1/3.6)</f>
        <v>44.14903931802619</v>
      </c>
      <c r="C1131" s="2">
        <f>253.341949856066*(1/3.6)</f>
        <v>70.372763848907283</v>
      </c>
      <c r="D1131" s="2">
        <f t="shared" si="39"/>
        <v>0</v>
      </c>
    </row>
    <row r="1132" spans="1:4" x14ac:dyDescent="0.3">
      <c r="A1132" s="2">
        <f>141.630423109683*(1/3.6)</f>
        <v>39.341784197134096</v>
      </c>
      <c r="B1132" s="2">
        <f>163.077080905962*(1/3.6)</f>
        <v>45.299189140544868</v>
      </c>
      <c r="C1132" s="2">
        <f>253.265278721582*(1/3.6)</f>
        <v>70.351466311550567</v>
      </c>
      <c r="D1132" s="2">
        <f t="shared" si="39"/>
        <v>0</v>
      </c>
    </row>
    <row r="1133" spans="1:4" x14ac:dyDescent="0.3">
      <c r="A1133" s="2">
        <f>141.494497040496*(1/3.6)</f>
        <v>39.304026955693359</v>
      </c>
      <c r="B1133" s="2">
        <f>161.467800409369*(1/3.6)</f>
        <v>44.852166780380351</v>
      </c>
      <c r="C1133" s="2">
        <f>251.827336693131*(1/3.6)</f>
        <v>69.952037970314151</v>
      </c>
      <c r="D1133" s="2">
        <f t="shared" si="39"/>
        <v>0</v>
      </c>
    </row>
    <row r="1134" spans="1:4" x14ac:dyDescent="0.3">
      <c r="A1134" s="2">
        <f>141.381091364897*(1/3.6)</f>
        <v>39.272525379137988</v>
      </c>
      <c r="B1134" s="2">
        <f>164.172713834906*(1/3.6)</f>
        <v>45.603531620807289</v>
      </c>
      <c r="C1134" s="2">
        <f>251.623492076232*(1/3.6)</f>
        <v>69.895414465620078</v>
      </c>
      <c r="D1134" s="2">
        <f t="shared" si="39"/>
        <v>0</v>
      </c>
    </row>
    <row r="1135" spans="1:4" x14ac:dyDescent="0.3">
      <c r="A1135" s="2">
        <f>133.891486376142*(1/3.6)</f>
        <v>37.192079548928454</v>
      </c>
      <c r="B1135" s="2">
        <f>198.697344891905*(1/3.6)</f>
        <v>55.193706914418009</v>
      </c>
      <c r="C1135" s="2">
        <f>243.006516506718*(1/3.6)</f>
        <v>67.501810140755126</v>
      </c>
      <c r="D1135" s="2">
        <f t="shared" si="39"/>
        <v>0</v>
      </c>
    </row>
    <row r="1136" spans="1:4" x14ac:dyDescent="0.3">
      <c r="A1136" s="2">
        <f>134.390582764786*(1/3.6)</f>
        <v>37.330717434662738</v>
      </c>
      <c r="B1136" s="2">
        <f>199.055127559587*(1/3.6)</f>
        <v>55.293090988774182</v>
      </c>
      <c r="C1136" s="2">
        <f>243.251433349592*(1/3.6)</f>
        <v>67.569842597108774</v>
      </c>
      <c r="D1136" s="2">
        <f t="shared" si="39"/>
        <v>0</v>
      </c>
    </row>
    <row r="1137" spans="1:4" x14ac:dyDescent="0.3">
      <c r="A1137" s="2">
        <f>134.386873698941*(1/3.6)</f>
        <v>37.32968713859465</v>
      </c>
      <c r="B1137" s="2">
        <f>198.827775046884*(1/3.6)</f>
        <v>55.229937513023295</v>
      </c>
      <c r="C1137" s="2">
        <f>243.636146249059*(1/3.6)</f>
        <v>67.676707291405393</v>
      </c>
      <c r="D1137" s="2">
        <f t="shared" si="39"/>
        <v>0</v>
      </c>
    </row>
    <row r="1138" spans="1:4" x14ac:dyDescent="0.3">
      <c r="A1138" s="2">
        <f>134.842063714829*(1/3.6)</f>
        <v>37.456128809674681</v>
      </c>
      <c r="B1138" s="2">
        <f>199.01612279093*(1/3.6)</f>
        <v>55.282256330813766</v>
      </c>
      <c r="C1138" s="2">
        <f>243.888995802324*(1/3.6)</f>
        <v>67.746943278423288</v>
      </c>
      <c r="D1138" s="2">
        <f t="shared" si="39"/>
        <v>0</v>
      </c>
    </row>
    <row r="1139" spans="1:4" x14ac:dyDescent="0.3">
      <c r="A1139" s="2">
        <f>134.875338477878*(1/3.6)</f>
        <v>37.465371799410477</v>
      </c>
      <c r="B1139" s="2">
        <f>199.105785721409*(1/3.6)</f>
        <v>55.307162700391459</v>
      </c>
      <c r="C1139" s="2">
        <f>243.545571106209*(1/3.6)</f>
        <v>67.651547529502508</v>
      </c>
      <c r="D1139" s="2">
        <f t="shared" si="39"/>
        <v>0</v>
      </c>
    </row>
    <row r="1140" spans="1:4" x14ac:dyDescent="0.3">
      <c r="A1140" s="2">
        <f>134.871615724953*(1/3.6)</f>
        <v>37.464337701375712</v>
      </c>
      <c r="B1140" s="2">
        <f>198.695625524236*(1/3.6)</f>
        <v>55.193229312287649</v>
      </c>
      <c r="C1140" s="2">
        <f>243.423083519944*(1/3.6)</f>
        <v>67.617523199984561</v>
      </c>
      <c r="D1140" s="2">
        <f t="shared" si="39"/>
        <v>0</v>
      </c>
    </row>
    <row r="1141" spans="1:4" x14ac:dyDescent="0.3">
      <c r="A1141" s="2">
        <f>146.004639257262*(1/3.6)</f>
        <v>40.556844238128335</v>
      </c>
      <c r="B1141" s="2">
        <f>214.802733891506*(1/3.6)</f>
        <v>59.667426080973847</v>
      </c>
      <c r="C1141" s="2">
        <f>254.740649596881*(1/3.6)</f>
        <v>70.761291554689294</v>
      </c>
      <c r="D1141" s="2">
        <f t="shared" si="39"/>
        <v>0</v>
      </c>
    </row>
    <row r="1142" spans="1:4" x14ac:dyDescent="0.3">
      <c r="A1142" s="2">
        <f>135.541175597174*(1/3.6)</f>
        <v>37.650326554770629</v>
      </c>
      <c r="B1142" s="2">
        <f>192.107680558447*(1/3.6)</f>
        <v>53.363244599568674</v>
      </c>
      <c r="C1142" s="2">
        <f>243.413119689514*(1/3.6)</f>
        <v>67.614755469309557</v>
      </c>
      <c r="D1142" s="2">
        <f t="shared" si="39"/>
        <v>0</v>
      </c>
    </row>
    <row r="1143" spans="1:4" x14ac:dyDescent="0.3">
      <c r="A1143" s="2">
        <f>135.805941838247*(1/3.6)</f>
        <v>37.72387273284653</v>
      </c>
      <c r="B1143" s="2">
        <f>191.646744462168*(1/3.6)</f>
        <v>53.235206795046615</v>
      </c>
      <c r="C1143" s="2">
        <f>243.539275434654*(1/3.6)</f>
        <v>67.649798731848236</v>
      </c>
      <c r="D1143" s="2">
        <f t="shared" si="39"/>
        <v>0</v>
      </c>
    </row>
    <row r="1144" spans="1:4" x14ac:dyDescent="0.3">
      <c r="A1144" s="2">
        <f>135.587693323214*(1/3.6)</f>
        <v>37.663248145337192</v>
      </c>
      <c r="B1144" s="2">
        <f>191.600218782495*(1/3.6)</f>
        <v>53.222282995137604</v>
      </c>
      <c r="C1144" s="2">
        <f>243.141528285906*(1/3.6)</f>
        <v>67.53931341275171</v>
      </c>
      <c r="D1144" s="2">
        <f t="shared" si="39"/>
        <v>0</v>
      </c>
    </row>
    <row r="1145" spans="1:4" x14ac:dyDescent="0.3">
      <c r="A1145" s="2">
        <f>135.583950391721*(1/3.6)</f>
        <v>37.662208442144781</v>
      </c>
      <c r="B1145" s="2">
        <f>191.36703393205*(1/3.6)</f>
        <v>53.157509425569494</v>
      </c>
      <c r="C1145" s="2">
        <f>242.741253538472*(1/3.6)</f>
        <v>67.428125982908909</v>
      </c>
      <c r="D1145" s="2">
        <f t="shared" si="39"/>
        <v>0</v>
      </c>
    </row>
    <row r="1146" spans="1:4" x14ac:dyDescent="0.3">
      <c r="A1146" s="2">
        <f>135.382252910222*(1/3.6)</f>
        <v>37.606181363950633</v>
      </c>
      <c r="B1146" s="2">
        <f>190.404675504395*(1/3.6)</f>
        <v>52.890187640109794</v>
      </c>
      <c r="C1146" s="2">
        <f>242.327794715933*(1/3.6)</f>
        <v>67.313276309981447</v>
      </c>
      <c r="D1146" s="2">
        <f t="shared" si="39"/>
        <v>0</v>
      </c>
    </row>
    <row r="1147" spans="1:4" x14ac:dyDescent="0.3">
      <c r="A1147" s="2">
        <f>135.364158792995*(1/3.6)</f>
        <v>37.601155220276404</v>
      </c>
      <c r="B1147" s="2">
        <f>190.866694017621*(1/3.6)</f>
        <v>53.018526116005759</v>
      </c>
      <c r="C1147" s="2">
        <f>242.370200141171*(1/3.6)</f>
        <v>67.325055594769623</v>
      </c>
      <c r="D1147" s="2">
        <f t="shared" si="39"/>
        <v>0</v>
      </c>
    </row>
    <row r="1148" spans="1:4" x14ac:dyDescent="0.3">
      <c r="A1148" s="2">
        <f>135.572876211221*(1/3.6)</f>
        <v>37.659132280894838</v>
      </c>
      <c r="B1148" s="2">
        <f>189.95793892256*(1/3.6)</f>
        <v>52.766094145155463</v>
      </c>
      <c r="C1148" s="2">
        <f>242.247333001266*(1/3.6)</f>
        <v>67.29092583368498</v>
      </c>
      <c r="D1148" s="2">
        <f t="shared" si="39"/>
        <v>0</v>
      </c>
    </row>
    <row r="1149" spans="1:4" x14ac:dyDescent="0.3">
      <c r="A1149" s="2">
        <f>136.325749418345*(1/3.6)</f>
        <v>37.868263727318073</v>
      </c>
      <c r="B1149" s="2">
        <f>190.372722808556*(1/3.6)</f>
        <v>52.881311891265618</v>
      </c>
      <c r="C1149" s="2">
        <f>242.447560129471*(1/3.6)</f>
        <v>67.346544480408554</v>
      </c>
      <c r="D1149" s="2">
        <f t="shared" si="39"/>
        <v>0</v>
      </c>
    </row>
    <row r="1150" spans="1:4" x14ac:dyDescent="0.3">
      <c r="A1150" s="2">
        <f>136.466663428167*(1/3.6)</f>
        <v>37.907406507824064</v>
      </c>
      <c r="B1150" s="2">
        <f>190.203698968603*(1/3.6)</f>
        <v>52.834360824612077</v>
      </c>
      <c r="C1150" s="2">
        <f>241.771290502116*(1/3.6)</f>
        <v>67.158691806143395</v>
      </c>
      <c r="D1150" s="2">
        <f t="shared" si="39"/>
        <v>0</v>
      </c>
    </row>
    <row r="1151" spans="1:4" x14ac:dyDescent="0.3">
      <c r="A1151" s="2">
        <f>136.318221767908*(1/3.6)</f>
        <v>37.866172713307726</v>
      </c>
      <c r="B1151" s="2">
        <f>189.995241545639*(1/3.6)</f>
        <v>52.776455984899734</v>
      </c>
      <c r="C1151" s="2">
        <f>241.678492274427*(1/3.6)</f>
        <v>67.132914520674262</v>
      </c>
      <c r="D1151" s="2">
        <f t="shared" si="39"/>
        <v>0</v>
      </c>
    </row>
    <row r="1152" spans="1:4" x14ac:dyDescent="0.3">
      <c r="A1152" s="2">
        <f>136.620107704944*(1/3.6)</f>
        <v>37.950029918039881</v>
      </c>
      <c r="B1152" s="2">
        <f>190.464927241262*(1/3.6)</f>
        <v>52.906924233683903</v>
      </c>
      <c r="C1152" s="2">
        <f>241.734591216101*(1/3.6)</f>
        <v>67.148497560028133</v>
      </c>
      <c r="D1152" s="2">
        <f t="shared" si="39"/>
        <v>0</v>
      </c>
    </row>
    <row r="1153" spans="1:4" x14ac:dyDescent="0.3">
      <c r="A1153" s="2">
        <f>136.652511580126*(1/3.6)</f>
        <v>37.95903099447932</v>
      </c>
      <c r="B1153" s="2">
        <f>189.867956813493*(1/3.6)</f>
        <v>52.741099114859068</v>
      </c>
      <c r="C1153" s="2">
        <f>241.600602304108*(1/3.6)</f>
        <v>67.111278417807753</v>
      </c>
      <c r="D1153" s="2">
        <f t="shared" si="39"/>
        <v>0</v>
      </c>
    </row>
    <row r="1154" spans="1:4" x14ac:dyDescent="0.3">
      <c r="A1154" s="2">
        <f>136.065664918639*(1/3.6)</f>
        <v>37.796018032955175</v>
      </c>
      <c r="B1154" s="2">
        <f>193.693837036639*(1/3.6)</f>
        <v>53.80384362128855</v>
      </c>
      <c r="C1154" s="2">
        <f>241.001800873181*(1/3.6)</f>
        <v>66.944944686994688</v>
      </c>
      <c r="D1154" s="2">
        <f t="shared" ref="D1154:D1217" si="40">0*(1/3.6)</f>
        <v>0</v>
      </c>
    </row>
    <row r="1155" spans="1:4" x14ac:dyDescent="0.3">
      <c r="A1155" s="2">
        <f>136.219415503216*(1/3.6)</f>
        <v>37.83872652867101</v>
      </c>
      <c r="B1155" s="2">
        <f>193.646026429774*(1/3.6)</f>
        <v>53.790562897159532</v>
      </c>
      <c r="C1155" s="2">
        <f>240.616468209871*(1/3.6)</f>
        <v>66.837907836075217</v>
      </c>
      <c r="D1155" s="2">
        <f t="shared" si="40"/>
        <v>0</v>
      </c>
    </row>
    <row r="1156" spans="1:4" x14ac:dyDescent="0.3">
      <c r="A1156" s="2">
        <f>136.062826714903*(1/3.6)</f>
        <v>37.795229643028598</v>
      </c>
      <c r="B1156" s="2">
        <f>193.819880086627*(1/3.6)</f>
        <v>53.83885557961873</v>
      </c>
      <c r="C1156" s="2">
        <f>240.389167026342*(1/3.6)</f>
        <v>66.774768618428226</v>
      </c>
      <c r="D1156" s="2">
        <f t="shared" si="40"/>
        <v>0</v>
      </c>
    </row>
    <row r="1157" spans="1:4" x14ac:dyDescent="0.3">
      <c r="A1157" s="2">
        <f>136.059069422585*(1/3.6)</f>
        <v>37.794185950718017</v>
      </c>
      <c r="B1157" s="2">
        <f>193.653508621156*(1/3.6)</f>
        <v>53.792641283654511</v>
      </c>
      <c r="C1157" s="2">
        <f>240.267337778744*(1/3.6)</f>
        <v>66.74092716076234</v>
      </c>
      <c r="D1157" s="2">
        <f t="shared" si="40"/>
        <v>0</v>
      </c>
    </row>
    <row r="1158" spans="1:4" x14ac:dyDescent="0.3">
      <c r="A1158" s="2">
        <f>136.055312130267*(1/3.6)</f>
        <v>37.793142258407435</v>
      </c>
      <c r="B1158" s="2">
        <f>193.414118875213*(1/3.6)</f>
        <v>53.726144132003689</v>
      </c>
      <c r="C1158" s="2">
        <f>239.878218872149*(1/3.6)</f>
        <v>66.632838575596963</v>
      </c>
      <c r="D1158" s="2">
        <f t="shared" si="40"/>
        <v>0</v>
      </c>
    </row>
    <row r="1159" spans="1:4" x14ac:dyDescent="0.3">
      <c r="A1159" s="2">
        <f>136.28112337327*(1/3.6)</f>
        <v>37.855867603686022</v>
      </c>
      <c r="B1159" s="2">
        <f>193.31248757676*(1/3.6)</f>
        <v>53.697913215766562</v>
      </c>
      <c r="C1159" s="2">
        <f>239.88611322786*(1/3.6)</f>
        <v>66.635031452183469</v>
      </c>
      <c r="D1159" s="2">
        <f t="shared" si="40"/>
        <v>0</v>
      </c>
    </row>
    <row r="1160" spans="1:4" x14ac:dyDescent="0.3">
      <c r="A1160" s="2">
        <f>136.28434734094*(1/3.6)</f>
        <v>37.856763150261187</v>
      </c>
      <c r="B1160" s="2">
        <f>193.192756281576*(1/3.6)</f>
        <v>53.664654522659973</v>
      </c>
      <c r="C1160" s="2">
        <f>239.502925250268*(1/3.6)</f>
        <v>66.528590347296785</v>
      </c>
      <c r="D1160" s="2">
        <f t="shared" si="40"/>
        <v>0</v>
      </c>
    </row>
    <row r="1161" spans="1:4" x14ac:dyDescent="0.3">
      <c r="A1161" s="2">
        <f>136.280583515722*(1/3.6)</f>
        <v>37.855717643256014</v>
      </c>
      <c r="B1161" s="2">
        <f>192.806246720219*(1/3.6)</f>
        <v>53.557290755616506</v>
      </c>
      <c r="C1161" s="2">
        <f>239.401377055566*(1/3.6)</f>
        <v>66.500382515434993</v>
      </c>
      <c r="D1161" s="2">
        <f t="shared" si="40"/>
        <v>0</v>
      </c>
    </row>
    <row r="1162" spans="1:4" x14ac:dyDescent="0.3">
      <c r="A1162" s="2">
        <f>136.181900372428*(1/3.6)</f>
        <v>37.828305659007839</v>
      </c>
      <c r="B1162" s="2">
        <f>192.488643584852*(1/3.6)</f>
        <v>53.469067662458862</v>
      </c>
      <c r="C1162" s="2">
        <f>239.043736918927*(1/3.6)</f>
        <v>66.40103803303532</v>
      </c>
      <c r="D1162" s="2">
        <f t="shared" si="40"/>
        <v>0</v>
      </c>
    </row>
    <row r="1163" spans="1:4" x14ac:dyDescent="0.3">
      <c r="A1163" s="2">
        <f>136.036525668676*(1/3.6)</f>
        <v>37.787923796854535</v>
      </c>
      <c r="B1163" s="2">
        <f>192.232218947924*(1/3.6)</f>
        <v>53.397838596645471</v>
      </c>
      <c r="C1163" s="2">
        <f>239.070080995073*(1/3.6)</f>
        <v>66.408355831964641</v>
      </c>
      <c r="D1163" s="2">
        <f t="shared" si="40"/>
        <v>0</v>
      </c>
    </row>
    <row r="1164" spans="1:4" x14ac:dyDescent="0.3">
      <c r="A1164" s="2">
        <f>135.836122372034*(1/3.6)</f>
        <v>37.732256214454026</v>
      </c>
      <c r="B1164" s="2">
        <f>191.754948088122*(1/3.6)</f>
        <v>53.26526335781174</v>
      </c>
      <c r="C1164" s="2">
        <f>238.109790411506*(1/3.6)</f>
        <v>66.141608447640436</v>
      </c>
      <c r="D1164" s="2">
        <f t="shared" si="40"/>
        <v>0</v>
      </c>
    </row>
    <row r="1165" spans="1:4" x14ac:dyDescent="0.3">
      <c r="A1165" s="2">
        <f>135.88301453707*(1/3.6)</f>
        <v>37.74528181585282</v>
      </c>
      <c r="B1165" s="2">
        <f>191.851624263369*(1/3.6)</f>
        <v>53.292117850935789</v>
      </c>
      <c r="C1165" s="2">
        <f>238.393116141436*(1/3.6)</f>
        <v>66.220310039287682</v>
      </c>
      <c r="D1165" s="2">
        <f t="shared" si="40"/>
        <v>0</v>
      </c>
    </row>
    <row r="1166" spans="1:4" x14ac:dyDescent="0.3">
      <c r="A1166" s="2">
        <f>136.023651728576*(1/3.6)</f>
        <v>37.784347702382327</v>
      </c>
      <c r="B1166" s="2">
        <f>191.339088499775*(1/3.6)</f>
        <v>53.149746805493081</v>
      </c>
      <c r="C1166" s="2">
        <f>237.795613043267*(1/3.6)</f>
        <v>66.054336956463189</v>
      </c>
      <c r="D1166" s="2">
        <f t="shared" si="40"/>
        <v>0</v>
      </c>
    </row>
    <row r="1167" spans="1:4" x14ac:dyDescent="0.3">
      <c r="A1167" s="2">
        <f>135.501605898882*(1/3.6)</f>
        <v>37.639334971911588</v>
      </c>
      <c r="B1167" s="2">
        <f>190.8082044227*(1/3.6)</f>
        <v>53.002279006305557</v>
      </c>
      <c r="C1167" s="2">
        <f>237.155609288313*(1/3.6)</f>
        <v>65.876558135642625</v>
      </c>
      <c r="D1167" s="2">
        <f t="shared" si="40"/>
        <v>0</v>
      </c>
    </row>
    <row r="1168" spans="1:4" x14ac:dyDescent="0.3">
      <c r="A1168" s="2">
        <f>135.737989615961*(1/3.6)</f>
        <v>37.704997115544749</v>
      </c>
      <c r="B1168" s="2">
        <f>190.978014415974*(1/3.6)</f>
        <v>53.049448448881655</v>
      </c>
      <c r="C1168" s="2">
        <f>237.445600689798*(1/3.6)</f>
        <v>65.957111302721529</v>
      </c>
      <c r="D1168" s="2">
        <f t="shared" si="40"/>
        <v>0</v>
      </c>
    </row>
    <row r="1169" spans="1:4" x14ac:dyDescent="0.3">
      <c r="A1169" s="2">
        <f>135.746337005699*(1/3.6)</f>
        <v>37.707315834916301</v>
      </c>
      <c r="B1169" s="2">
        <f>190.670240446113*(1/3.6)</f>
        <v>52.963955679475831</v>
      </c>
      <c r="C1169" s="2">
        <f>236.971704798108*(1/3.6)</f>
        <v>65.825473555030129</v>
      </c>
      <c r="D1169" s="2">
        <f t="shared" si="40"/>
        <v>0</v>
      </c>
    </row>
    <row r="1170" spans="1:4" x14ac:dyDescent="0.3">
      <c r="A1170" s="2">
        <f>135.942892975675*(1/3.6)</f>
        <v>37.761914715465167</v>
      </c>
      <c r="B1170" s="2">
        <f>190.626790233536*(1/3.6)</f>
        <v>52.951886175982132</v>
      </c>
      <c r="C1170" s="2">
        <f>236.703159794586*(1/3.6)</f>
        <v>65.750877720718478</v>
      </c>
      <c r="D1170" s="2">
        <f t="shared" si="40"/>
        <v>0</v>
      </c>
    </row>
    <row r="1171" spans="1:4" x14ac:dyDescent="0.3">
      <c r="A1171" s="2">
        <f>136.006467330132*(1/3.6)</f>
        <v>37.779574258369891</v>
      </c>
      <c r="B1171" s="2">
        <f>190.144698932664*(1/3.6)</f>
        <v>52.817971925739961</v>
      </c>
      <c r="C1171" s="2">
        <f>236.422432634669*(1/3.6)</f>
        <v>65.67289795407477</v>
      </c>
      <c r="D1171" s="2">
        <f t="shared" si="40"/>
        <v>0</v>
      </c>
    </row>
    <row r="1172" spans="1:4" x14ac:dyDescent="0.3">
      <c r="A1172" s="2">
        <f>135.951709358909*(1/3.6)</f>
        <v>37.764363710808162</v>
      </c>
      <c r="B1172" s="2">
        <f>190.054622769076*(1/3.6)</f>
        <v>52.79295076918789</v>
      </c>
      <c r="C1172" s="2">
        <f>236.14779655295*(1/3.6)</f>
        <v>65.596610153597084</v>
      </c>
      <c r="D1172" s="2">
        <f t="shared" si="40"/>
        <v>0</v>
      </c>
    </row>
    <row r="1173" spans="1:4" x14ac:dyDescent="0.3">
      <c r="A1173" s="2">
        <f>135.937567659382*(1/3.6)</f>
        <v>37.760435460939355</v>
      </c>
      <c r="B1173" s="2">
        <f>189.688700112495*(1/3.6)</f>
        <v>52.69130558680412</v>
      </c>
      <c r="C1173" s="2">
        <f>236.312348134028*(1/3.6)</f>
        <v>65.642318926118989</v>
      </c>
      <c r="D1173" s="2">
        <f t="shared" si="40"/>
        <v>0</v>
      </c>
    </row>
    <row r="1174" spans="1:4" x14ac:dyDescent="0.3">
      <c r="A1174" s="2">
        <f>135.98752152009*(1/3.6)</f>
        <v>37.774311533358357</v>
      </c>
      <c r="B1174" s="2">
        <f>189.565103522545*(1/3.6)</f>
        <v>52.656973200707036</v>
      </c>
      <c r="C1174" s="2">
        <f>235.598168458761*(1/3.6)</f>
        <v>65.443935682989036</v>
      </c>
      <c r="D1174" s="2">
        <f t="shared" si="40"/>
        <v>0</v>
      </c>
    </row>
    <row r="1175" spans="1:4" x14ac:dyDescent="0.3">
      <c r="A1175" s="2">
        <f>135.991438160859*(1/3.6)</f>
        <v>37.775399489127579</v>
      </c>
      <c r="B1175" s="2">
        <f>189.208904072098*(1/3.6)</f>
        <v>52.558028908916022</v>
      </c>
      <c r="C1175" s="2">
        <f>235.552732870618*(1/3.6)</f>
        <v>65.431314686282661</v>
      </c>
      <c r="D1175" s="2">
        <f t="shared" si="40"/>
        <v>0</v>
      </c>
    </row>
    <row r="1176" spans="1:4" x14ac:dyDescent="0.3">
      <c r="A1176" s="2">
        <f>135.940751107932*(1/3.6)</f>
        <v>37.761319752203285</v>
      </c>
      <c r="B1176" s="2">
        <f>189.168852904023*(1/3.6)</f>
        <v>52.546903584450803</v>
      </c>
      <c r="C1176" s="2">
        <f>235.049252226071*(1/3.6)</f>
        <v>65.291458951686351</v>
      </c>
      <c r="D1176" s="2">
        <f t="shared" si="40"/>
        <v>0</v>
      </c>
    </row>
    <row r="1177" spans="1:4" x14ac:dyDescent="0.3">
      <c r="A1177" s="2">
        <f>136.560145953881*(1/3.6)</f>
        <v>37.933373876077972</v>
      </c>
      <c r="B1177" s="2">
        <f>189.149480744039*(1/3.6)</f>
        <v>52.541522428899661</v>
      </c>
      <c r="C1177" s="2">
        <f>235.798807195054*(1/3.6)</f>
        <v>65.499668665292873</v>
      </c>
      <c r="D1177" s="2">
        <f t="shared" si="40"/>
        <v>0</v>
      </c>
    </row>
    <row r="1178" spans="1:4" x14ac:dyDescent="0.3">
      <c r="A1178" s="2">
        <f>136.451369897157*(1/3.6)</f>
        <v>37.903158304765903</v>
      </c>
      <c r="B1178" s="2">
        <f>188.703844502064*(1/3.6)</f>
        <v>52.417734583906757</v>
      </c>
      <c r="C1178" s="2">
        <f>235.25637421188*(1/3.6)</f>
        <v>65.348992836633343</v>
      </c>
      <c r="D1178" s="2">
        <f t="shared" si="40"/>
        <v>0</v>
      </c>
    </row>
    <row r="1179" spans="1:4" x14ac:dyDescent="0.3">
      <c r="A1179" s="2">
        <f>136.391657097571*(1/3.6)</f>
        <v>37.886571415991867</v>
      </c>
      <c r="B1179" s="2">
        <f>188.541139505919*(1/3.6)</f>
        <v>52.372538751644278</v>
      </c>
      <c r="C1179" s="2">
        <f>234.904592502805*(1/3.6)</f>
        <v>65.251275695223597</v>
      </c>
      <c r="D1179" s="2">
        <f t="shared" si="40"/>
        <v>0</v>
      </c>
    </row>
    <row r="1180" spans="1:4" x14ac:dyDescent="0.3">
      <c r="A1180" s="2">
        <f>136.314035123303*(1/3.6)</f>
        <v>37.865009756472965</v>
      </c>
      <c r="B1180" s="2">
        <f>188.399792334933*(1/3.6)</f>
        <v>52.333275648592419</v>
      </c>
      <c r="C1180" s="2">
        <f>234.429540834272*(1/3.6)</f>
        <v>65.119316898408812</v>
      </c>
      <c r="D1180" s="2">
        <f t="shared" si="40"/>
        <v>0</v>
      </c>
    </row>
    <row r="1181" spans="1:4" x14ac:dyDescent="0.3">
      <c r="A1181" s="2">
        <f>135.968894406951*(1/3.6)</f>
        <v>37.769137335264098</v>
      </c>
      <c r="B1181" s="2">
        <f>187.896755625175*(1/3.6)</f>
        <v>52.193543229215237</v>
      </c>
      <c r="C1181" s="2">
        <f>234.129215271821*(1/3.6)</f>
        <v>65.035893131061471</v>
      </c>
      <c r="D1181" s="2">
        <f t="shared" si="40"/>
        <v>0</v>
      </c>
    </row>
    <row r="1182" spans="1:4" x14ac:dyDescent="0.3">
      <c r="A1182" s="2">
        <f>136.201543186131*(1/3.6)</f>
        <v>37.833761996147409</v>
      </c>
      <c r="B1182" s="2">
        <f>187.82212668577*(1/3.6)</f>
        <v>52.172812968269369</v>
      </c>
      <c r="C1182" s="2">
        <f>234.069221279452*(1/3.6)</f>
        <v>65.019228133181244</v>
      </c>
      <c r="D1182" s="2">
        <f t="shared" si="40"/>
        <v>0</v>
      </c>
    </row>
    <row r="1183" spans="1:4" x14ac:dyDescent="0.3">
      <c r="A1183" s="2">
        <f>146.154928763952*(1/3.6)</f>
        <v>40.598591323320093</v>
      </c>
      <c r="B1183" s="2">
        <f>0*(1/3.6)</f>
        <v>0</v>
      </c>
      <c r="C1183" s="2">
        <f>243.255607714935*(1/3.6)</f>
        <v>67.571002143037617</v>
      </c>
      <c r="D1183" s="2">
        <f t="shared" si="40"/>
        <v>0</v>
      </c>
    </row>
    <row r="1184" spans="1:4" x14ac:dyDescent="0.3">
      <c r="A1184" s="2">
        <f>146.464815346505*(1/3.6)</f>
        <v>40.684670929584833</v>
      </c>
      <c r="B1184" s="2">
        <f>0*(1/3.6)</f>
        <v>0</v>
      </c>
      <c r="C1184" s="2">
        <f>243.730302138154*(1/3.6)</f>
        <v>67.702861705042693</v>
      </c>
      <c r="D1184" s="2">
        <f t="shared" si="40"/>
        <v>0</v>
      </c>
    </row>
    <row r="1185" spans="1:4" x14ac:dyDescent="0.3">
      <c r="A1185" s="2">
        <f>139.073111934*(1/3.6)</f>
        <v>38.63141998166666</v>
      </c>
      <c r="B1185" s="2">
        <f>239.605997049609*(1/3.6)</f>
        <v>66.5572214026691</v>
      </c>
      <c r="C1185" s="2">
        <f>236.119517051719*(1/3.6)</f>
        <v>65.588754736588669</v>
      </c>
      <c r="D1185" s="2">
        <f t="shared" si="40"/>
        <v>0</v>
      </c>
    </row>
    <row r="1186" spans="1:4" x14ac:dyDescent="0.3">
      <c r="A1186" s="2">
        <f>139.356855321501*(1/3.6)</f>
        <v>38.710237589305763</v>
      </c>
      <c r="B1186" s="2">
        <f>231.610385002618*(1/3.6)</f>
        <v>64.336218056282803</v>
      </c>
      <c r="C1186" s="2">
        <f>236.081593664545*(1/3.6)</f>
        <v>65.578220462373636</v>
      </c>
      <c r="D1186" s="2">
        <f t="shared" si="40"/>
        <v>0</v>
      </c>
    </row>
    <row r="1187" spans="1:4" x14ac:dyDescent="0.3">
      <c r="A1187" s="2">
        <f>139.052352597839*(1/3.6)</f>
        <v>38.62565349939964</v>
      </c>
      <c r="B1187" s="2">
        <f>221.639336240889*(1/3.6)</f>
        <v>61.566482289135926</v>
      </c>
      <c r="C1187" s="2">
        <f>235.765839148388*(1/3.6)</f>
        <v>65.490510874552228</v>
      </c>
      <c r="D1187" s="2">
        <f t="shared" si="40"/>
        <v>0</v>
      </c>
    </row>
    <row r="1188" spans="1:4" x14ac:dyDescent="0.3">
      <c r="A1188" s="2">
        <f>139.022913792222*(1/3.6)</f>
        <v>38.617476053395073</v>
      </c>
      <c r="B1188" s="2">
        <f>232.009925506205*(1/3.6)</f>
        <v>64.447201529501456</v>
      </c>
      <c r="C1188" s="2">
        <f>235.28306127269*(1/3.6)</f>
        <v>65.356405909080507</v>
      </c>
      <c r="D1188" s="2">
        <f t="shared" si="40"/>
        <v>0</v>
      </c>
    </row>
    <row r="1189" spans="1:4" x14ac:dyDescent="0.3">
      <c r="A1189" s="2">
        <f>135.938836068406*(1/3.6)</f>
        <v>37.760787796779461</v>
      </c>
      <c r="B1189" s="2">
        <f>286.235655957718*(1/3.6)</f>
        <v>79.509904432699372</v>
      </c>
      <c r="C1189" s="2">
        <f>232.188414717061*(1/3.6)</f>
        <v>64.496781865850267</v>
      </c>
      <c r="D1189" s="2">
        <f t="shared" si="40"/>
        <v>0</v>
      </c>
    </row>
    <row r="1190" spans="1:4" x14ac:dyDescent="0.3">
      <c r="A1190" s="2">
        <f>136.171432584382*(1/3.6)</f>
        <v>37.825397940106029</v>
      </c>
      <c r="B1190" s="2">
        <f>286.716100013895*(1/3.6)</f>
        <v>79.643361114970844</v>
      </c>
      <c r="C1190" s="2">
        <f>231.87487691376*(1/3.6)</f>
        <v>64.409688031600041</v>
      </c>
      <c r="D1190" s="2">
        <f t="shared" si="40"/>
        <v>0</v>
      </c>
    </row>
    <row r="1191" spans="1:4" x14ac:dyDescent="0.3">
      <c r="A1191" s="2">
        <f>135.93132148377*(1/3.6)</f>
        <v>37.758700412158298</v>
      </c>
      <c r="B1191" s="2">
        <f>285.991238994256*(1/3.6)</f>
        <v>79.442010831737917</v>
      </c>
      <c r="C1191" s="2">
        <f>231.820047627283*(1/3.6)</f>
        <v>64.394457674245245</v>
      </c>
      <c r="D1191" s="2">
        <f t="shared" si="40"/>
        <v>0</v>
      </c>
    </row>
    <row r="1192" spans="1:4" x14ac:dyDescent="0.3">
      <c r="A1192" s="2">
        <f>136.163904933944*(1/3.6)</f>
        <v>37.82330692609569</v>
      </c>
      <c r="B1192" s="2">
        <f>286.239780537128*(1/3.6)</f>
        <v>79.511050149202333</v>
      </c>
      <c r="C1192" s="2">
        <f>231.324011772611*(1/3.6)</f>
        <v>64.25666993683636</v>
      </c>
      <c r="D1192" s="2">
        <f t="shared" si="40"/>
        <v>0</v>
      </c>
    </row>
    <row r="1193" spans="1:4" x14ac:dyDescent="0.3">
      <c r="A1193" s="2">
        <f>136.089278212311*(1/3.6)</f>
        <v>37.802577281197557</v>
      </c>
      <c r="B1193" s="2">
        <f>285.553580871182*(1/3.6)</f>
        <v>79.320439130883855</v>
      </c>
      <c r="C1193" s="2">
        <f>231.244854056264*(1/3.6)</f>
        <v>64.234681682295488</v>
      </c>
      <c r="D1193" s="2">
        <f t="shared" si="40"/>
        <v>0</v>
      </c>
    </row>
    <row r="1194" spans="1:4" x14ac:dyDescent="0.3">
      <c r="A1194" s="2">
        <f>135.994019696656*(1/3.6)</f>
        <v>37.776116582404384</v>
      </c>
      <c r="B1194" s="2">
        <f>285.082620569475*(1/3.6)</f>
        <v>79.189616824854127</v>
      </c>
      <c r="C1194" s="2">
        <f>230.992962849816*(1/3.6)</f>
        <v>64.164711902726538</v>
      </c>
      <c r="D1194" s="2">
        <f t="shared" si="40"/>
        <v>0</v>
      </c>
    </row>
    <row r="1195" spans="1:4" x14ac:dyDescent="0.3">
      <c r="A1195" s="2">
        <f>136.152613458289*(1/3.6)</f>
        <v>37.820170405080169</v>
      </c>
      <c r="B1195" s="2">
        <f>285.975223774765*(1/3.6)</f>
        <v>79.437562159656835</v>
      </c>
      <c r="C1195" s="2">
        <f>230.714031957795*(1/3.6)</f>
        <v>64.087231099387608</v>
      </c>
      <c r="D1195" s="2">
        <f t="shared" si="40"/>
        <v>0</v>
      </c>
    </row>
    <row r="1196" spans="1:4" x14ac:dyDescent="0.3">
      <c r="A1196" s="2">
        <f>136.14884963307*(1/3.6)</f>
        <v>37.819124898075003</v>
      </c>
      <c r="B1196" s="2">
        <f>285.149073270881*(1/3.6)</f>
        <v>79.208075908578067</v>
      </c>
      <c r="C1196" s="2">
        <f>230.510235203759*(1/3.6)</f>
        <v>64.030620889932976</v>
      </c>
      <c r="D1196" s="2">
        <f t="shared" si="40"/>
        <v>0</v>
      </c>
    </row>
    <row r="1197" spans="1:4" x14ac:dyDescent="0.3">
      <c r="A1197" s="2">
        <f>136.145085807851*(1/3.6)</f>
        <v>37.81807939106983</v>
      </c>
      <c r="B1197" s="2">
        <f>285.271322737525*(1/3.6)</f>
        <v>79.24203409375707</v>
      </c>
      <c r="C1197" s="2">
        <f>230.383601519546*(1/3.6)</f>
        <v>63.995444866540559</v>
      </c>
      <c r="D1197" s="2">
        <f t="shared" si="40"/>
        <v>0</v>
      </c>
    </row>
    <row r="1198" spans="1:4" x14ac:dyDescent="0.3">
      <c r="A1198" s="2">
        <f>136.375963652568*(1/3.6)</f>
        <v>37.882212125713224</v>
      </c>
      <c r="B1198" s="2">
        <f>284.675272539885*(1/3.6)</f>
        <v>79.076464594412613</v>
      </c>
      <c r="C1198" s="2">
        <f>229.900091549741*(1/3.6)</f>
        <v>63.861136541594853</v>
      </c>
      <c r="D1198" s="2">
        <f t="shared" si="40"/>
        <v>0</v>
      </c>
    </row>
    <row r="1199" spans="1:4" x14ac:dyDescent="0.3">
      <c r="A1199" s="2">
        <f>136.351024573453*(1/3.6)</f>
        <v>37.875284603736944</v>
      </c>
      <c r="B1199" s="2">
        <f>284.438372174388*(1/3.6)</f>
        <v>79.010658937329879</v>
      </c>
      <c r="C1199" s="2">
        <f>229.614488220703*(1/3.6)</f>
        <v>63.78180228352867</v>
      </c>
      <c r="D1199" s="2">
        <f t="shared" si="40"/>
        <v>0</v>
      </c>
    </row>
    <row r="1200" spans="1:4" x14ac:dyDescent="0.3">
      <c r="A1200" s="2">
        <f>136.139616184323*(1/3.6)</f>
        <v>37.816560051200881</v>
      </c>
      <c r="B1200" s="2">
        <f>284.226854830281*(1/3.6)</f>
        <v>78.951904119522368</v>
      </c>
      <c r="C1200" s="2">
        <f>229.653336204388*(1/3.6)</f>
        <v>63.792593390107697</v>
      </c>
      <c r="D1200" s="2">
        <f t="shared" si="40"/>
        <v>0</v>
      </c>
    </row>
    <row r="1201" spans="1:4" x14ac:dyDescent="0.3">
      <c r="A1201" s="2">
        <f>136.364652715879*(1/3.6)</f>
        <v>37.879070198855317</v>
      </c>
      <c r="B1201" s="2">
        <f>283.964571443392*(1/3.6)</f>
        <v>78.879047623164411</v>
      </c>
      <c r="C1201" s="2">
        <f>229.279778651211*(1/3.6)</f>
        <v>63.688827403114288</v>
      </c>
      <c r="D1201" s="2">
        <f t="shared" si="40"/>
        <v>0</v>
      </c>
    </row>
    <row r="1202" spans="1:4" x14ac:dyDescent="0.3">
      <c r="A1202" s="2">
        <f>136.36088240365*(1/3.6)</f>
        <v>37.878022889902688</v>
      </c>
      <c r="B1202" s="2">
        <f>283.859817044298*(1/3.6)</f>
        <v>78.849949178971627</v>
      </c>
      <c r="C1202" s="2">
        <f>229.432801506701*(1/3.6)</f>
        <v>63.731333751861378</v>
      </c>
      <c r="D1202" s="2">
        <f t="shared" si="40"/>
        <v>0</v>
      </c>
    </row>
    <row r="1203" spans="1:4" x14ac:dyDescent="0.3">
      <c r="A1203" s="2">
        <f>136.35711209142*(1/3.6)</f>
        <v>37.876975580950052</v>
      </c>
      <c r="B1203" s="2">
        <f>283.702034441623*(1/3.6)</f>
        <v>78.806120678228595</v>
      </c>
      <c r="C1203" s="2">
        <f>229.156328858991*(1/3.6)</f>
        <v>63.654535794164175</v>
      </c>
      <c r="D1203" s="2">
        <f t="shared" si="40"/>
        <v>0</v>
      </c>
    </row>
    <row r="1204" spans="1:4" x14ac:dyDescent="0.3">
      <c r="A1204" s="2">
        <f>136.379983821283*(1/3.6)</f>
        <v>37.883328839245387</v>
      </c>
      <c r="B1204" s="2">
        <f>283.676959626935*(1/3.6)</f>
        <v>78.799155451926339</v>
      </c>
      <c r="C1204" s="2">
        <f>228.639886928684*(1/3.6)</f>
        <v>63.511079702412303</v>
      </c>
      <c r="D1204" s="2">
        <f t="shared" si="40"/>
        <v>0</v>
      </c>
    </row>
    <row r="1205" spans="1:4" x14ac:dyDescent="0.3">
      <c r="A1205" s="2">
        <f>136.582517368726*(1/3.6)</f>
        <v>37.939588157979465</v>
      </c>
      <c r="B1205" s="2">
        <f>283.439705409237*(1/3.6)</f>
        <v>78.733251502565935</v>
      </c>
      <c r="C1205" s="2">
        <f>228.603383563571*(1/3.6)</f>
        <v>63.500939878769778</v>
      </c>
      <c r="D1205" s="2">
        <f t="shared" si="40"/>
        <v>0</v>
      </c>
    </row>
    <row r="1206" spans="1:4" x14ac:dyDescent="0.3">
      <c r="A1206" s="2">
        <f>136.781141610153*(1/3.6)</f>
        <v>37.994761558375707</v>
      </c>
      <c r="B1206" s="2">
        <f>282.823811097551*(1/3.6)</f>
        <v>78.56216974931975</v>
      </c>
      <c r="C1206" s="2">
        <f>228.114093790485*(1/3.6)</f>
        <v>63.365026052912583</v>
      </c>
      <c r="D1206" s="2">
        <f t="shared" si="40"/>
        <v>0</v>
      </c>
    </row>
    <row r="1207" spans="1:4" x14ac:dyDescent="0.3">
      <c r="A1207" s="2">
        <f>136.806255653903*(1/3.6)</f>
        <v>38.001737681639625</v>
      </c>
      <c r="B1207" s="2">
        <f>283.688014042737*(1/3.6)</f>
        <v>78.802226122982617</v>
      </c>
      <c r="C1207" s="2">
        <f>228.050438268151*(1/3.6)</f>
        <v>63.34734396337538</v>
      </c>
      <c r="D1207" s="2">
        <f t="shared" si="40"/>
        <v>0</v>
      </c>
    </row>
    <row r="1208" spans="1:4" x14ac:dyDescent="0.3">
      <c r="A1208" s="2">
        <f>136.338260530273*(1/3.6)</f>
        <v>37.871739036186881</v>
      </c>
      <c r="B1208" s="2">
        <f>282.727942756145*(1/3.6)</f>
        <v>78.535539654484722</v>
      </c>
      <c r="C1208" s="2">
        <f>227.471292324853*(1/3.6)</f>
        <v>63.186470090236973</v>
      </c>
      <c r="D1208" s="2">
        <f t="shared" si="40"/>
        <v>0</v>
      </c>
    </row>
    <row r="1209" spans="1:4" x14ac:dyDescent="0.3">
      <c r="A1209" s="2">
        <f>136.521986737091*(1/3.6)</f>
        <v>37.92277409363647</v>
      </c>
      <c r="B1209" s="2">
        <f>282.65627189979*(1/3.6)</f>
        <v>78.515631083275125</v>
      </c>
      <c r="C1209" s="2">
        <f>227.351121313651*(1/3.6)</f>
        <v>63.153089253791897</v>
      </c>
      <c r="D1209" s="2">
        <f t="shared" si="40"/>
        <v>0</v>
      </c>
    </row>
    <row r="1210" spans="1:4" x14ac:dyDescent="0.3">
      <c r="A1210" s="2">
        <f>136.563633600701*(1/3.6)</f>
        <v>37.934342666861511</v>
      </c>
      <c r="B1210" s="2">
        <f>281.853936044059*(1/3.6)</f>
        <v>78.29276001223873</v>
      </c>
      <c r="C1210" s="2">
        <f>227.064471516168*(1/3.6)</f>
        <v>63.073464310046688</v>
      </c>
      <c r="D1210" s="2">
        <f t="shared" si="40"/>
        <v>0</v>
      </c>
    </row>
    <row r="1211" spans="1:4" x14ac:dyDescent="0.3">
      <c r="A1211" s="2">
        <f>136.559856847096*(1/3.6)</f>
        <v>37.933293568637914</v>
      </c>
      <c r="B1211" s="2">
        <f>282.295742994685*(1/3.6)</f>
        <v>78.41548416519025</v>
      </c>
      <c r="C1211" s="2">
        <f>227.558112905521*(1/3.6)</f>
        <v>63.210586918200335</v>
      </c>
      <c r="D1211" s="2">
        <f t="shared" si="40"/>
        <v>0</v>
      </c>
    </row>
    <row r="1212" spans="1:4" x14ac:dyDescent="0.3">
      <c r="A1212" s="2">
        <f>136.556080093492*(1/3.6)</f>
        <v>37.932244470414318</v>
      </c>
      <c r="B1212" s="2">
        <f>281.778925885355*(1/3.6)</f>
        <v>78.271923857043092</v>
      </c>
      <c r="C1212" s="2">
        <f>227.192752241473*(1/3.6)</f>
        <v>63.109097844853608</v>
      </c>
      <c r="D1212" s="2">
        <f t="shared" si="40"/>
        <v>0</v>
      </c>
    </row>
    <row r="1213" spans="1:4" x14ac:dyDescent="0.3">
      <c r="A1213" s="2">
        <f>136.552303339887*(1/3.6)</f>
        <v>37.931195372190729</v>
      </c>
      <c r="B1213" s="2">
        <f>281.803842342994*(1/3.6)</f>
        <v>78.278845095276239</v>
      </c>
      <c r="C1213" s="2">
        <f>226.683492884727*(1/3.6)</f>
        <v>62.967636912424084</v>
      </c>
      <c r="D1213" s="2">
        <f t="shared" si="40"/>
        <v>0</v>
      </c>
    </row>
    <row r="1214" spans="1:4" x14ac:dyDescent="0.3">
      <c r="A1214" s="2">
        <f>136.643146880735*(1/3.6)</f>
        <v>37.956429689093042</v>
      </c>
      <c r="B1214" s="2">
        <f>281.725045064701*(1/3.6)</f>
        <v>78.256956962416879</v>
      </c>
      <c r="C1214" s="2">
        <f>226.324626958744*(1/3.6)</f>
        <v>62.867951932984369</v>
      </c>
      <c r="D1214" s="2">
        <f t="shared" si="40"/>
        <v>0</v>
      </c>
    </row>
    <row r="1215" spans="1:4" x14ac:dyDescent="0.3">
      <c r="A1215" s="2">
        <f>136.775990457143*(1/3.6)</f>
        <v>37.99333068253965</v>
      </c>
      <c r="B1215" s="2">
        <f>281.89826547492*(1/3.6)</f>
        <v>78.305073743033205</v>
      </c>
      <c r="C1215" s="2">
        <f>226.184386531912*(1/3.6)</f>
        <v>62.828996258864457</v>
      </c>
      <c r="D1215" s="2">
        <f t="shared" si="40"/>
        <v>0</v>
      </c>
    </row>
    <row r="1216" spans="1:4" x14ac:dyDescent="0.3">
      <c r="A1216" s="2">
        <f>136.772207307548*(1/3.6)</f>
        <v>37.992279807652153</v>
      </c>
      <c r="B1216" s="2">
        <f>281.732884656332*(1/3.6)</f>
        <v>78.259134626758808</v>
      </c>
      <c r="C1216" s="2">
        <f>225.946052673357*(1/3.6)</f>
        <v>62.762792409265892</v>
      </c>
      <c r="D1216" s="2">
        <f t="shared" si="40"/>
        <v>0</v>
      </c>
    </row>
    <row r="1217" spans="1:4" x14ac:dyDescent="0.3">
      <c r="A1217" s="2">
        <f>136.808129376929*(1/3.6)</f>
        <v>38.002258160258165</v>
      </c>
      <c r="B1217" s="2">
        <f>281.890195369825*(1/3.6)</f>
        <v>78.302832047173681</v>
      </c>
      <c r="C1217" s="2">
        <f>225.988526694022*(1/3.6)</f>
        <v>62.774590748339506</v>
      </c>
      <c r="D1217" s="2">
        <f t="shared" si="40"/>
        <v>0</v>
      </c>
    </row>
    <row r="1218" spans="1:4" x14ac:dyDescent="0.3">
      <c r="A1218" s="2">
        <f>136.971811432301*(1/3.6)</f>
        <v>38.047725397861356</v>
      </c>
      <c r="B1218" s="2">
        <f>281.256850494705*(1/3.6)</f>
        <v>78.1269029151957</v>
      </c>
      <c r="C1218" s="2">
        <f>225.915460098722*(1/3.6)</f>
        <v>62.754294471867098</v>
      </c>
      <c r="D1218" s="2">
        <f t="shared" ref="D1218:D1281" si="41">0*(1/3.6)</f>
        <v>0</v>
      </c>
    </row>
    <row r="1219" spans="1:4" x14ac:dyDescent="0.3">
      <c r="A1219" s="2">
        <f>136.760857858763*(1/3.6)</f>
        <v>37.989127182989662</v>
      </c>
      <c r="B1219" s="2">
        <f>280.243934321421*(1/3.6)</f>
        <v>77.845537311505737</v>
      </c>
      <c r="C1219" s="2">
        <f>225.433856397087*(1/3.6)</f>
        <v>62.620515665857603</v>
      </c>
      <c r="D1219" s="2">
        <f t="shared" si="41"/>
        <v>0</v>
      </c>
    </row>
    <row r="1220" spans="1:4" x14ac:dyDescent="0.3">
      <c r="A1220" s="2">
        <f>136.948813353104*(1/3.6)</f>
        <v>38.041337042528802</v>
      </c>
      <c r="B1220" s="2">
        <f>280.663179332761*(1/3.6)</f>
        <v>77.961994259100408</v>
      </c>
      <c r="C1220" s="2">
        <f>224.870971079466*(1/3.6)</f>
        <v>62.464158633185036</v>
      </c>
      <c r="D1220" s="2">
        <f t="shared" si="41"/>
        <v>0</v>
      </c>
    </row>
    <row r="1221" spans="1:4" x14ac:dyDescent="0.3">
      <c r="A1221" s="2">
        <f>136.753291559573*(1/3.6)</f>
        <v>37.987025433214676</v>
      </c>
      <c r="B1221" s="2">
        <f>280.387458115329*(1/3.6)</f>
        <v>77.885405032035806</v>
      </c>
      <c r="C1221" s="2">
        <f>224.83110199969*(1/3.6)</f>
        <v>62.453083888802695</v>
      </c>
      <c r="D1221" s="2">
        <f t="shared" si="41"/>
        <v>0</v>
      </c>
    </row>
    <row r="1222" spans="1:4" x14ac:dyDescent="0.3">
      <c r="A1222" s="2">
        <f>136.979065144047*(1/3.6)</f>
        <v>38.049740317790921</v>
      </c>
      <c r="B1222" s="2">
        <f>280.61968007377*(1/3.6)</f>
        <v>77.94991113160286</v>
      </c>
      <c r="C1222" s="2">
        <f>224.324450350841*(1/3.6)</f>
        <v>62.312347319678047</v>
      </c>
      <c r="D1222" s="2">
        <f t="shared" si="41"/>
        <v>0</v>
      </c>
    </row>
    <row r="1223" spans="1:4" x14ac:dyDescent="0.3">
      <c r="A1223" s="2">
        <f>136.812642260241*(1/3.6)</f>
        <v>38.003511738955794</v>
      </c>
      <c r="B1223" s="2">
        <f>279.74697053181*(1/3.6)</f>
        <v>77.707491814391545</v>
      </c>
      <c r="C1223" s="2">
        <f>224.123535938928*(1/3.6)</f>
        <v>62.25653776081321</v>
      </c>
      <c r="D1223" s="2">
        <f t="shared" si="41"/>
        <v>0</v>
      </c>
    </row>
    <row r="1224" spans="1:4" x14ac:dyDescent="0.3">
      <c r="A1224" s="2">
        <f>136.869162741165*(1/3.6)</f>
        <v>38.019211872545952</v>
      </c>
      <c r="B1224" s="2">
        <f>279.883725453122*(1/3.6)</f>
        <v>77.745479292533759</v>
      </c>
      <c r="C1224" s="2">
        <f>223.950064472587*(1/3.6)</f>
        <v>62.208351242385227</v>
      </c>
      <c r="D1224" s="2">
        <f t="shared" si="41"/>
        <v>0</v>
      </c>
    </row>
    <row r="1225" spans="1:4" x14ac:dyDescent="0.3">
      <c r="A1225" s="2">
        <f>136.96769664333*(1/3.6)</f>
        <v>38.046582400924969</v>
      </c>
      <c r="B1225" s="2">
        <f>279.756984560867*(1/3.6)</f>
        <v>77.710273489129818</v>
      </c>
      <c r="C1225" s="2">
        <f>224.114888685561*(1/3.6)</f>
        <v>62.254135745989046</v>
      </c>
      <c r="D1225" s="2">
        <f t="shared" si="41"/>
        <v>0</v>
      </c>
    </row>
    <row r="1226" spans="1:4" x14ac:dyDescent="0.3">
      <c r="A1226" s="2">
        <f>136.963907143091*(1/3.6)</f>
        <v>38.045529761969654</v>
      </c>
      <c r="B1226" s="2">
        <f>279.352713848196*(1/3.6)</f>
        <v>77.597976068943325</v>
      </c>
      <c r="C1226" s="2">
        <f>223.693357238122*(1/3.6)</f>
        <v>62.137043677256109</v>
      </c>
      <c r="D1226" s="2">
        <f t="shared" si="41"/>
        <v>0</v>
      </c>
    </row>
    <row r="1227" spans="1:4" x14ac:dyDescent="0.3">
      <c r="A1227" s="2">
        <f>136.92914032605*(1/3.6)</f>
        <v>38.035872312791554</v>
      </c>
      <c r="B1227" s="2">
        <f>279.738443732601*(1/3.6)</f>
        <v>77.705123259055839</v>
      </c>
      <c r="C1227" s="2">
        <f>223.417184868562*(1/3.6)</f>
        <v>62.060329130156099</v>
      </c>
      <c r="D1227" s="2">
        <f t="shared" si="41"/>
        <v>0</v>
      </c>
    </row>
    <row r="1228" spans="1:4" x14ac:dyDescent="0.3">
      <c r="A1228" s="2">
        <f>137.131900022885*(1/3.6)</f>
        <v>38.092194450801415</v>
      </c>
      <c r="B1228" s="2">
        <f>278.876679686569*(1/3.6)</f>
        <v>77.465744357380231</v>
      </c>
      <c r="C1228" s="2">
        <f>223.128506370384*(1/3.6)</f>
        <v>61.980140658439929</v>
      </c>
      <c r="D1228" s="2">
        <f t="shared" si="41"/>
        <v>0</v>
      </c>
    </row>
    <row r="1229" spans="1:4" x14ac:dyDescent="0.3">
      <c r="A1229" s="2">
        <f>137.042577043*(1/3.6)</f>
        <v>38.067382511944579</v>
      </c>
      <c r="B1229" s="2">
        <f>278.860448532928*(1/3.6)</f>
        <v>77.461235703591242</v>
      </c>
      <c r="C1229" s="2">
        <f>222.828645639529*(1/3.6)</f>
        <v>61.89684601098029</v>
      </c>
      <c r="D1229" s="2">
        <f t="shared" si="41"/>
        <v>0</v>
      </c>
    </row>
    <row r="1230" spans="1:4" x14ac:dyDescent="0.3">
      <c r="A1230" s="2">
        <f>137.14904263151*(1/3.6)</f>
        <v>38.096956286530528</v>
      </c>
      <c r="B1230" s="2">
        <f>278.807668952098*(1/3.6)</f>
        <v>77.446574708916017</v>
      </c>
      <c r="C1230" s="2">
        <f>222.958711261012*(1/3.6)</f>
        <v>61.932975350281225</v>
      </c>
      <c r="D1230" s="2">
        <f t="shared" si="41"/>
        <v>0</v>
      </c>
    </row>
    <row r="1231" spans="1:4" x14ac:dyDescent="0.3">
      <c r="A1231" s="2">
        <f>137.006656566551*(1/3.6)</f>
        <v>38.057404601819663</v>
      </c>
      <c r="B1231" s="2">
        <f>278.569303888873*(1/3.6)</f>
        <v>77.380362191353527</v>
      </c>
      <c r="C1231" s="2">
        <f>222.306840321824*(1/3.6)</f>
        <v>61.751900089395647</v>
      </c>
      <c r="D1231" s="2">
        <f t="shared" si="41"/>
        <v>0</v>
      </c>
    </row>
    <row r="1232" spans="1:4" x14ac:dyDescent="0.3">
      <c r="A1232" s="2">
        <f>137.169036065727*(1/3.6)</f>
        <v>38.102510018257433</v>
      </c>
      <c r="B1232" s="2">
        <f>278.281422152871*(1/3.6)</f>
        <v>77.300395042464302</v>
      </c>
      <c r="C1232" s="2">
        <f>222.427150225654*(1/3.6)</f>
        <v>61.785319507126005</v>
      </c>
      <c r="D1232" s="2">
        <f t="shared" si="41"/>
        <v>0</v>
      </c>
    </row>
    <row r="1233" spans="1:4" x14ac:dyDescent="0.3">
      <c r="A1233" s="2">
        <f>137.080539621442*(1/3.6)</f>
        <v>38.077927672622856</v>
      </c>
      <c r="B1233" s="2">
        <f>278.029699083393*(1/3.6)</f>
        <v>77.230471967609162</v>
      </c>
      <c r="C1233" s="2">
        <f>221.776255043592*(1/3.6)</f>
        <v>61.60451528988667</v>
      </c>
      <c r="D1233" s="2">
        <f t="shared" si="41"/>
        <v>0</v>
      </c>
    </row>
    <row r="1234" spans="1:4" x14ac:dyDescent="0.3">
      <c r="A1234" s="2">
        <f>137.062205996133*(1/3.6)</f>
        <v>38.072834998925707</v>
      </c>
      <c r="B1234" s="2">
        <f>277.448577201687*(1/3.6)</f>
        <v>77.06904922269095</v>
      </c>
      <c r="C1234" s="2">
        <f>221.602572089045*(1/3.6)</f>
        <v>61.556270024734644</v>
      </c>
      <c r="D1234" s="2">
        <f t="shared" si="41"/>
        <v>0</v>
      </c>
    </row>
    <row r="1235" spans="1:4" x14ac:dyDescent="0.3">
      <c r="A1235" s="2">
        <f>137.257657564804*(1/3.6)</f>
        <v>38.127127101334459</v>
      </c>
      <c r="B1235" s="2">
        <f>278.178403379642*(1/3.6)</f>
        <v>77.271778716567312</v>
      </c>
      <c r="C1235" s="2">
        <f>221.722082086723*(1/3.6)</f>
        <v>61.589467246311919</v>
      </c>
      <c r="D1235" s="2">
        <f t="shared" si="41"/>
        <v>0</v>
      </c>
    </row>
    <row r="1236" spans="1:4" x14ac:dyDescent="0.3">
      <c r="A1236" s="2">
        <f>137.314524873034*(1/3.6)</f>
        <v>38.142923575842858</v>
      </c>
      <c r="B1236" s="2">
        <f>277.780292697452*(1/3.6)</f>
        <v>77.161192415958837</v>
      </c>
      <c r="C1236" s="2">
        <f>221.510984582752*(1/3.6)</f>
        <v>61.530829050764453</v>
      </c>
      <c r="D1236" s="2">
        <f t="shared" si="41"/>
        <v>0</v>
      </c>
    </row>
    <row r="1237" spans="1:4" x14ac:dyDescent="0.3">
      <c r="A1237" s="2">
        <f>137.18214887238*(1/3.6)</f>
        <v>38.106152464549915</v>
      </c>
      <c r="B1237" s="2">
        <f>277.313885648189*(1/3.6)</f>
        <v>77.031634902274831</v>
      </c>
      <c r="C1237" s="2">
        <f>220.921254200606*(1/3.6)</f>
        <v>61.367015055723996</v>
      </c>
      <c r="D1237" s="2">
        <f t="shared" si="41"/>
        <v>0</v>
      </c>
    </row>
    <row r="1238" spans="1:4" x14ac:dyDescent="0.3">
      <c r="A1238" s="2">
        <f>137.146261230616*(1/3.6)</f>
        <v>38.096183675171133</v>
      </c>
      <c r="B1238" s="2">
        <f>276.900748446298*(1/3.6)</f>
        <v>76.916874568416162</v>
      </c>
      <c r="C1238" s="2">
        <f>220.758648652252*(1/3.6)</f>
        <v>61.321846847847688</v>
      </c>
      <c r="D1238" s="2">
        <f t="shared" si="41"/>
        <v>0</v>
      </c>
    </row>
    <row r="1239" spans="1:4" x14ac:dyDescent="0.3">
      <c r="A1239" s="2">
        <f>136.87927092161*(1/3.6)</f>
        <v>38.022019700447103</v>
      </c>
      <c r="B1239" s="2">
        <f>276.662383383073*(1/3.6)</f>
        <v>76.850662050853686</v>
      </c>
      <c r="C1239" s="2">
        <f>220.497453689289*(1/3.6)</f>
        <v>61.249292691469087</v>
      </c>
      <c r="D1239" s="2">
        <f t="shared" si="41"/>
        <v>0</v>
      </c>
    </row>
    <row r="1240" spans="1:4" x14ac:dyDescent="0.3">
      <c r="A1240" s="2">
        <f>137.043310996537*(1/3.6)</f>
        <v>38.067586387927022</v>
      </c>
      <c r="B1240" s="2">
        <f>276.825447807057*(1/3.6)</f>
        <v>76.895957724182409</v>
      </c>
      <c r="C1240" s="2">
        <f>220.079894821921*(1/3.6)</f>
        <v>61.13330411720041</v>
      </c>
      <c r="D1240" s="2">
        <f t="shared" si="41"/>
        <v>0</v>
      </c>
    </row>
    <row r="1241" spans="1:4" x14ac:dyDescent="0.3">
      <c r="A1241" s="2">
        <f>136.907064639504*(1/3.6)</f>
        <v>38.029740177639916</v>
      </c>
      <c r="B1241" s="2">
        <f>276.185653256623*(1/3.6)</f>
        <v>76.718237015728718</v>
      </c>
      <c r="C1241" s="2">
        <f>219.900411063898*(1/3.6)</f>
        <v>61.083447517749526</v>
      </c>
      <c r="D1241" s="2">
        <f t="shared" si="41"/>
        <v>0</v>
      </c>
    </row>
    <row r="1242" spans="1:4" x14ac:dyDescent="0.3">
      <c r="A1242" s="2">
        <f>137.131078007209*(1/3.6)</f>
        <v>38.091966113113607</v>
      </c>
      <c r="B1242" s="2">
        <f>275.872222134921*(1/3.6)</f>
        <v>76.631172815255837</v>
      </c>
      <c r="C1242" s="2">
        <f>219.459157759275*(1/3.6)</f>
        <v>60.96087715535414</v>
      </c>
      <c r="D1242" s="2">
        <f t="shared" si="41"/>
        <v>0</v>
      </c>
    </row>
    <row r="1243" spans="1:4" x14ac:dyDescent="0.3">
      <c r="A1243" s="2">
        <f>137.127282201357*(1/3.6)</f>
        <v>38.090911722599223</v>
      </c>
      <c r="B1243" s="2">
        <f>276.270228306506*(1/3.6)</f>
        <v>76.741730085140674</v>
      </c>
      <c r="C1243" s="2">
        <f>219.562674002146*(1/3.6)</f>
        <v>60.989631667262849</v>
      </c>
      <c r="D1243" s="2">
        <f t="shared" si="41"/>
        <v>0</v>
      </c>
    </row>
    <row r="1244" spans="1:4" x14ac:dyDescent="0.3">
      <c r="A1244" s="2">
        <f>137.173196405339*(1/3.6)</f>
        <v>38.103665668149731</v>
      </c>
      <c r="B1244" s="2">
        <f>275.725454525424*(1/3.6)</f>
        <v>76.590404034840134</v>
      </c>
      <c r="C1244" s="2">
        <f>219.25301516037*(1/3.6)</f>
        <v>60.90361532232496</v>
      </c>
      <c r="D1244" s="2">
        <f t="shared" si="41"/>
        <v>0</v>
      </c>
    </row>
    <row r="1245" spans="1:4" x14ac:dyDescent="0.3">
      <c r="A1245" s="2">
        <f>137.345849163106*(1/3.6)</f>
        <v>38.151624767529384</v>
      </c>
      <c r="B1245" s="2">
        <f>275.769262317424*(1/3.6)</f>
        <v>76.602572865951188</v>
      </c>
      <c r="C1245" s="2">
        <f>219.37289789953*(1/3.6)</f>
        <v>60.936916083202881</v>
      </c>
      <c r="D1245" s="2">
        <f t="shared" si="41"/>
        <v>0</v>
      </c>
    </row>
    <row r="1246" spans="1:4" x14ac:dyDescent="0.3">
      <c r="A1246" s="2">
        <f>137.465825432165*(1/3.6)</f>
        <v>38.184951508934809</v>
      </c>
      <c r="B1246" s="2">
        <f>275.393180471464*(1/3.6)</f>
        <v>76.498105686517761</v>
      </c>
      <c r="C1246" s="2">
        <f>219.279372804951*(1/3.6)</f>
        <v>60.910936890264104</v>
      </c>
      <c r="D1246" s="2">
        <f t="shared" si="41"/>
        <v>0</v>
      </c>
    </row>
    <row r="1247" spans="1:4" x14ac:dyDescent="0.3">
      <c r="A1247" s="2">
        <f>137.338245030166*(1/3.6)</f>
        <v>38.149512508379367</v>
      </c>
      <c r="B1247" s="2">
        <f>275.128403831561*(1/3.6)</f>
        <v>76.424556619877961</v>
      </c>
      <c r="C1247" s="2">
        <f>218.641640424782*(1/3.6)</f>
        <v>60.73378900688401</v>
      </c>
      <c r="D1247" s="2">
        <f t="shared" si="41"/>
        <v>0</v>
      </c>
    </row>
    <row r="1248" spans="1:4" x14ac:dyDescent="0.3">
      <c r="A1248" s="2">
        <f>137.334442963696*(1/3.6)</f>
        <v>38.148456378804362</v>
      </c>
      <c r="B1248" s="2">
        <f>275.312306208664*(1/3.6)</f>
        <v>76.475640613517697</v>
      </c>
      <c r="C1248" s="2">
        <f>218.460080632336*(1/3.6)</f>
        <v>60.683355731204315</v>
      </c>
      <c r="D1248" s="2">
        <f t="shared" si="41"/>
        <v>0</v>
      </c>
    </row>
    <row r="1249" spans="1:4" x14ac:dyDescent="0.3">
      <c r="A1249" s="2">
        <f>137.330640897226*(1/3.6)</f>
        <v>38.147400249229364</v>
      </c>
      <c r="B1249" s="2">
        <f>275.073250660581*(1/3.6)</f>
        <v>76.409236294605819</v>
      </c>
      <c r="C1249" s="2">
        <f>218.164555109933*(1/3.6)</f>
        <v>60.601265308314787</v>
      </c>
      <c r="D1249" s="2">
        <f t="shared" si="41"/>
        <v>0</v>
      </c>
    </row>
    <row r="1250" spans="1:4" x14ac:dyDescent="0.3">
      <c r="A1250" s="2">
        <f>137.53099824367*(1/3.6)</f>
        <v>38.203055067686243</v>
      </c>
      <c r="B1250" s="2">
        <f>274.61201841612*(1/3.6)</f>
        <v>76.281116226699993</v>
      </c>
      <c r="C1250" s="2">
        <f>218.161810410342*(1/3.6)</f>
        <v>60.600502891761586</v>
      </c>
      <c r="D1250" s="2">
        <f t="shared" si="41"/>
        <v>0</v>
      </c>
    </row>
    <row r="1251" spans="1:4" x14ac:dyDescent="0.3">
      <c r="A1251" s="2">
        <f>137.135162257491*(1/3.6)</f>
        <v>38.093100627080851</v>
      </c>
      <c r="B1251" s="2">
        <f>274.535291128061*(1/3.6)</f>
        <v>76.259803091128106</v>
      </c>
      <c r="C1251" s="2">
        <f>217.542488201491*(1/3.6)</f>
        <v>60.428468944858729</v>
      </c>
      <c r="D1251" s="2">
        <f t="shared" si="41"/>
        <v>0</v>
      </c>
    </row>
    <row r="1252" spans="1:4" x14ac:dyDescent="0.3">
      <c r="A1252" s="2">
        <f>137.543733082569*(1/3.6)</f>
        <v>38.206592522935914</v>
      </c>
      <c r="B1252" s="2">
        <f>274.356084016333*(1/3.6)</f>
        <v>76.210023337870169</v>
      </c>
      <c r="C1252" s="2">
        <f>217.376643453075*(1/3.6)</f>
        <v>60.382400959187414</v>
      </c>
      <c r="D1252" s="2">
        <f t="shared" si="41"/>
        <v>0</v>
      </c>
    </row>
    <row r="1253" spans="1:4" x14ac:dyDescent="0.3">
      <c r="A1253" s="2">
        <f>137.539924800235*(1/3.6)</f>
        <v>38.205534666731822</v>
      </c>
      <c r="B1253" s="2">
        <f>274.237815490315*(1/3.6)</f>
        <v>76.177170969531929</v>
      </c>
      <c r="C1253" s="2">
        <f>217.348366492836*(1/3.6)</f>
        <v>60.374546248010056</v>
      </c>
      <c r="D1253" s="2">
        <f t="shared" si="41"/>
        <v>0</v>
      </c>
    </row>
    <row r="1254" spans="1:4" x14ac:dyDescent="0.3">
      <c r="A1254" s="2">
        <f>137.742248016017*(1/3.6)</f>
        <v>38.261735560004794</v>
      </c>
      <c r="B1254" s="2">
        <f>274.240707328201*(1/3.6)</f>
        <v>76.177974257833583</v>
      </c>
      <c r="C1254" s="2">
        <f>217.238633391706*(1/3.6)</f>
        <v>60.344064831029478</v>
      </c>
      <c r="D1254" s="2">
        <f t="shared" si="41"/>
        <v>0</v>
      </c>
    </row>
    <row r="1255" spans="1:4" x14ac:dyDescent="0.3">
      <c r="A1255" s="2">
        <f>137.532308235565*(1/3.6)</f>
        <v>38.203418954323652</v>
      </c>
      <c r="B1255" s="2">
        <f>273.856755404417*(1/3.6)</f>
        <v>76.071320945671445</v>
      </c>
      <c r="C1255" s="2">
        <f>216.790245228915*(1/3.6)</f>
        <v>60.219512563587443</v>
      </c>
      <c r="D1255" s="2">
        <f t="shared" si="41"/>
        <v>0</v>
      </c>
    </row>
    <row r="1256" spans="1:4" x14ac:dyDescent="0.3">
      <c r="A1256" s="2">
        <f>137.358078431847*(1/3.6)</f>
        <v>38.155021786624197</v>
      </c>
      <c r="B1256" s="2">
        <f>273.399861824002*(1/3.6)</f>
        <v>75.94440606222264</v>
      </c>
      <c r="C1256" s="2">
        <f>216.652817259624*(1/3.6)</f>
        <v>60.181338127673293</v>
      </c>
      <c r="D1256" s="2">
        <f t="shared" si="41"/>
        <v>0</v>
      </c>
    </row>
    <row r="1257" spans="1:4" x14ac:dyDescent="0.3">
      <c r="A1257" s="2">
        <f>137.524691670896*(1/3.6)</f>
        <v>38.20130324191549</v>
      </c>
      <c r="B1257" s="2">
        <f>273.778715231345*(1/3.6)</f>
        <v>76.049643119818029</v>
      </c>
      <c r="C1257" s="2">
        <f>216.369401455641*(1/3.6)</f>
        <v>60.102611515455877</v>
      </c>
      <c r="D1257" s="2">
        <f t="shared" si="41"/>
        <v>0</v>
      </c>
    </row>
    <row r="1258" spans="1:4" x14ac:dyDescent="0.3">
      <c r="A1258" s="2">
        <f>137.743736933127*(1/3.6)</f>
        <v>38.262149148090906</v>
      </c>
      <c r="B1258" s="2">
        <f>273.225245366328*(1/3.6)</f>
        <v>75.895901490646636</v>
      </c>
      <c r="C1258" s="2">
        <f>216.289908469481*(1/3.6)</f>
        <v>60.080530130411489</v>
      </c>
      <c r="D1258" s="2">
        <f t="shared" si="41"/>
        <v>0</v>
      </c>
    </row>
    <row r="1259" spans="1:4" x14ac:dyDescent="0.3">
      <c r="A1259" s="2">
        <f>137.893490387138*(1/3.6)</f>
        <v>38.303747329760498</v>
      </c>
      <c r="B1259" s="2">
        <f>272.745099731277*(1/3.6)</f>
        <v>75.762527703132562</v>
      </c>
      <c r="C1259" s="2">
        <f>216.194555951175*(1/3.6)</f>
        <v>60.054043319770749</v>
      </c>
      <c r="D1259" s="2">
        <f t="shared" si="41"/>
        <v>0</v>
      </c>
    </row>
    <row r="1260" spans="1:4" x14ac:dyDescent="0.3">
      <c r="A1260" s="2">
        <f>137.785624990721*(1/3.6)</f>
        <v>38.273784719644773</v>
      </c>
      <c r="B1260" s="2">
        <f>272.472657717688*(1/3.6)</f>
        <v>75.686849366024347</v>
      </c>
      <c r="C1260" s="2">
        <f>215.855369923072*(1/3.6)</f>
        <v>59.959824978631168</v>
      </c>
      <c r="D1260" s="2">
        <f t="shared" si="41"/>
        <v>0</v>
      </c>
    </row>
    <row r="1261" spans="1:4" x14ac:dyDescent="0.3">
      <c r="A1261" s="2">
        <f>137.798282975284*(1/3.6)</f>
        <v>38.277300826467886</v>
      </c>
      <c r="B1261" s="2">
        <f>273.13108019745*(1/3.6)</f>
        <v>75.869744499291585</v>
      </c>
      <c r="C1261" s="2">
        <f>215.850916030981*(1/3.6)</f>
        <v>59.958587786383482</v>
      </c>
      <c r="D1261" s="2">
        <f t="shared" si="41"/>
        <v>0</v>
      </c>
    </row>
    <row r="1262" spans="1:4" x14ac:dyDescent="0.3">
      <c r="A1262" s="2">
        <f>137.281214033115*(1/3.6)</f>
        <v>38.133670564754276</v>
      </c>
      <c r="B1262" s="2">
        <f>271.673962865203*(1/3.6)</f>
        <v>75.464989684778516</v>
      </c>
      <c r="C1262" s="2">
        <f>214.650485389965*(1/3.6)</f>
        <v>59.625134830545932</v>
      </c>
      <c r="D1262" s="2">
        <f t="shared" si="41"/>
        <v>0</v>
      </c>
    </row>
    <row r="1263" spans="1:4" x14ac:dyDescent="0.3">
      <c r="A1263" s="2">
        <f>137.051366084322*(1/3.6)</f>
        <v>38.069823912311563</v>
      </c>
      <c r="B1263" s="2">
        <f>272.107750879392*(1/3.6)</f>
        <v>75.585486355386649</v>
      </c>
      <c r="C1263" s="2">
        <f>214.457366172147*(1/3.6)</f>
        <v>59.571490603374237</v>
      </c>
      <c r="D1263" s="2">
        <f t="shared" si="41"/>
        <v>0</v>
      </c>
    </row>
    <row r="1264" spans="1:4" x14ac:dyDescent="0.3">
      <c r="A1264" s="2">
        <f>137.313696938861*(1/3.6)</f>
        <v>38.142693594127991</v>
      </c>
      <c r="B1264" s="2">
        <f>271.098519921998*(1/3.6)</f>
        <v>75.305144422777175</v>
      </c>
      <c r="C1264" s="2">
        <f>214.466690600224*(1/3.6)</f>
        <v>59.574080722284371</v>
      </c>
      <c r="D1264" s="2">
        <f t="shared" si="41"/>
        <v>0</v>
      </c>
    </row>
    <row r="1265" spans="1:4" x14ac:dyDescent="0.3">
      <c r="A1265" s="2">
        <f>137.269807833705*(1/3.6)</f>
        <v>38.13050217602926</v>
      </c>
      <c r="B1265" s="2">
        <f>271.033385034721*(1/3.6)</f>
        <v>75.287051398533535</v>
      </c>
      <c r="C1265" s="2">
        <f>214.275654528261*(1/3.6)</f>
        <v>59.521015146739231</v>
      </c>
      <c r="D1265" s="2">
        <f t="shared" si="41"/>
        <v>0</v>
      </c>
    </row>
    <row r="1266" spans="1:4" x14ac:dyDescent="0.3">
      <c r="A1266" s="2">
        <f>137.934419506416*(1/3.6)</f>
        <v>38.315116529560079</v>
      </c>
      <c r="B1266" s="2">
        <f>271.783848074707*(1/3.6)</f>
        <v>75.495513354085389</v>
      </c>
      <c r="C1266" s="2">
        <f>214.402034656916*(1/3.6)</f>
        <v>59.55612073803217</v>
      </c>
      <c r="D1266" s="2">
        <f t="shared" si="41"/>
        <v>0</v>
      </c>
    </row>
    <row r="1267" spans="1:4" x14ac:dyDescent="0.3">
      <c r="A1267" s="2">
        <f>137.529436985648*(1/3.6)</f>
        <v>38.202621384902315</v>
      </c>
      <c r="B1267" s="2">
        <f>271.15820972062*(1/3.6)</f>
        <v>75.32172492239448</v>
      </c>
      <c r="C1267" s="2">
        <f>213.953899549752*(1/3.6)</f>
        <v>59.43163876382004</v>
      </c>
      <c r="D1267" s="2">
        <f t="shared" si="41"/>
        <v>0</v>
      </c>
    </row>
    <row r="1268" spans="1:4" x14ac:dyDescent="0.3">
      <c r="A1268" s="2">
        <f>137.49503002798*(1/3.6)</f>
        <v>38.193063896661222</v>
      </c>
      <c r="B1268" s="2">
        <f>270.199318608022*(1/3.6)</f>
        <v>75.055366280006055</v>
      </c>
      <c r="C1268" s="2">
        <f>213.528862041572*(1/3.6)</f>
        <v>59.313572789325569</v>
      </c>
      <c r="D1268" s="2">
        <f t="shared" si="41"/>
        <v>0</v>
      </c>
    </row>
    <row r="1269" spans="1:4" x14ac:dyDescent="0.3">
      <c r="A1269" s="2">
        <f>137.729387329023*(1/3.6)</f>
        <v>38.258163146950693</v>
      </c>
      <c r="B1269" s="2">
        <f>271.350367927682*(1/3.6)</f>
        <v>75.375102202133917</v>
      </c>
      <c r="C1269" s="2">
        <f>213.61080274378*(1/3.6)</f>
        <v>59.336334095494401</v>
      </c>
      <c r="D1269" s="2">
        <f t="shared" si="41"/>
        <v>0</v>
      </c>
    </row>
    <row r="1270" spans="1:4" x14ac:dyDescent="0.3">
      <c r="A1270" s="2">
        <f>137.919137184226*(1/3.6)</f>
        <v>38.310871440062861</v>
      </c>
      <c r="B1270" s="2">
        <f>270.824893009463*(1/3.6)</f>
        <v>75.229136947073044</v>
      </c>
      <c r="C1270" s="2">
        <f>213.33078858288*(1/3.6)</f>
        <v>59.25855238413326</v>
      </c>
      <c r="D1270" s="2">
        <f t="shared" si="41"/>
        <v>0</v>
      </c>
    </row>
    <row r="1271" spans="1:4" x14ac:dyDescent="0.3">
      <c r="A1271" s="2">
        <f>137.993538932182*(1/3.6)</f>
        <v>38.331538592272707</v>
      </c>
      <c r="B1271" s="2">
        <f>270.870063165896*(1/3.6)</f>
        <v>75.241684212748936</v>
      </c>
      <c r="C1271" s="2">
        <f>213.229390421323*(1/3.6)</f>
        <v>59.230386228145193</v>
      </c>
      <c r="D1271" s="2">
        <f t="shared" si="41"/>
        <v>0</v>
      </c>
    </row>
    <row r="1272" spans="1:4" x14ac:dyDescent="0.3">
      <c r="A1272" s="2">
        <f>138.273761747491*(1/3.6)</f>
        <v>38.409378263192032</v>
      </c>
      <c r="B1272" s="2">
        <f>270.744160811455*(1/3.6)</f>
        <v>75.206711336515156</v>
      </c>
      <c r="C1272" s="2">
        <f>213.485882497151*(1/3.6)</f>
        <v>59.30163402698647</v>
      </c>
      <c r="D1272" s="2">
        <f t="shared" si="41"/>
        <v>0</v>
      </c>
    </row>
    <row r="1273" spans="1:4" x14ac:dyDescent="0.3">
      <c r="A1273" s="2">
        <f>137.907675442584*(1/3.6)</f>
        <v>38.307687622939937</v>
      </c>
      <c r="B1273" s="2">
        <f>270.645005540938*(1/3.6)</f>
        <v>75.179168205816154</v>
      </c>
      <c r="C1273" s="2">
        <f>212.835036053568*(1/3.6)</f>
        <v>59.120843348213256</v>
      </c>
      <c r="D1273" s="2">
        <f t="shared" si="41"/>
        <v>0</v>
      </c>
    </row>
    <row r="1274" spans="1:4" x14ac:dyDescent="0.3">
      <c r="A1274" s="2">
        <f>138.228393313043*(1/3.6)</f>
        <v>38.396775920289805</v>
      </c>
      <c r="B1274" s="2">
        <f>270.819904239911*(1/3.6)</f>
        <v>75.227751177753063</v>
      </c>
      <c r="C1274" s="2">
        <f>212.84381728614*(1/3.6)</f>
        <v>59.123282579483373</v>
      </c>
      <c r="D1274" s="2">
        <f t="shared" si="41"/>
        <v>0</v>
      </c>
    </row>
    <row r="1275" spans="1:4" x14ac:dyDescent="0.3">
      <c r="A1275" s="2">
        <f>138.563662006278*(1/3.6)</f>
        <v>38.489906112855074</v>
      </c>
      <c r="B1275" s="2">
        <f>271.486811641045*(1/3.6)</f>
        <v>75.413003233623741</v>
      </c>
      <c r="C1275" s="2">
        <f>212.845805635496*(1/3.6)</f>
        <v>59.123834898748939</v>
      </c>
      <c r="D1275" s="2">
        <f t="shared" si="41"/>
        <v>0</v>
      </c>
    </row>
    <row r="1276" spans="1:4" x14ac:dyDescent="0.3">
      <c r="A1276" s="2">
        <f>138.654120758109*(1/3.6)</f>
        <v>38.515033543919124</v>
      </c>
      <c r="B1276" s="2">
        <f>271.28663302726*(1/3.6)</f>
        <v>75.35739806312786</v>
      </c>
      <c r="C1276" s="2">
        <f>212.457409458856*(1/3.6)</f>
        <v>59.015947071904314</v>
      </c>
      <c r="D1276" s="2">
        <f t="shared" si="41"/>
        <v>0</v>
      </c>
    </row>
    <row r="1277" spans="1:4" x14ac:dyDescent="0.3">
      <c r="A1277" s="2">
        <f>138.042700977007*(1/3.6)</f>
        <v>38.345194715835412</v>
      </c>
      <c r="B1277" s="2">
        <f>271.409761345631*(1/3.6)</f>
        <v>75.391600373786375</v>
      </c>
      <c r="C1277" s="2">
        <f>211.623399539725*(1/3.6)</f>
        <v>58.784277649923567</v>
      </c>
      <c r="D1277" s="2">
        <f t="shared" si="41"/>
        <v>0</v>
      </c>
    </row>
    <row r="1278" spans="1:4" x14ac:dyDescent="0.3">
      <c r="A1278" s="2">
        <f>138.352971217662*(1/3.6)</f>
        <v>38.431380893794945</v>
      </c>
      <c r="B1278" s="2">
        <f>270.978374982642*(1/3.6)</f>
        <v>75.271770828511762</v>
      </c>
      <c r="C1278" s="2">
        <f>211.829706183449*(1/3.6)</f>
        <v>58.841585050958166</v>
      </c>
      <c r="D1278" s="2">
        <f t="shared" si="41"/>
        <v>0</v>
      </c>
    </row>
    <row r="1279" spans="1:4" x14ac:dyDescent="0.3">
      <c r="A1279" s="2">
        <f>138.424846722794*(1/3.6)</f>
        <v>38.451346311887207</v>
      </c>
      <c r="B1279" s="2">
        <f>270.672648232146*(1/3.6)</f>
        <v>75.186846731151547</v>
      </c>
      <c r="C1279" s="2">
        <f>211.72091274048*(1/3.6)</f>
        <v>58.81136465013342</v>
      </c>
      <c r="D1279" s="2">
        <f t="shared" si="41"/>
        <v>0</v>
      </c>
    </row>
    <row r="1280" spans="1:4" x14ac:dyDescent="0.3">
      <c r="A1280" s="2">
        <f>138.544085405463*(1/3.6)</f>
        <v>38.48446816818403</v>
      </c>
      <c r="B1280" s="2">
        <f>271.038666587581*(1/3.6)</f>
        <v>75.28851849655014</v>
      </c>
      <c r="C1280" s="2">
        <f>211.61059881119*(1/3.6)</f>
        <v>58.780721891997246</v>
      </c>
      <c r="D1280" s="2">
        <f t="shared" si="41"/>
        <v>0</v>
      </c>
    </row>
    <row r="1281" spans="1:4" x14ac:dyDescent="0.3">
      <c r="A1281" s="2">
        <f>139.004948402523*(1/3.6)</f>
        <v>38.612485667367594</v>
      </c>
      <c r="B1281" s="2">
        <f>270.925205764598*(1/3.6)</f>
        <v>75.257001601277295</v>
      </c>
      <c r="C1281" s="2">
        <f>211.667346520706*(1/3.6)</f>
        <v>58.796485144640549</v>
      </c>
      <c r="D1281" s="2">
        <f t="shared" si="41"/>
        <v>0</v>
      </c>
    </row>
    <row r="1282" spans="1:4" x14ac:dyDescent="0.3">
      <c r="A1282" s="2">
        <f>138.632352879039*(1/3.6)</f>
        <v>38.508986910844136</v>
      </c>
      <c r="B1282" s="2">
        <f>270.573603296598*(1/3.6)</f>
        <v>75.159334249054893</v>
      </c>
      <c r="C1282" s="2">
        <f>211.264499069492*(1/3.6)</f>
        <v>58.684583074858907</v>
      </c>
      <c r="D1282" s="2">
        <f t="shared" ref="D1282:D1345" si="42">0*(1/3.6)</f>
        <v>0</v>
      </c>
    </row>
    <row r="1283" spans="1:4" x14ac:dyDescent="0.3">
      <c r="A1283" s="2">
        <f>139.20850507257*(1/3.6)</f>
        <v>38.669029186824908</v>
      </c>
      <c r="B1283" s="2">
        <f>270.696031900374*(1/3.6)</f>
        <v>75.19334219454835</v>
      </c>
      <c r="C1283" s="2">
        <f>211.765611573685*(1/3.6)</f>
        <v>58.823780992690402</v>
      </c>
      <c r="D1283" s="2">
        <f t="shared" si="42"/>
        <v>0</v>
      </c>
    </row>
    <row r="1284" spans="1:4" x14ac:dyDescent="0.3">
      <c r="A1284" s="2">
        <f>138.970285664758*(1/3.6)</f>
        <v>38.602857129099377</v>
      </c>
      <c r="B1284" s="2">
        <f>269.806991752235*(1/3.6)</f>
        <v>74.946386597843201</v>
      </c>
      <c r="C1284" s="2">
        <f>211.15430872836*(1/3.6)</f>
        <v>58.653974646766606</v>
      </c>
      <c r="D1284" s="2">
        <f t="shared" si="42"/>
        <v>0</v>
      </c>
    </row>
    <row r="1285" spans="1:4" x14ac:dyDescent="0.3">
      <c r="A1285" s="2">
        <f>139.410477227609*(1/3.6)</f>
        <v>38.725132563224591</v>
      </c>
      <c r="B1285" s="2">
        <f>270.293216044839*(1/3.6)</f>
        <v>75.081448901344046</v>
      </c>
      <c r="C1285" s="2">
        <f>211.362537444822*(1/3.6)</f>
        <v>58.711815956895087</v>
      </c>
      <c r="D1285" s="2">
        <f t="shared" si="42"/>
        <v>0</v>
      </c>
    </row>
    <row r="1286" spans="1:4" x14ac:dyDescent="0.3">
      <c r="A1286" s="2">
        <f>139.5355192706*(1/3.6)</f>
        <v>38.759866464055627</v>
      </c>
      <c r="B1286" s="2">
        <f>270.129147951746*(1/3.6)</f>
        <v>75.03587443104054</v>
      </c>
      <c r="C1286" s="2">
        <f>211.079534812436*(1/3.6)</f>
        <v>58.633204114565658</v>
      </c>
      <c r="D1286" s="2">
        <f t="shared" si="42"/>
        <v>0</v>
      </c>
    </row>
    <row r="1287" spans="1:4" x14ac:dyDescent="0.3">
      <c r="A1287" s="2">
        <f>139.193074323241*(1/3.6)</f>
        <v>38.664742867566822</v>
      </c>
      <c r="B1287" s="2">
        <f>269.530921586502*(1/3.6)</f>
        <v>74.869700440694913</v>
      </c>
      <c r="C1287" s="2">
        <f>210.723972287791*(1/3.6)</f>
        <v>58.534436746608691</v>
      </c>
      <c r="D1287" s="2">
        <f t="shared" si="42"/>
        <v>0</v>
      </c>
    </row>
    <row r="1288" spans="1:4" x14ac:dyDescent="0.3">
      <c r="A1288" s="2">
        <f>139.57050642913*(1/3.6)</f>
        <v>38.769585119202731</v>
      </c>
      <c r="B1288" s="2">
        <f>269.890866681909*(1/3.6)</f>
        <v>74.969685189419067</v>
      </c>
      <c r="C1288" s="2">
        <f>210.619541439085*(1/3.6)</f>
        <v>58.505428177523513</v>
      </c>
      <c r="D1288" s="2">
        <f t="shared" si="42"/>
        <v>0</v>
      </c>
    </row>
    <row r="1289" spans="1:4" x14ac:dyDescent="0.3">
      <c r="A1289" s="2">
        <f>143.71281003482*(1/3.6)</f>
        <v>39.920225009672308</v>
      </c>
      <c r="B1289" s="2">
        <f>273.839989983714*(1/3.6)</f>
        <v>76.066663884365113</v>
      </c>
      <c r="C1289" s="2">
        <f>218.753174542102*(1/3.6)</f>
        <v>60.764770706139572</v>
      </c>
      <c r="D1289" s="2">
        <f t="shared" si="42"/>
        <v>0</v>
      </c>
    </row>
    <row r="1290" spans="1:4" x14ac:dyDescent="0.3">
      <c r="A1290" s="2">
        <f>143.747612560717*(1/3.6)</f>
        <v>39.929892377977069</v>
      </c>
      <c r="B1290" s="2">
        <f>273.593435370884*(1/3.6)</f>
        <v>75.998176491912204</v>
      </c>
      <c r="C1290" s="2">
        <f t="shared" ref="C1290:C1311" si="43">0*(1/3.6)</f>
        <v>0</v>
      </c>
      <c r="D1290" s="2">
        <f t="shared" si="42"/>
        <v>0</v>
      </c>
    </row>
    <row r="1291" spans="1:4" x14ac:dyDescent="0.3">
      <c r="A1291" s="2">
        <f>142.757447408072*(1/3.6)</f>
        <v>39.654846502242208</v>
      </c>
      <c r="B1291" s="2">
        <f>281.283681220142*(1/3.6)</f>
        <v>78.134355894483775</v>
      </c>
      <c r="C1291" s="2">
        <f t="shared" si="43"/>
        <v>0</v>
      </c>
      <c r="D1291" s="2">
        <f t="shared" si="42"/>
        <v>0</v>
      </c>
    </row>
    <row r="1292" spans="1:4" x14ac:dyDescent="0.3">
      <c r="A1292" s="2">
        <f>142.992437606441*(1/3.6)</f>
        <v>39.720121557344648</v>
      </c>
      <c r="B1292" s="2">
        <f>281.406892424127*(1/3.6)</f>
        <v>78.168581228924097</v>
      </c>
      <c r="C1292" s="2">
        <f t="shared" si="43"/>
        <v>0</v>
      </c>
      <c r="D1292" s="2">
        <f t="shared" si="42"/>
        <v>0</v>
      </c>
    </row>
    <row r="1293" spans="1:4" x14ac:dyDescent="0.3">
      <c r="A1293" s="2">
        <f>142.889147646911*(1/3.6)</f>
        <v>39.691429901919861</v>
      </c>
      <c r="B1293" s="2">
        <f>281.123825062656*(1/3.6)</f>
        <v>78.08995140629321</v>
      </c>
      <c r="C1293" s="2">
        <f t="shared" si="43"/>
        <v>0</v>
      </c>
      <c r="D1293" s="2">
        <f t="shared" si="42"/>
        <v>0</v>
      </c>
    </row>
    <row r="1294" spans="1:4" x14ac:dyDescent="0.3">
      <c r="A1294" s="2">
        <f>142.927675947476*(1/3.6)</f>
        <v>39.702132207632168</v>
      </c>
      <c r="B1294" s="2">
        <f>280.038928732098*(1/3.6)</f>
        <v>77.788591314471603</v>
      </c>
      <c r="C1294" s="2">
        <f t="shared" si="43"/>
        <v>0</v>
      </c>
      <c r="D1294" s="2">
        <f t="shared" si="42"/>
        <v>0</v>
      </c>
    </row>
    <row r="1295" spans="1:4" x14ac:dyDescent="0.3">
      <c r="A1295" s="2">
        <f>143.070507835542*(1/3.6)</f>
        <v>39.741807732094962</v>
      </c>
      <c r="B1295" s="2">
        <f>280.184386266949*(1/3.6)</f>
        <v>77.828996185263662</v>
      </c>
      <c r="C1295" s="2">
        <f t="shared" si="43"/>
        <v>0</v>
      </c>
      <c r="D1295" s="2">
        <f t="shared" si="42"/>
        <v>0</v>
      </c>
    </row>
    <row r="1296" spans="1:4" x14ac:dyDescent="0.3">
      <c r="A1296" s="2">
        <f>142.850041748548*(1/3.6)</f>
        <v>39.680567152374564</v>
      </c>
      <c r="B1296" s="2">
        <f>279.741752025017*(1/3.6)</f>
        <v>77.706042229171459</v>
      </c>
      <c r="C1296" s="2">
        <f t="shared" si="43"/>
        <v>0</v>
      </c>
      <c r="D1296" s="2">
        <f t="shared" si="42"/>
        <v>0</v>
      </c>
    </row>
    <row r="1297" spans="1:4" x14ac:dyDescent="0.3">
      <c r="A1297" s="2">
        <f>142.78478542157*(1/3.6)</f>
        <v>39.662440394880541</v>
      </c>
      <c r="B1297" s="2">
        <f>279.847876510995*(1/3.6)</f>
        <v>77.735521253054159</v>
      </c>
      <c r="C1297" s="2">
        <f t="shared" si="43"/>
        <v>0</v>
      </c>
      <c r="D1297" s="2">
        <f t="shared" si="42"/>
        <v>0</v>
      </c>
    </row>
    <row r="1298" spans="1:4" x14ac:dyDescent="0.3">
      <c r="A1298" s="2">
        <f>142.557322019822*(1/3.6)</f>
        <v>39.59925611661717</v>
      </c>
      <c r="B1298" s="2">
        <f>279.341030471283*(1/3.6)</f>
        <v>77.5947306864675</v>
      </c>
      <c r="C1298" s="2">
        <f t="shared" si="43"/>
        <v>0</v>
      </c>
      <c r="D1298" s="2">
        <f t="shared" si="42"/>
        <v>0</v>
      </c>
    </row>
    <row r="1299" spans="1:4" x14ac:dyDescent="0.3">
      <c r="A1299" s="2">
        <f>142.863319198439*(1/3.6)</f>
        <v>39.684255332899738</v>
      </c>
      <c r="B1299" s="2">
        <f>279.521783623672*(1/3.6)</f>
        <v>77.64493989546439</v>
      </c>
      <c r="C1299" s="2">
        <f t="shared" si="43"/>
        <v>0</v>
      </c>
      <c r="D1299" s="2">
        <f t="shared" si="42"/>
        <v>0</v>
      </c>
    </row>
    <row r="1300" spans="1:4" x14ac:dyDescent="0.3">
      <c r="A1300" s="2">
        <f>142.992734761452*(1/3.6)</f>
        <v>39.720204100403208</v>
      </c>
      <c r="B1300" s="2">
        <f>279.348672863334*(1/3.6)</f>
        <v>77.596853573148252</v>
      </c>
      <c r="C1300" s="2">
        <f t="shared" si="43"/>
        <v>0</v>
      </c>
      <c r="D1300" s="2">
        <f t="shared" si="42"/>
        <v>0</v>
      </c>
    </row>
    <row r="1301" spans="1:4" x14ac:dyDescent="0.3">
      <c r="A1301" s="2">
        <f>142.899942233501*(1/3.6)</f>
        <v>39.694428398194788</v>
      </c>
      <c r="B1301" s="2">
        <f>278.592264962601*(1/3.6)</f>
        <v>77.386740267389229</v>
      </c>
      <c r="C1301" s="2">
        <f t="shared" si="43"/>
        <v>0</v>
      </c>
      <c r="D1301" s="2">
        <f t="shared" si="42"/>
        <v>0</v>
      </c>
    </row>
    <row r="1302" spans="1:4" x14ac:dyDescent="0.3">
      <c r="A1302" s="2">
        <f>142.713921383306*(1/3.6)</f>
        <v>39.642755939807358</v>
      </c>
      <c r="B1302" s="2">
        <f>278.578916974216*(1/3.6)</f>
        <v>77.383032492837771</v>
      </c>
      <c r="C1302" s="2">
        <f t="shared" si="43"/>
        <v>0</v>
      </c>
      <c r="D1302" s="2">
        <f t="shared" si="42"/>
        <v>0</v>
      </c>
    </row>
    <row r="1303" spans="1:4" x14ac:dyDescent="0.3">
      <c r="A1303" s="2">
        <f>142.892018315223*(1/3.6)</f>
        <v>39.692227309784101</v>
      </c>
      <c r="B1303" s="2">
        <f>278.777308860306*(1/3.6)</f>
        <v>77.438141350085061</v>
      </c>
      <c r="C1303" s="2">
        <f t="shared" si="43"/>
        <v>0</v>
      </c>
      <c r="D1303" s="2">
        <f t="shared" si="42"/>
        <v>0</v>
      </c>
    </row>
    <row r="1304" spans="1:4" x14ac:dyDescent="0.3">
      <c r="A1304" s="2">
        <f>142.842551900088*(1/3.6)</f>
        <v>39.67848663891337</v>
      </c>
      <c r="B1304" s="2">
        <f>278.358247185707*(1/3.6)</f>
        <v>77.321735329363094</v>
      </c>
      <c r="C1304" s="2">
        <f t="shared" si="43"/>
        <v>0</v>
      </c>
      <c r="D1304" s="2">
        <f t="shared" si="42"/>
        <v>0</v>
      </c>
    </row>
    <row r="1305" spans="1:4" x14ac:dyDescent="0.3">
      <c r="A1305" s="2">
        <f>142.534612857352*(1/3.6)</f>
        <v>39.592948015930972</v>
      </c>
      <c r="B1305" s="2">
        <f>277.806013440085*(1/3.6)</f>
        <v>77.168337066690171</v>
      </c>
      <c r="C1305" s="2">
        <f t="shared" si="43"/>
        <v>0</v>
      </c>
      <c r="D1305" s="2">
        <f t="shared" si="42"/>
        <v>0</v>
      </c>
    </row>
    <row r="1306" spans="1:4" x14ac:dyDescent="0.3">
      <c r="A1306" s="2">
        <f>142.514582968308*(1/3.6)</f>
        <v>39.587384157863283</v>
      </c>
      <c r="B1306" s="2">
        <f>277.563749344793*(1/3.6)</f>
        <v>77.101041484664663</v>
      </c>
      <c r="C1306" s="2">
        <f t="shared" si="43"/>
        <v>0</v>
      </c>
      <c r="D1306" s="2">
        <f t="shared" si="42"/>
        <v>0</v>
      </c>
    </row>
    <row r="1307" spans="1:4" x14ac:dyDescent="0.3">
      <c r="A1307" s="2">
        <f>142.510631145582*(1/3.6)</f>
        <v>39.586286429328283</v>
      </c>
      <c r="B1307" s="2">
        <f>277.309957437437*(1/3.6)</f>
        <v>77.030543732621396</v>
      </c>
      <c r="C1307" s="2">
        <f t="shared" si="43"/>
        <v>0</v>
      </c>
      <c r="D1307" s="2">
        <f t="shared" si="42"/>
        <v>0</v>
      </c>
    </row>
    <row r="1308" spans="1:4" x14ac:dyDescent="0.3">
      <c r="A1308" s="2">
        <f>142.972473093304*(1/3.6)</f>
        <v>39.714575859251227</v>
      </c>
      <c r="B1308" s="2" t="e">
        <v>#NUM!</v>
      </c>
      <c r="C1308" s="2">
        <f t="shared" si="43"/>
        <v>0</v>
      </c>
      <c r="D1308" s="2">
        <f t="shared" si="42"/>
        <v>0</v>
      </c>
    </row>
    <row r="1309" spans="1:4" x14ac:dyDescent="0.3">
      <c r="A1309" s="2">
        <f>142.68622300391*(1/3.6)</f>
        <v>39.63506194553063</v>
      </c>
      <c r="B1309" s="2">
        <f>277.055733284627*(1/3.6)</f>
        <v>76.959925912396372</v>
      </c>
      <c r="C1309" s="2">
        <f t="shared" si="43"/>
        <v>0</v>
      </c>
      <c r="D1309" s="2">
        <f t="shared" si="42"/>
        <v>0</v>
      </c>
    </row>
    <row r="1310" spans="1:4" x14ac:dyDescent="0.3">
      <c r="A1310" s="2">
        <f>142.633624279024*(1/3.6)</f>
        <v>39.620451188617643</v>
      </c>
      <c r="B1310" s="2">
        <f>276.821320855044*(1/3.6)</f>
        <v>76.894811348623435</v>
      </c>
      <c r="C1310" s="2">
        <f t="shared" si="43"/>
        <v>0</v>
      </c>
      <c r="D1310" s="2">
        <f t="shared" si="42"/>
        <v>0</v>
      </c>
    </row>
    <row r="1311" spans="1:4" x14ac:dyDescent="0.3">
      <c r="A1311" s="2">
        <f>142.678309181226*(1/3.6)</f>
        <v>39.632863661451566</v>
      </c>
      <c r="B1311" s="2">
        <f>276.201893099349*(1/3.6)</f>
        <v>76.722748083152368</v>
      </c>
      <c r="C1311" s="2">
        <f t="shared" si="43"/>
        <v>0</v>
      </c>
      <c r="D1311" s="2">
        <f t="shared" si="42"/>
        <v>0</v>
      </c>
    </row>
    <row r="1312" spans="1:4" x14ac:dyDescent="0.3">
      <c r="A1312" s="2">
        <f>130.485431933271*(1/3.6)</f>
        <v>36.245953314797532</v>
      </c>
      <c r="B1312" s="2">
        <f>259.261733767653*(1/3.6)</f>
        <v>72.017148268792525</v>
      </c>
      <c r="C1312" s="2">
        <f>189.489597703903*(1/3.6)</f>
        <v>52.635999362195371</v>
      </c>
      <c r="D1312" s="2">
        <f t="shared" si="42"/>
        <v>0</v>
      </c>
    </row>
    <row r="1313" spans="1:4" x14ac:dyDescent="0.3">
      <c r="A1313" s="2">
        <f>134.509723634038*(1/3.6)</f>
        <v>37.36381212056606</v>
      </c>
      <c r="B1313" s="2">
        <f>199.757383590084*(1/3.6)</f>
        <v>55.488162108356605</v>
      </c>
      <c r="C1313" s="2">
        <f>192.594123377991*(1/3.6)</f>
        <v>53.498367604997526</v>
      </c>
      <c r="D1313" s="2">
        <f t="shared" si="42"/>
        <v>0</v>
      </c>
    </row>
    <row r="1314" spans="1:4" x14ac:dyDescent="0.3">
      <c r="A1314" s="2">
        <f>142.399684830092*(1/3.6)</f>
        <v>39.555468008358879</v>
      </c>
      <c r="B1314" s="2">
        <f>273.380638536094*(1/3.6)</f>
        <v>75.939066260025996</v>
      </c>
      <c r="C1314" s="2">
        <f>241.142824141309*(1/3.6)</f>
        <v>66.984117817030324</v>
      </c>
      <c r="D1314" s="2">
        <f t="shared" si="42"/>
        <v>0</v>
      </c>
    </row>
    <row r="1315" spans="1:4" x14ac:dyDescent="0.3">
      <c r="A1315" s="2">
        <f>133.477361658975*(1/3.6)</f>
        <v>37.077044905270824</v>
      </c>
      <c r="B1315" s="2">
        <f>202.978543363042*(1/3.6)</f>
        <v>56.382928711956176</v>
      </c>
      <c r="C1315" s="2">
        <f>289.093821990276*(1/3.6)</f>
        <v>80.303839441743264</v>
      </c>
      <c r="D1315" s="2">
        <f t="shared" si="42"/>
        <v>0</v>
      </c>
    </row>
    <row r="1316" spans="1:4" x14ac:dyDescent="0.3">
      <c r="A1316" s="2">
        <f>133.473659507711*(1/3.6)</f>
        <v>37.076016529919812</v>
      </c>
      <c r="B1316" s="2">
        <f>192.61213111523*(1/3.6)</f>
        <v>53.503369754230526</v>
      </c>
      <c r="C1316" s="2">
        <f>288.802304540723*(1/3.6)</f>
        <v>80.222862372423066</v>
      </c>
      <c r="D1316" s="2">
        <f t="shared" si="42"/>
        <v>0</v>
      </c>
    </row>
    <row r="1317" spans="1:4" x14ac:dyDescent="0.3">
      <c r="A1317" s="2">
        <f>133.671783434936*(1/3.6)</f>
        <v>37.131050954148925</v>
      </c>
      <c r="B1317" s="2">
        <f>193.678236316298*(1/3.6)</f>
        <v>53.799510087860604</v>
      </c>
      <c r="C1317" s="2">
        <f>288.350357284926*(1/3.6)</f>
        <v>80.097321468035034</v>
      </c>
      <c r="D1317" s="2">
        <f t="shared" si="42"/>
        <v>0</v>
      </c>
    </row>
    <row r="1318" spans="1:4" x14ac:dyDescent="0.3">
      <c r="A1318" s="2">
        <f>133.963101399594*(1/3.6)</f>
        <v>37.211972610998387</v>
      </c>
      <c r="B1318" s="2">
        <f>195.199384094359*(1/3.6)</f>
        <v>54.222051137322062</v>
      </c>
      <c r="C1318" s="2">
        <f>288.276253628915*(1/3.6)</f>
        <v>80.076737119143132</v>
      </c>
      <c r="D1318" s="2">
        <f t="shared" si="42"/>
        <v>0</v>
      </c>
    </row>
    <row r="1319" spans="1:4" x14ac:dyDescent="0.3">
      <c r="A1319" s="2">
        <f>134.050549677909*(1/3.6)</f>
        <v>37.236263799419049</v>
      </c>
      <c r="B1319" s="2">
        <f>200.751375929086*(1/3.6)</f>
        <v>55.764271091412695</v>
      </c>
      <c r="C1319" s="2">
        <f>287.295374351285*(1/3.6)</f>
        <v>79.804270653134708</v>
      </c>
      <c r="D1319" s="2">
        <f t="shared" si="42"/>
        <v>0</v>
      </c>
    </row>
    <row r="1320" spans="1:4" x14ac:dyDescent="0.3">
      <c r="A1320" s="2">
        <f>133.898003145146*(1/3.6)</f>
        <v>37.193889762540636</v>
      </c>
      <c r="B1320" s="2">
        <f>200.681966033678*(1/3.6)</f>
        <v>55.744990564910587</v>
      </c>
      <c r="C1320" s="2">
        <f>288.015562342611*(1/3.6)</f>
        <v>80.004322872947427</v>
      </c>
      <c r="D1320" s="2">
        <f t="shared" si="42"/>
        <v>0</v>
      </c>
    </row>
    <row r="1321" spans="1:4" x14ac:dyDescent="0.3">
      <c r="A1321" s="2">
        <f>134.197797445502*(1/3.6)</f>
        <v>37.277165957083874</v>
      </c>
      <c r="B1321" s="2">
        <f>204.73841173079*(1/3.6)</f>
        <v>56.87178103633066</v>
      </c>
      <c r="C1321" s="2">
        <f>287.383033411747*(1/3.6)</f>
        <v>79.828620392151848</v>
      </c>
      <c r="D1321" s="2">
        <f t="shared" si="42"/>
        <v>0</v>
      </c>
    </row>
    <row r="1322" spans="1:4" x14ac:dyDescent="0.3">
      <c r="A1322" s="2">
        <f>134.031736350408*(1/3.6)</f>
        <v>37.231037875113273</v>
      </c>
      <c r="B1322" s="2">
        <f>196.121389196852*(1/3.6)</f>
        <v>54.478163665792259</v>
      </c>
      <c r="C1322" s="2">
        <f>287.183489940465*(1/3.6)</f>
        <v>79.773191650129064</v>
      </c>
      <c r="D1322" s="2">
        <f t="shared" si="42"/>
        <v>0</v>
      </c>
    </row>
    <row r="1323" spans="1:4" x14ac:dyDescent="0.3">
      <c r="A1323" s="2">
        <f>134.235356902985*(1/3.6)</f>
        <v>37.287599139718004</v>
      </c>
      <c r="B1323" s="2">
        <f>195.003929106732*(1/3.6)</f>
        <v>54.167758085203275</v>
      </c>
      <c r="C1323" s="2">
        <f>287.25471455988*(1/3.6)</f>
        <v>79.792976266633275</v>
      </c>
      <c r="D1323" s="2">
        <f t="shared" si="42"/>
        <v>0</v>
      </c>
    </row>
    <row r="1324" spans="1:4" x14ac:dyDescent="0.3">
      <c r="A1324" s="2">
        <f>134.329019916871*(1/3.6)</f>
        <v>37.313616643575294</v>
      </c>
      <c r="B1324" s="2">
        <f>201.031217481931*(1/3.6)</f>
        <v>55.842004856092039</v>
      </c>
      <c r="C1324" s="2">
        <f>286.761587878035*(1/3.6)</f>
        <v>79.655996632787463</v>
      </c>
      <c r="D1324" s="2">
        <f t="shared" si="42"/>
        <v>0</v>
      </c>
    </row>
    <row r="1325" spans="1:4" x14ac:dyDescent="0.3">
      <c r="A1325" s="2">
        <f>132.168313900241*(1/3.6)</f>
        <v>36.713420527844775</v>
      </c>
      <c r="B1325" s="2">
        <f>231.892557094598*(1/3.6)</f>
        <v>64.414599192943768</v>
      </c>
      <c r="C1325" s="2">
        <f>282.766825015001*(1/3.6)</f>
        <v>78.546340281944708</v>
      </c>
      <c r="D1325" s="2">
        <f t="shared" si="42"/>
        <v>0</v>
      </c>
    </row>
    <row r="1326" spans="1:4" x14ac:dyDescent="0.3">
      <c r="A1326" s="2">
        <f>132.164647039907*(1/3.6)</f>
        <v>36.7124019555296</v>
      </c>
      <c r="B1326" s="2">
        <f>232.938303870586*(1/3.6)</f>
        <v>64.705084408496191</v>
      </c>
      <c r="C1326" s="2">
        <f>282.9918199593*(1/3.6)</f>
        <v>78.608838877583437</v>
      </c>
      <c r="D1326" s="2">
        <f t="shared" si="42"/>
        <v>0</v>
      </c>
    </row>
    <row r="1327" spans="1:4" x14ac:dyDescent="0.3">
      <c r="A1327" s="2">
        <f>131.901355037844*(1/3.6)</f>
        <v>36.639265288289934</v>
      </c>
      <c r="B1327" s="2">
        <f>234.37191546516*(1/3.6)</f>
        <v>65.10330985143321</v>
      </c>
      <c r="C1327" s="2">
        <f>282.509195797549*(1/3.6)</f>
        <v>78.474776610430325</v>
      </c>
      <c r="D1327" s="2">
        <f t="shared" si="42"/>
        <v>0</v>
      </c>
    </row>
    <row r="1328" spans="1:4" x14ac:dyDescent="0.3">
      <c r="A1328" s="2">
        <f>132.645728043598*(1/3.6)</f>
        <v>36.846035567666121</v>
      </c>
      <c r="B1328" s="2">
        <f>234.664541962499*(1/3.6)</f>
        <v>65.184594989582934</v>
      </c>
      <c r="C1328" s="2">
        <f>282.379305749821*(1/3.6)</f>
        <v>78.438696041617021</v>
      </c>
      <c r="D1328" s="2">
        <f t="shared" si="42"/>
        <v>0</v>
      </c>
    </row>
    <row r="1329" spans="1:4" x14ac:dyDescent="0.3">
      <c r="A1329" s="2">
        <f>132.29328823324*(1/3.6)</f>
        <v>36.748135620344371</v>
      </c>
      <c r="B1329" s="2">
        <f>288.038549674465*(1/3.6)</f>
        <v>80.010708242906901</v>
      </c>
      <c r="C1329" s="2">
        <f>281.19021645027*(1/3.6)</f>
        <v>78.108393458408344</v>
      </c>
      <c r="D1329" s="2">
        <f t="shared" si="42"/>
        <v>0</v>
      </c>
    </row>
    <row r="1330" spans="1:4" x14ac:dyDescent="0.3">
      <c r="A1330" s="2">
        <f>132.407828920478*(1/3.6)</f>
        <v>36.779952477910648</v>
      </c>
      <c r="B1330" s="2">
        <f>291.668856483114*(1/3.6)</f>
        <v>81.019126800864981</v>
      </c>
      <c r="C1330" s="2">
        <f>280.856642855301*(1/3.6)</f>
        <v>78.015734126472609</v>
      </c>
      <c r="D1330" s="2">
        <f t="shared" si="42"/>
        <v>0</v>
      </c>
    </row>
    <row r="1331" spans="1:4" x14ac:dyDescent="0.3">
      <c r="A1331" s="2">
        <f>132.404154905414*(1/3.6)</f>
        <v>36.778931918170422</v>
      </c>
      <c r="B1331" s="2">
        <f>293.661714508446*(1/3.6)</f>
        <v>81.572698474568298</v>
      </c>
      <c r="C1331" s="2">
        <f>280.929441767508*(1/3.6)</f>
        <v>78.035956046529932</v>
      </c>
      <c r="D1331" s="2">
        <f t="shared" si="42"/>
        <v>0</v>
      </c>
    </row>
    <row r="1332" spans="1:4" x14ac:dyDescent="0.3">
      <c r="A1332" s="2">
        <f>132.606897907145*(1/3.6)</f>
        <v>36.835249418651294</v>
      </c>
      <c r="B1332" s="2">
        <f>293.419951296721*(1/3.6)</f>
        <v>81.505542026866948</v>
      </c>
      <c r="C1332" s="2">
        <f>280.71515227191*(1/3.6)</f>
        <v>77.976431186641562</v>
      </c>
      <c r="D1332" s="2">
        <f t="shared" si="42"/>
        <v>0</v>
      </c>
    </row>
    <row r="1333" spans="1:4" x14ac:dyDescent="0.3">
      <c r="A1333" s="2">
        <f>132.396806875284*(1/3.6)</f>
        <v>36.776890798689976</v>
      </c>
      <c r="B1333" s="2">
        <f>293.178188084996*(1/3.6)</f>
        <v>81.438385579165612</v>
      </c>
      <c r="C1333" s="2">
        <f>280.656738575302*(1/3.6)</f>
        <v>77.96020515980598</v>
      </c>
      <c r="D1333" s="2">
        <f t="shared" si="42"/>
        <v>0</v>
      </c>
    </row>
    <row r="1334" spans="1:4" x14ac:dyDescent="0.3">
      <c r="A1334" s="2">
        <f>132.406910193291*(1/3.6)</f>
        <v>36.779697275914174</v>
      </c>
      <c r="B1334" s="2">
        <f>292.936424873271*(1/3.6)</f>
        <v>81.371229131464261</v>
      </c>
      <c r="C1334" s="2">
        <f>280.206840275016*(1/3.6)</f>
        <v>77.835233409726712</v>
      </c>
      <c r="D1334" s="2">
        <f t="shared" si="42"/>
        <v>0</v>
      </c>
    </row>
    <row r="1335" spans="1:4" x14ac:dyDescent="0.3">
      <c r="A1335" s="2">
        <f>132.645520760513*(1/3.6)</f>
        <v>36.845977989031425</v>
      </c>
      <c r="B1335" s="2">
        <f>292.694661661546*(1/3.6)</f>
        <v>81.304072683762911</v>
      </c>
      <c r="C1335" s="2">
        <f>279.402518908662*(1/3.6)</f>
        <v>77.61181080796166</v>
      </c>
      <c r="D1335" s="2">
        <f t="shared" si="42"/>
        <v>0</v>
      </c>
    </row>
    <row r="1336" spans="1:4" x14ac:dyDescent="0.3">
      <c r="A1336" s="2">
        <f>132.127978436561*(1/3.6)</f>
        <v>36.702216232377943</v>
      </c>
      <c r="B1336" s="2">
        <f>292.452898449822*(1/3.6)</f>
        <v>81.236916236061575</v>
      </c>
      <c r="C1336" s="2">
        <f>279.034007080957*(1/3.6)</f>
        <v>77.509446411376814</v>
      </c>
      <c r="D1336" s="2">
        <f t="shared" si="42"/>
        <v>0</v>
      </c>
    </row>
    <row r="1337" spans="1:4" x14ac:dyDescent="0.3">
      <c r="A1337" s="2">
        <f>132.638158518144*(1/3.6)</f>
        <v>36.843932921706731</v>
      </c>
      <c r="B1337" s="2">
        <f>292.211135238097*(1/3.6)</f>
        <v>81.169759788360224</v>
      </c>
      <c r="C1337" s="2">
        <f>279.440723061408*(1/3.6)</f>
        <v>77.622423072613273</v>
      </c>
      <c r="D1337" s="2">
        <f t="shared" si="42"/>
        <v>0</v>
      </c>
    </row>
    <row r="1338" spans="1:4" x14ac:dyDescent="0.3">
      <c r="A1338" s="2">
        <f>132.63447739696*(1/3.6)</f>
        <v>36.84291038804438</v>
      </c>
      <c r="B1338" s="2">
        <f>291.969372026372*(1/3.6)</f>
        <v>81.102603340658874</v>
      </c>
      <c r="C1338" s="2">
        <f>278.854655673202*(1/3.6)</f>
        <v>77.459626575889558</v>
      </c>
      <c r="D1338" s="2">
        <f t="shared" si="42"/>
        <v>0</v>
      </c>
    </row>
    <row r="1339" spans="1:4" x14ac:dyDescent="0.3">
      <c r="A1339" s="2">
        <f>132.885097240008*(1/3.6)</f>
        <v>36.912527011113347</v>
      </c>
      <c r="B1339" s="2">
        <f>291.727608814647*(1/3.6)</f>
        <v>81.035446892957538</v>
      </c>
      <c r="C1339" s="2">
        <f>279.112818600429*(1/3.6)</f>
        <v>77.53133850011929</v>
      </c>
      <c r="D1339" s="2">
        <f t="shared" si="42"/>
        <v>0</v>
      </c>
    </row>
    <row r="1340" spans="1:4" x14ac:dyDescent="0.3">
      <c r="A1340" s="2">
        <f>132.399398371868*(1/3.6)</f>
        <v>36.777610658852332</v>
      </c>
      <c r="B1340" s="2">
        <f>291.485845602922*(1/3.6)</f>
        <v>80.968290445256187</v>
      </c>
      <c r="C1340" s="2">
        <f>277.958852659124*(1/3.6)</f>
        <v>77.210792405312176</v>
      </c>
      <c r="D1340" s="2">
        <f t="shared" si="42"/>
        <v>0</v>
      </c>
    </row>
    <row r="1341" spans="1:4" x14ac:dyDescent="0.3">
      <c r="A1341" s="2">
        <f>132.367414754765*(1/3.6)</f>
        <v>36.768726320768195</v>
      </c>
      <c r="B1341" s="2">
        <f>291.244082391197*(1/3.6)</f>
        <v>80.901133997554837</v>
      </c>
      <c r="C1341" s="2">
        <f>277.47321681069*(1/3.6)</f>
        <v>77.075893558525109</v>
      </c>
      <c r="D1341" s="2">
        <f t="shared" si="42"/>
        <v>0</v>
      </c>
    </row>
    <row r="1342" spans="1:4" x14ac:dyDescent="0.3">
      <c r="A1342" s="2">
        <f>133.02346741661*(1/3.6)</f>
        <v>36.950963171280563</v>
      </c>
      <c r="B1342" s="2">
        <f>291.002319179473*(1/3.6)</f>
        <v>80.8339775498535</v>
      </c>
      <c r="C1342" s="2">
        <f>276.759002478766*(1/3.6)</f>
        <v>76.87750068854605</v>
      </c>
      <c r="D1342" s="2">
        <f t="shared" si="42"/>
        <v>0</v>
      </c>
    </row>
    <row r="1343" spans="1:4" x14ac:dyDescent="0.3">
      <c r="A1343" s="2">
        <f>132.616071791038*(1/3.6)</f>
        <v>36.837797719732642</v>
      </c>
      <c r="B1343" s="2">
        <f>290.760555967748*(1/3.6)</f>
        <v>80.76682110215215</v>
      </c>
      <c r="C1343" s="2">
        <f>276.501945113823*(1/3.6)</f>
        <v>76.806095864950933</v>
      </c>
      <c r="D1343" s="2">
        <f t="shared" si="42"/>
        <v>0</v>
      </c>
    </row>
    <row r="1344" spans="1:4" x14ac:dyDescent="0.3">
      <c r="A1344" s="2">
        <f>132.612390669853*(1/3.6)</f>
        <v>36.836775186070298</v>
      </c>
      <c r="B1344" s="2">
        <f>290.518792756023*(1/3.6)</f>
        <v>80.6996646544508</v>
      </c>
      <c r="C1344" s="2">
        <f>275.907813590247*(1/3.6)</f>
        <v>76.641059330624145</v>
      </c>
      <c r="D1344" s="2">
        <f t="shared" si="42"/>
        <v>0</v>
      </c>
    </row>
    <row r="1345" spans="1:4" x14ac:dyDescent="0.3">
      <c r="A1345" s="2">
        <f>132.736191019127*(1/3.6)</f>
        <v>36.871164171979679</v>
      </c>
      <c r="B1345" s="2">
        <f>288.871714098657*(1/3.6)</f>
        <v>80.242142805182496</v>
      </c>
      <c r="C1345" s="2">
        <f>275.921400819508*(1/3.6)</f>
        <v>76.644833560974348</v>
      </c>
      <c r="D1345" s="2">
        <f t="shared" si="42"/>
        <v>0</v>
      </c>
    </row>
    <row r="1346" spans="1:4" x14ac:dyDescent="0.3">
      <c r="A1346" s="2">
        <f>133.323138252241*(1/3.6)</f>
        <v>37.034205070066882</v>
      </c>
      <c r="B1346" s="2">
        <f>289.260278389328*(1/3.6)</f>
        <v>80.350077330368975</v>
      </c>
      <c r="C1346" s="2">
        <f>275.467875897604*(1/3.6)</f>
        <v>76.518854416000977</v>
      </c>
      <c r="D1346" s="2">
        <f t="shared" ref="D1346:D1409" si="44">0*(1/3.6)</f>
        <v>0</v>
      </c>
    </row>
    <row r="1347" spans="1:4" x14ac:dyDescent="0.3">
      <c r="A1347" s="2">
        <f>133.013573776118*(1/3.6)</f>
        <v>36.948214937810612</v>
      </c>
      <c r="B1347" s="2">
        <f>289.218257046925*(1/3.6)</f>
        <v>80.338404735256958</v>
      </c>
      <c r="C1347" s="2">
        <f>275.222557215859*(1/3.6)</f>
        <v>76.450710337738528</v>
      </c>
      <c r="D1347" s="2">
        <f t="shared" si="44"/>
        <v>0</v>
      </c>
    </row>
    <row r="1348" spans="1:4" x14ac:dyDescent="0.3">
      <c r="A1348" s="2">
        <f>133.062533026738*(1/3.6)</f>
        <v>36.961814729649362</v>
      </c>
      <c r="B1348" s="2">
        <f>287.298975025189*(1/3.6)</f>
        <v>79.805270840330252</v>
      </c>
      <c r="C1348" s="2">
        <f>274.073765871656*(1/3.6)</f>
        <v>76.131601631015542</v>
      </c>
      <c r="D1348" s="2">
        <f t="shared" si="44"/>
        <v>0</v>
      </c>
    </row>
    <row r="1349" spans="1:4" x14ac:dyDescent="0.3">
      <c r="A1349" s="2">
        <f>133.351488516011*(1/3.6)</f>
        <v>37.042080143336527</v>
      </c>
      <c r="B1349" s="2">
        <f>286.53895961418*(1/3.6)</f>
        <v>79.594155448383319</v>
      </c>
      <c r="C1349" s="2">
        <f>274.2489395634*(1/3.6)</f>
        <v>76.180260989833414</v>
      </c>
      <c r="D1349" s="2">
        <f t="shared" si="44"/>
        <v>0</v>
      </c>
    </row>
    <row r="1350" spans="1:4" x14ac:dyDescent="0.3">
      <c r="A1350" s="2">
        <f>133.244766207838*(1/3.6)</f>
        <v>37.012435057732738</v>
      </c>
      <c r="B1350" s="2">
        <f>286.270050126635*(1/3.6)</f>
        <v>79.51945836850976</v>
      </c>
      <c r="C1350" s="2">
        <f>274.247644681151*(1/3.6)</f>
        <v>76.179901300319628</v>
      </c>
      <c r="D1350" s="2">
        <f t="shared" si="44"/>
        <v>0</v>
      </c>
    </row>
    <row r="1351" spans="1:4" x14ac:dyDescent="0.3">
      <c r="A1351" s="2">
        <f>133.062927268619*(1/3.6)</f>
        <v>36.961924241282965</v>
      </c>
      <c r="B1351" s="2">
        <f>288.737064135368*(1/3.6)</f>
        <v>80.204740037602207</v>
      </c>
      <c r="C1351" s="2">
        <f>274.159985584353*(1/3.6)</f>
        <v>76.155551551209186</v>
      </c>
      <c r="D1351" s="2">
        <f t="shared" si="44"/>
        <v>0</v>
      </c>
    </row>
    <row r="1352" spans="1:4" x14ac:dyDescent="0.3">
      <c r="A1352" s="2">
        <f>133.540829069151*(1/3.6)</f>
        <v>37.094674741430929</v>
      </c>
      <c r="B1352" s="2">
        <f>285.46797842934*(1/3.6)</f>
        <v>79.296660674816707</v>
      </c>
      <c r="C1352" s="2">
        <f>273.389135786235*(1/3.6)</f>
        <v>75.941426607287369</v>
      </c>
      <c r="D1352" s="2">
        <f t="shared" si="44"/>
        <v>0</v>
      </c>
    </row>
    <row r="1353" spans="1:4" x14ac:dyDescent="0.3">
      <c r="A1353" s="2">
        <f>133.336679910957*(1/3.6)</f>
        <v>37.037966641932492</v>
      </c>
      <c r="B1353" s="2">
        <f>286.877119712971*(1/3.6)</f>
        <v>79.6880888091587</v>
      </c>
      <c r="C1353" s="2">
        <f>273.38069023306*(1/3.6)</f>
        <v>75.939080620294419</v>
      </c>
      <c r="D1353" s="2">
        <f t="shared" si="44"/>
        <v>0</v>
      </c>
    </row>
    <row r="1354" spans="1:4" x14ac:dyDescent="0.3">
      <c r="A1354" s="2">
        <f>133.582006410558*(1/3.6)</f>
        <v>37.10611289182178</v>
      </c>
      <c r="B1354" s="2">
        <f>286.95483722896*(1/3.6)</f>
        <v>79.709677008044338</v>
      </c>
      <c r="C1354" s="2">
        <f>272.754491107315*(1/3.6)</f>
        <v>75.76513641869866</v>
      </c>
      <c r="D1354" s="2">
        <f t="shared" si="44"/>
        <v>0</v>
      </c>
    </row>
    <row r="1355" spans="1:4" x14ac:dyDescent="0.3">
      <c r="A1355" s="2">
        <f>134.049920502278*(1/3.6)</f>
        <v>37.236089028410682</v>
      </c>
      <c r="B1355" s="2">
        <f>285.960224645156*(1/3.6)</f>
        <v>79.433395734765568</v>
      </c>
      <c r="C1355" s="2">
        <f>273.247284735414*(1/3.6)</f>
        <v>75.902023537614937</v>
      </c>
      <c r="D1355" s="2">
        <f t="shared" si="44"/>
        <v>0</v>
      </c>
    </row>
    <row r="1356" spans="1:4" x14ac:dyDescent="0.3">
      <c r="A1356" s="2">
        <f>134.067501093122*(1/3.6)</f>
        <v>37.240972525867221</v>
      </c>
      <c r="B1356" s="2">
        <f>285.97816570567*(1/3.6)</f>
        <v>79.438379362686049</v>
      </c>
      <c r="C1356" s="2">
        <f>273.091901922857*(1/3.6)</f>
        <v>75.858861645238164</v>
      </c>
      <c r="D1356" s="2">
        <f t="shared" si="44"/>
        <v>0</v>
      </c>
    </row>
    <row r="1357" spans="1:4" x14ac:dyDescent="0.3">
      <c r="A1357" s="2">
        <f>133.876769592137*(1/3.6)</f>
        <v>37.18799155337129</v>
      </c>
      <c r="B1357" s="2">
        <f>284.435663982589*(1/3.6)</f>
        <v>79.009906661830343</v>
      </c>
      <c r="C1357" s="2">
        <f>272.48846680195*(1/3.6)</f>
        <v>75.691240778319425</v>
      </c>
      <c r="D1357" s="2">
        <f t="shared" si="44"/>
        <v>0</v>
      </c>
    </row>
    <row r="1358" spans="1:4" x14ac:dyDescent="0.3">
      <c r="A1358" s="2">
        <f>116.175530973504*(1/3.6)</f>
        <v>32.270980825973346</v>
      </c>
      <c r="B1358" s="2">
        <f>290.585632653948*(1/3.6)</f>
        <v>80.718231292763207</v>
      </c>
      <c r="C1358" s="2">
        <f>278.465768493272*(1/3.6)</f>
        <v>77.351602359242349</v>
      </c>
      <c r="D1358" s="2">
        <f t="shared" si="44"/>
        <v>0</v>
      </c>
    </row>
    <row r="1359" spans="1:4" x14ac:dyDescent="0.3">
      <c r="A1359" s="2">
        <f>131.856905243386*(1/3.6)</f>
        <v>36.626918123162888</v>
      </c>
      <c r="B1359" s="2">
        <f>290.34096330285*(1/3.6)</f>
        <v>80.65026758412489</v>
      </c>
      <c r="C1359" s="2">
        <f>269.057146721038*(1/3.6)</f>
        <v>74.738096311399389</v>
      </c>
      <c r="D1359" s="2">
        <f t="shared" si="44"/>
        <v>0</v>
      </c>
    </row>
    <row r="1360" spans="1:4" x14ac:dyDescent="0.3">
      <c r="A1360" s="2">
        <f>132.501522449533*(1/3.6)</f>
        <v>36.805978458203612</v>
      </c>
      <c r="B1360" s="2">
        <f>290.096293951752*(1/3.6)</f>
        <v>80.582303875486602</v>
      </c>
      <c r="C1360" s="2">
        <f>269.535337971061*(1/3.6)</f>
        <v>74.87092721418361</v>
      </c>
      <c r="D1360" s="2">
        <f t="shared" si="44"/>
        <v>0</v>
      </c>
    </row>
    <row r="1361" spans="1:4" x14ac:dyDescent="0.3">
      <c r="A1361" s="2">
        <f>133.056373611308*(1/3.6)</f>
        <v>36.960103780918914</v>
      </c>
      <c r="B1361" s="2">
        <f>289.851624600654*(1/3.6)</f>
        <v>80.514340166848299</v>
      </c>
      <c r="C1361" s="2">
        <f>269.735735520897*(1/3.6)</f>
        <v>74.926593200249272</v>
      </c>
      <c r="D1361" s="2">
        <f t="shared" si="44"/>
        <v>0</v>
      </c>
    </row>
    <row r="1362" spans="1:4" x14ac:dyDescent="0.3">
      <c r="A1362" s="2">
        <f>131.773267045326*(1/3.6)</f>
        <v>36.60368529036834</v>
      </c>
      <c r="B1362" s="2">
        <f>289.606955249556*(1/3.6)</f>
        <v>80.446376458209983</v>
      </c>
      <c r="C1362" s="2">
        <f>268.073670260567*(1/3.6)</f>
        <v>74.464908405712976</v>
      </c>
      <c r="D1362" s="2">
        <f t="shared" si="44"/>
        <v>0</v>
      </c>
    </row>
    <row r="1363" spans="1:4" x14ac:dyDescent="0.3">
      <c r="A1363" s="2">
        <f>131.130732503789*(1/3.6)</f>
        <v>36.425203473274848</v>
      </c>
      <c r="B1363" s="2">
        <f>289.362285898458*(1/3.6)</f>
        <v>80.37841274957168</v>
      </c>
      <c r="C1363" s="2">
        <f>266.123991013184*(1/3.6)</f>
        <v>73.923330836995518</v>
      </c>
      <c r="D1363" s="2">
        <f t="shared" si="44"/>
        <v>0</v>
      </c>
    </row>
    <row r="1364" spans="1:4" x14ac:dyDescent="0.3">
      <c r="A1364" s="2">
        <f>132.780998967378*(1/3.6)</f>
        <v>36.88361082427155</v>
      </c>
      <c r="B1364" s="2">
        <f>289.11761654736*(1/3.6)</f>
        <v>80.310449040933364</v>
      </c>
      <c r="C1364" s="2">
        <f>267.549181342445*(1/3.6)</f>
        <v>74.31921703956796</v>
      </c>
      <c r="D1364" s="2">
        <f t="shared" si="44"/>
        <v>0</v>
      </c>
    </row>
    <row r="1365" spans="1:4" x14ac:dyDescent="0.3">
      <c r="A1365" s="2">
        <f>133.041592854408*(1/3.6)</f>
        <v>36.955998015113437</v>
      </c>
      <c r="B1365" s="2">
        <f>288.872947196262*(1/3.6)</f>
        <v>80.242485332295061</v>
      </c>
      <c r="C1365" s="2">
        <f>267.003868676638*(1/3.6)</f>
        <v>74.167741299066208</v>
      </c>
      <c r="D1365" s="2">
        <f t="shared" si="44"/>
        <v>0</v>
      </c>
    </row>
    <row r="1366" spans="1:4" x14ac:dyDescent="0.3">
      <c r="A1366" s="2">
        <f>133.28855194453*(1/3.6)</f>
        <v>37.024597762369382</v>
      </c>
      <c r="B1366" s="2">
        <f>288.628277845164*(1/3.6)</f>
        <v>80.174521623656744</v>
      </c>
      <c r="C1366" s="2">
        <f>267.472812069251*(1/3.6)</f>
        <v>74.298003352569836</v>
      </c>
      <c r="D1366" s="2">
        <f t="shared" si="44"/>
        <v>0</v>
      </c>
    </row>
    <row r="1367" spans="1:4" x14ac:dyDescent="0.3">
      <c r="A1367" s="2">
        <f>131.116164850342*(1/3.6)</f>
        <v>36.421156902872887</v>
      </c>
      <c r="B1367" s="2">
        <f>288.383608494066*(1/3.6)</f>
        <v>80.106557915018442</v>
      </c>
      <c r="C1367" s="2">
        <f>265.01934060101*(1/3.6)</f>
        <v>73.616483500280609</v>
      </c>
      <c r="D1367" s="2">
        <f t="shared" si="44"/>
        <v>0</v>
      </c>
    </row>
    <row r="1368" spans="1:4" x14ac:dyDescent="0.3">
      <c r="A1368" s="2">
        <f>132.562002127687*(1/3.6)</f>
        <v>36.822778368801998</v>
      </c>
      <c r="B1368" s="2">
        <f>288.138939142968*(1/3.6)</f>
        <v>80.038594206380139</v>
      </c>
      <c r="C1368" s="2">
        <f>265.631579292071*(1/3.6)</f>
        <v>73.78654980335314</v>
      </c>
      <c r="D1368" s="2">
        <f t="shared" si="44"/>
        <v>0</v>
      </c>
    </row>
    <row r="1369" spans="1:4" x14ac:dyDescent="0.3">
      <c r="A1369" s="2">
        <f>131.747649446822*(1/3.6)</f>
        <v>36.596569290784018</v>
      </c>
      <c r="B1369" s="2">
        <f>287.894269791871*(1/3.6)</f>
        <v>79.970630497741823</v>
      </c>
      <c r="C1369" s="2">
        <f>264.929800047762*(1/3.6)</f>
        <v>73.591611124378318</v>
      </c>
      <c r="D1369" s="2">
        <f t="shared" si="44"/>
        <v>0</v>
      </c>
    </row>
    <row r="1370" spans="1:4" x14ac:dyDescent="0.3">
      <c r="A1370" s="2">
        <f>132.770763684237*(1/3.6)</f>
        <v>36.88076769006576</v>
      </c>
      <c r="B1370" s="2">
        <f>287.649600440773*(1/3.6)</f>
        <v>79.90266678910352</v>
      </c>
      <c r="C1370" s="2">
        <f>264.464990626535*(1/3.6)</f>
        <v>73.462497396259607</v>
      </c>
      <c r="D1370" s="2">
        <f t="shared" si="44"/>
        <v>0</v>
      </c>
    </row>
    <row r="1371" spans="1:4" x14ac:dyDescent="0.3">
      <c r="A1371" s="2">
        <f>133.370669635581*(1/3.6)</f>
        <v>37.047408232105923</v>
      </c>
      <c r="B1371" s="2">
        <f>287.404931089675*(1/3.6)</f>
        <v>79.834703080465204</v>
      </c>
      <c r="C1371" s="2">
        <f>265.348378730291*(1/3.6)</f>
        <v>73.707882980636313</v>
      </c>
      <c r="D1371" s="2">
        <f t="shared" si="44"/>
        <v>0</v>
      </c>
    </row>
    <row r="1372" spans="1:4" x14ac:dyDescent="0.3">
      <c r="A1372" s="2">
        <f>133.396812957528*(1/3.6)</f>
        <v>37.054670265979951</v>
      </c>
      <c r="B1372" s="2">
        <f>287.160261738577*(1/3.6)</f>
        <v>79.766739371826915</v>
      </c>
      <c r="C1372" s="2">
        <f>264.662138414666*(1/3.6)</f>
        <v>73.517260670740427</v>
      </c>
      <c r="D1372" s="2">
        <f t="shared" si="44"/>
        <v>0</v>
      </c>
    </row>
    <row r="1373" spans="1:4" x14ac:dyDescent="0.3">
      <c r="A1373" s="2">
        <f>132.680890021072*(1/3.6)</f>
        <v>36.855802783631248</v>
      </c>
      <c r="B1373" s="2">
        <f>286.915592387479*(1/3.6)</f>
        <v>79.698775663188599</v>
      </c>
      <c r="C1373" s="2">
        <f>263.564358519124*(1/3.6)</f>
        <v>73.21232181086765</v>
      </c>
      <c r="D1373" s="2">
        <f t="shared" si="44"/>
        <v>0</v>
      </c>
    </row>
    <row r="1374" spans="1:4" x14ac:dyDescent="0.3">
      <c r="A1374" s="2">
        <f>134.244282163688*(1/3.6)</f>
        <v>37.2900783788021</v>
      </c>
      <c r="B1374" s="2">
        <f>286.670923036381*(1/3.6)</f>
        <v>79.630811954550296</v>
      </c>
      <c r="C1374" s="2">
        <f>265.187760077319*(1/3.6)</f>
        <v>73.663266688144091</v>
      </c>
      <c r="D1374" s="2">
        <f t="shared" si="44"/>
        <v>0</v>
      </c>
    </row>
    <row r="1375" spans="1:4" x14ac:dyDescent="0.3">
      <c r="A1375" s="2">
        <f>133.46172760703*(1/3.6)</f>
        <v>37.072702113063954</v>
      </c>
      <c r="B1375" s="2">
        <f>286.426253685283*(1/3.6)</f>
        <v>79.562848245911994</v>
      </c>
      <c r="C1375" s="2">
        <f>263.065815604519*(1/3.6)</f>
        <v>73.073837667922021</v>
      </c>
      <c r="D1375" s="2">
        <f t="shared" si="44"/>
        <v>0</v>
      </c>
    </row>
    <row r="1376" spans="1:4" x14ac:dyDescent="0.3">
      <c r="A1376" s="2">
        <f>133.9377774993*(1/3.6)</f>
        <v>37.204938194249983</v>
      </c>
      <c r="B1376" s="2">
        <f>286.181584334185*(1/3.6)</f>
        <v>79.494884537273677</v>
      </c>
      <c r="C1376" s="2">
        <f>263.309308152633*(1/3.6)</f>
        <v>73.141474486842554</v>
      </c>
      <c r="D1376" s="2">
        <f t="shared" si="44"/>
        <v>0</v>
      </c>
    </row>
    <row r="1377" spans="1:4" x14ac:dyDescent="0.3">
      <c r="A1377" s="2">
        <f>133.394286415843*(1/3.6)</f>
        <v>37.053968448845183</v>
      </c>
      <c r="B1377" s="2">
        <f>285.936914983087*(1/3.6)</f>
        <v>79.426920828635375</v>
      </c>
      <c r="C1377" s="2">
        <f>262.342193013392*(1/3.6)</f>
        <v>72.872831392608887</v>
      </c>
      <c r="D1377" s="2">
        <f t="shared" si="44"/>
        <v>0</v>
      </c>
    </row>
    <row r="1378" spans="1:4" x14ac:dyDescent="0.3">
      <c r="A1378" s="2">
        <f>133.985600528769*(1/3.6)</f>
        <v>37.21822236910247</v>
      </c>
      <c r="B1378" s="2">
        <f>285.692245631989*(1/3.6)</f>
        <v>79.358957119997058</v>
      </c>
      <c r="C1378" s="2">
        <f>262.593283694149*(1/3.6)</f>
        <v>72.94257880393036</v>
      </c>
      <c r="D1378" s="2">
        <f t="shared" si="44"/>
        <v>0</v>
      </c>
    </row>
    <row r="1379" spans="1:4" x14ac:dyDescent="0.3">
      <c r="A1379" s="2">
        <f>133.312235728177*(1/3.6)</f>
        <v>37.031176591160325</v>
      </c>
      <c r="B1379" s="2">
        <f>285.447576280891*(1/3.6)</f>
        <v>79.290993411358755</v>
      </c>
      <c r="C1379" s="2">
        <f>261.270657426689*(1/3.6)</f>
        <v>72.575182618524792</v>
      </c>
      <c r="D1379" s="2">
        <f t="shared" si="44"/>
        <v>0</v>
      </c>
    </row>
    <row r="1380" spans="1:4" x14ac:dyDescent="0.3">
      <c r="A1380" s="2">
        <f>133.696984086759*(1/3.6)</f>
        <v>37.138051135210837</v>
      </c>
      <c r="B1380" s="2">
        <f>285.202906929794*(1/3.6)</f>
        <v>79.223029702720439</v>
      </c>
      <c r="C1380" s="2">
        <f>261.134810286284*(1/3.6)</f>
        <v>72.537447301745559</v>
      </c>
      <c r="D1380" s="2">
        <f t="shared" si="44"/>
        <v>0</v>
      </c>
    </row>
    <row r="1381" spans="1:4" x14ac:dyDescent="0.3">
      <c r="A1381" s="2">
        <f>133.112114994862*(1/3.6)</f>
        <v>36.975587498572736</v>
      </c>
      <c r="B1381" s="2">
        <f>284.958237578696*(1/3.6)</f>
        <v>79.155065994082136</v>
      </c>
      <c r="C1381" s="2">
        <f>260.184094919596*(1/3.6)</f>
        <v>72.273359699887706</v>
      </c>
      <c r="D1381" s="2">
        <f t="shared" si="44"/>
        <v>0</v>
      </c>
    </row>
    <row r="1382" spans="1:4" x14ac:dyDescent="0.3">
      <c r="A1382" s="2">
        <f>133.725281686145*(1/3.6)</f>
        <v>37.14591157948459</v>
      </c>
      <c r="B1382" s="2">
        <f>284.713568227598*(1/3.6)</f>
        <v>79.087102285443819</v>
      </c>
      <c r="C1382" s="2">
        <f>260.661247466818*(1/3.6)</f>
        <v>72.405902074116227</v>
      </c>
      <c r="D1382" s="2">
        <f t="shared" si="44"/>
        <v>0</v>
      </c>
    </row>
    <row r="1383" spans="1:4" x14ac:dyDescent="0.3">
      <c r="A1383" s="2">
        <f>133.721565753122*(1/3.6)</f>
        <v>37.144879375867184</v>
      </c>
      <c r="B1383" s="2">
        <f>284.4688988765*(1/3.6)</f>
        <v>79.019138576805517</v>
      </c>
      <c r="C1383" s="2">
        <f>260.465109726931*(1/3.6)</f>
        <v>72.351419368592019</v>
      </c>
      <c r="D1383" s="2">
        <f t="shared" si="44"/>
        <v>0</v>
      </c>
    </row>
    <row r="1384" spans="1:4" x14ac:dyDescent="0.3">
      <c r="A1384" s="2">
        <f>133.512055645164*(1/3.6)</f>
        <v>37.086682123656715</v>
      </c>
      <c r="B1384" s="2">
        <f>284.224229525402*(1/3.6)</f>
        <v>78.951174868167229</v>
      </c>
      <c r="C1384" s="2">
        <f>259.568572489506*(1/3.6)</f>
        <v>72.102381247085049</v>
      </c>
      <c r="D1384" s="2">
        <f t="shared" si="44"/>
        <v>0</v>
      </c>
    </row>
    <row r="1385" spans="1:4" x14ac:dyDescent="0.3">
      <c r="A1385" s="2">
        <f>134.203257379584*(1/3.6)</f>
        <v>37.278682605440054</v>
      </c>
      <c r="B1385" s="2">
        <f>283.979560174304*(1/3.6)</f>
        <v>78.883211159528912</v>
      </c>
      <c r="C1385" s="2">
        <f>259.505926234799*(1/3.6)</f>
        <v>72.08497950966634</v>
      </c>
      <c r="D1385" s="2">
        <f t="shared" si="44"/>
        <v>0</v>
      </c>
    </row>
    <row r="1386" spans="1:4" x14ac:dyDescent="0.3">
      <c r="A1386" s="2">
        <f>132.943916724229*(1/3.6)</f>
        <v>36.928865756730175</v>
      </c>
      <c r="B1386" s="2">
        <f>283.734890823206*(1/3.6)</f>
        <v>78.81524745089061</v>
      </c>
      <c r="C1386" s="2">
        <f>257.749895142108*(1/3.6)</f>
        <v>71.597193095030065</v>
      </c>
      <c r="D1386" s="2">
        <f t="shared" si="44"/>
        <v>0</v>
      </c>
    </row>
    <row r="1387" spans="1:4" x14ac:dyDescent="0.3">
      <c r="A1387" s="2">
        <f>134.251426361384*(1/3.6)</f>
        <v>37.292062878162128</v>
      </c>
      <c r="B1387" s="2">
        <f>283.490221472108*(1/3.6)</f>
        <v>78.747283742252293</v>
      </c>
      <c r="C1387" s="2">
        <f>259.057560860412*(1/3.6)</f>
        <v>71.960433572336541</v>
      </c>
      <c r="D1387" s="2">
        <f t="shared" si="44"/>
        <v>0</v>
      </c>
    </row>
    <row r="1388" spans="1:4" x14ac:dyDescent="0.3">
      <c r="A1388" s="2">
        <f>132.350172241223*(1/3.6)</f>
        <v>36.763936733673042</v>
      </c>
      <c r="B1388" s="2">
        <f>283.24555212101*(1/3.6)</f>
        <v>78.67932003361399</v>
      </c>
      <c r="C1388" s="2">
        <f>256.526840792419*(1/3.6)</f>
        <v>71.2574557756719</v>
      </c>
      <c r="D1388" s="2">
        <f t="shared" si="44"/>
        <v>0</v>
      </c>
    </row>
    <row r="1389" spans="1:4" x14ac:dyDescent="0.3">
      <c r="A1389" s="2">
        <f>134.129122636986*(1/3.6)</f>
        <v>37.258089621384876</v>
      </c>
      <c r="B1389" s="2">
        <f>283.000882769912*(1/3.6)</f>
        <v>78.611356324975674</v>
      </c>
      <c r="C1389" s="2">
        <f>257.512886811566*(1/3.6)</f>
        <v>71.531357447657257</v>
      </c>
      <c r="D1389" s="2">
        <f t="shared" si="44"/>
        <v>0</v>
      </c>
    </row>
    <row r="1390" spans="1:4" x14ac:dyDescent="0.3">
      <c r="A1390" s="2">
        <f>133.940927493667*(1/3.6)</f>
        <v>37.205813192685326</v>
      </c>
      <c r="B1390" s="2">
        <f>282.756213418815*(1/3.6)</f>
        <v>78.543392616337371</v>
      </c>
      <c r="C1390" s="2">
        <f>257.020849659005*(1/3.6)</f>
        <v>71.394680460834778</v>
      </c>
      <c r="D1390" s="2">
        <f t="shared" si="44"/>
        <v>0</v>
      </c>
    </row>
    <row r="1391" spans="1:4" x14ac:dyDescent="0.3">
      <c r="A1391" s="2">
        <f>134.180880224619*(1/3.6)</f>
        <v>37.272466729060753</v>
      </c>
      <c r="B1391" s="2">
        <f>282.511544067717*(1/3.6)</f>
        <v>78.475428907699069</v>
      </c>
      <c r="C1391" s="2">
        <f>257.10604924927*(1/3.6)</f>
        <v>71.418347013686244</v>
      </c>
      <c r="D1391" s="2">
        <f t="shared" si="44"/>
        <v>0</v>
      </c>
    </row>
    <row r="1392" spans="1:4" x14ac:dyDescent="0.3">
      <c r="A1392" s="2">
        <f>134.21928942154*(1/3.6)</f>
        <v>37.283135950427649</v>
      </c>
      <c r="B1392" s="2">
        <f>282.266874716619*(1/3.6)</f>
        <v>78.407465199060752</v>
      </c>
      <c r="C1392" s="2">
        <f>257.045172435743*(1/3.6)</f>
        <v>71.401436787706274</v>
      </c>
      <c r="D1392" s="2">
        <f t="shared" si="44"/>
        <v>0</v>
      </c>
    </row>
    <row r="1393" spans="1:4" x14ac:dyDescent="0.3">
      <c r="A1393" s="2">
        <f>133.856643646676*(1/3.6)</f>
        <v>37.182401012965492</v>
      </c>
      <c r="B1393" s="2">
        <f>282.022205365521*(1/3.6)</f>
        <v>78.33950149042245</v>
      </c>
      <c r="C1393" s="2">
        <f>255.471770503922*(1/3.6)</f>
        <v>70.964380695533748</v>
      </c>
      <c r="D1393" s="2">
        <f t="shared" si="44"/>
        <v>0</v>
      </c>
    </row>
    <row r="1394" spans="1:4" x14ac:dyDescent="0.3">
      <c r="A1394" s="2">
        <f>134.805085764852*(1/3.6)</f>
        <v>37.445857156903287</v>
      </c>
      <c r="B1394" s="2">
        <f>281.777536014423*(1/3.6)</f>
        <v>78.271537781784133</v>
      </c>
      <c r="C1394" s="2">
        <f>256.118369132941*(1/3.6)</f>
        <v>71.143991425817049</v>
      </c>
      <c r="D1394" s="2">
        <f t="shared" si="44"/>
        <v>0</v>
      </c>
    </row>
    <row r="1395" spans="1:4" x14ac:dyDescent="0.3">
      <c r="A1395" s="2">
        <f>132.424653489446*(1/3.6)</f>
        <v>36.784625969290573</v>
      </c>
      <c r="B1395" s="2">
        <f>281.532866663325*(1/3.6)</f>
        <v>78.20357407314583</v>
      </c>
      <c r="C1395" s="2">
        <f>253.981858792987*(1/3.6)</f>
        <v>70.55051633138531</v>
      </c>
      <c r="D1395" s="2">
        <f t="shared" si="44"/>
        <v>0</v>
      </c>
    </row>
    <row r="1396" spans="1:4" x14ac:dyDescent="0.3">
      <c r="A1396" s="2">
        <f>134.631011099524*(1/3.6)</f>
        <v>37.397503083201023</v>
      </c>
      <c r="B1396" s="2">
        <f>281.288197312227*(1/3.6)</f>
        <v>78.135610364507528</v>
      </c>
      <c r="C1396" s="2">
        <f>255.09328477257*(1/3.6)</f>
        <v>70.859245770158452</v>
      </c>
      <c r="D1396" s="2">
        <f t="shared" si="44"/>
        <v>0</v>
      </c>
    </row>
    <row r="1397" spans="1:4" x14ac:dyDescent="0.3">
      <c r="A1397" s="2">
        <f>132.433840954102*(1/3.6)</f>
        <v>36.787178042806062</v>
      </c>
      <c r="B1397" s="2">
        <f>281.043527961129*(1/3.6)</f>
        <v>78.067646655869225</v>
      </c>
      <c r="C1397" s="2">
        <f>252.907507207704*(1/3.6)</f>
        <v>70.252085335473311</v>
      </c>
      <c r="D1397" s="2">
        <f t="shared" si="44"/>
        <v>0</v>
      </c>
    </row>
    <row r="1398" spans="1:4" x14ac:dyDescent="0.3">
      <c r="A1398" s="2">
        <f>134.636988724067*(1/3.6)</f>
        <v>37.399163534463057</v>
      </c>
      <c r="B1398" s="2">
        <f>280.798858610031*(1/3.6)</f>
        <v>77.999682947230923</v>
      </c>
      <c r="C1398" s="2">
        <f>254.217603283545*(1/3.6)</f>
        <v>70.616000912095856</v>
      </c>
      <c r="D1398" s="2">
        <f t="shared" si="44"/>
        <v>0</v>
      </c>
    </row>
    <row r="1399" spans="1:4" x14ac:dyDescent="0.3">
      <c r="A1399" s="2">
        <f>134.947458200361*(1/3.6)</f>
        <v>37.485405055655853</v>
      </c>
      <c r="B1399" s="2">
        <f>280.554189258933*(1/3.6)</f>
        <v>77.931719238592606</v>
      </c>
      <c r="C1399" s="2">
        <f>254.015478408896*(1/3.6)</f>
        <v>70.559855113582245</v>
      </c>
      <c r="D1399" s="2">
        <f t="shared" si="44"/>
        <v>0</v>
      </c>
    </row>
    <row r="1400" spans="1:4" x14ac:dyDescent="0.3">
      <c r="A1400" s="2">
        <f>143.219393485602*(1/3.6)</f>
        <v>39.7831648571118</v>
      </c>
      <c r="B1400" s="2">
        <f>280.309519907835*(1/3.6)</f>
        <v>77.863755529954304</v>
      </c>
      <c r="C1400" s="2">
        <f>263.620385421232*(1/3.6)</f>
        <v>73.227884839231251</v>
      </c>
      <c r="D1400" s="2">
        <f t="shared" si="44"/>
        <v>0</v>
      </c>
    </row>
    <row r="1401" spans="1:4" x14ac:dyDescent="0.3">
      <c r="A1401" s="2">
        <f>135.142290096971*(1/3.6)</f>
        <v>37.539525026936531</v>
      </c>
      <c r="B1401" s="2">
        <f>280.064850556738*(1/3.6)</f>
        <v>77.795791821315987</v>
      </c>
      <c r="C1401" s="2">
        <f>253.469493209817*(1/3.6)</f>
        <v>70.408192558282479</v>
      </c>
      <c r="D1401" s="2">
        <f t="shared" si="44"/>
        <v>0</v>
      </c>
    </row>
    <row r="1402" spans="1:4" x14ac:dyDescent="0.3">
      <c r="A1402" s="2">
        <f>132.315272832915*(1/3.6)</f>
        <v>36.754242453587523</v>
      </c>
      <c r="B1402" s="2">
        <f>279.82018120564*(1/3.6)</f>
        <v>77.727828112677685</v>
      </c>
      <c r="C1402" s="2">
        <f>250.186378353418*(1/3.6)</f>
        <v>69.496216209282807</v>
      </c>
      <c r="D1402" s="2">
        <f t="shared" si="44"/>
        <v>0</v>
      </c>
    </row>
    <row r="1403" spans="1:4" x14ac:dyDescent="0.3">
      <c r="A1403" s="2">
        <f>142.675909737102*(1/3.6)</f>
        <v>39.63219714919493</v>
      </c>
      <c r="B1403" s="2">
        <f>0*(1/3.6)</f>
        <v>0</v>
      </c>
      <c r="C1403" s="2">
        <f>261.46154031375*(1/3.6)</f>
        <v>72.628205642708423</v>
      </c>
      <c r="D1403" s="2">
        <f t="shared" si="44"/>
        <v>0</v>
      </c>
    </row>
    <row r="1404" spans="1:4" x14ac:dyDescent="0.3">
      <c r="A1404" s="2">
        <f>142.850569678546*(1/3.6)</f>
        <v>39.680713799596013</v>
      </c>
      <c r="B1404" s="2">
        <f>0*(1/3.6)</f>
        <v>0</v>
      </c>
      <c r="C1404" s="2">
        <f>261.576963690424*(1/3.6)</f>
        <v>72.66026769178454</v>
      </c>
      <c r="D1404" s="2">
        <f t="shared" si="44"/>
        <v>0</v>
      </c>
    </row>
    <row r="1405" spans="1:4" x14ac:dyDescent="0.3">
      <c r="A1405" s="2">
        <f>142.803765220098*(1/3.6)</f>
        <v>39.667712561138238</v>
      </c>
      <c r="B1405" s="2">
        <f>0*(1/3.6)</f>
        <v>0</v>
      </c>
      <c r="C1405" s="2">
        <f>260.823138890255*(1/3.6)</f>
        <v>72.450871913959645</v>
      </c>
      <c r="D1405" s="2">
        <f t="shared" si="44"/>
        <v>0</v>
      </c>
    </row>
    <row r="1406" spans="1:4" x14ac:dyDescent="0.3">
      <c r="A1406" s="2">
        <f>142.842625812583*(1/3.6)</f>
        <v>39.678507170161865</v>
      </c>
      <c r="B1406" s="2">
        <f>0*(1/3.6)</f>
        <v>0</v>
      </c>
      <c r="C1406" s="2">
        <f>260.198244610045*(1/3.6)</f>
        <v>72.277290169456975</v>
      </c>
      <c r="D1406" s="2">
        <f t="shared" si="44"/>
        <v>0</v>
      </c>
    </row>
    <row r="1407" spans="1:4" x14ac:dyDescent="0.3">
      <c r="A1407" s="2">
        <f>134.525332984699*(1/3.6)</f>
        <v>37.36814805130534</v>
      </c>
      <c r="B1407" s="2">
        <f>278.182827153139*(1/3.6)</f>
        <v>77.27300754253875</v>
      </c>
      <c r="C1407" s="2">
        <f>249.493320374458*(1/3.6)</f>
        <v>69.303700104016102</v>
      </c>
      <c r="D1407" s="2">
        <f t="shared" si="44"/>
        <v>0</v>
      </c>
    </row>
    <row r="1408" spans="1:4" x14ac:dyDescent="0.3">
      <c r="A1408" s="2">
        <f>135.047723828943*(1/3.6)</f>
        <v>37.513256619150937</v>
      </c>
      <c r="B1408" s="2">
        <f>279.473705493992*(1/3.6)</f>
        <v>77.631584859442242</v>
      </c>
      <c r="C1408" s="2">
        <f>250.049971478293*(1/3.6)</f>
        <v>69.458325410636888</v>
      </c>
      <c r="D1408" s="2">
        <f t="shared" si="44"/>
        <v>0</v>
      </c>
    </row>
    <row r="1409" spans="1:4" x14ac:dyDescent="0.3">
      <c r="A1409" s="2">
        <f>134.852512678304*(1/3.6)</f>
        <v>37.459031299528775</v>
      </c>
      <c r="B1409" s="2">
        <f>276.709342865128*(1/3.6)</f>
        <v>76.863706351424398</v>
      </c>
      <c r="C1409" s="2">
        <f>249.597452449102*(1/3.6)</f>
        <v>69.332625680306109</v>
      </c>
      <c r="D1409" s="2">
        <f t="shared" si="44"/>
        <v>0</v>
      </c>
    </row>
    <row r="1410" spans="1:4" x14ac:dyDescent="0.3">
      <c r="A1410" s="2">
        <f>135.343391036286*(1/3.6)</f>
        <v>37.595386398968259</v>
      </c>
      <c r="B1410" s="2">
        <f>275.234340102001*(1/3.6)</f>
        <v>76.4539833616669</v>
      </c>
      <c r="C1410" s="2">
        <f>249.355473197136*(1/3.6)</f>
        <v>69.265409221426594</v>
      </c>
      <c r="D1410" s="2">
        <f t="shared" ref="D1410:D1462" si="45">0*(1/3.6)</f>
        <v>0</v>
      </c>
    </row>
    <row r="1411" spans="1:4" x14ac:dyDescent="0.3">
      <c r="A1411" s="2">
        <f>134.923488898807*(1/3.6)</f>
        <v>37.478746916335389</v>
      </c>
      <c r="B1411" s="2">
        <f>275.85677166459*(1/3.6)</f>
        <v>76.626881017941699</v>
      </c>
      <c r="C1411" s="2">
        <f>248.138274104627*(1/3.6)</f>
        <v>68.927298362396272</v>
      </c>
      <c r="D1411" s="2">
        <f t="shared" si="45"/>
        <v>0</v>
      </c>
    </row>
    <row r="1412" spans="1:4" x14ac:dyDescent="0.3">
      <c r="A1412" s="2">
        <f>133.853328827823*(1/3.6)</f>
        <v>37.181480229950715</v>
      </c>
      <c r="B1412" s="2">
        <f>273.774140633047*(1/3.6)</f>
        <v>76.048372398068636</v>
      </c>
      <c r="C1412" s="2">
        <f>246.884713687193*(1/3.6)</f>
        <v>68.579087135331378</v>
      </c>
      <c r="D1412" s="2">
        <f t="shared" si="45"/>
        <v>0</v>
      </c>
    </row>
    <row r="1413" spans="1:4" x14ac:dyDescent="0.3">
      <c r="A1413" s="2">
        <f>132.612171977844*(1/3.6)</f>
        <v>36.836714438290073</v>
      </c>
      <c r="B1413" s="2">
        <f>272.590230699128*(1/3.6)</f>
        <v>75.719508527535481</v>
      </c>
      <c r="C1413" s="2">
        <f>245.5226508341*(1/3.6)</f>
        <v>68.200736342805428</v>
      </c>
      <c r="D1413" s="2">
        <f t="shared" si="45"/>
        <v>0</v>
      </c>
    </row>
    <row r="1414" spans="1:4" x14ac:dyDescent="0.3">
      <c r="A1414" s="2">
        <f>131.86988577418*(1/3.6)</f>
        <v>36.630523826161124</v>
      </c>
      <c r="B1414" s="2">
        <f>272.416750585822*(1/3.6)</f>
        <v>75.671319607172748</v>
      </c>
      <c r="C1414" s="2">
        <f>244.373460332961*(1/3.6)</f>
        <v>67.881516759155787</v>
      </c>
      <c r="D1414" s="2">
        <f t="shared" si="45"/>
        <v>0</v>
      </c>
    </row>
    <row r="1415" spans="1:4" x14ac:dyDescent="0.3">
      <c r="A1415" s="2">
        <f>131.848770898796*(1/3.6)</f>
        <v>36.624658582998883</v>
      </c>
      <c r="B1415" s="2">
        <f>273.351747884102*(1/3.6)</f>
        <v>75.931041078917119</v>
      </c>
      <c r="C1415" s="2">
        <f>243.76266678752*(1/3.6)</f>
        <v>67.711851885422249</v>
      </c>
      <c r="D1415" s="2">
        <f t="shared" si="45"/>
        <v>0</v>
      </c>
    </row>
    <row r="1416" spans="1:4" x14ac:dyDescent="0.3">
      <c r="A1416" s="2">
        <f>131.884164174101*(1/3.6)</f>
        <v>36.63449004836145</v>
      </c>
      <c r="B1416" s="2">
        <f>272.505133400104*(1/3.6)</f>
        <v>75.695870388917754</v>
      </c>
      <c r="C1416" s="2">
        <f>243.415022542333*(1/3.6)</f>
        <v>67.61528403953703</v>
      </c>
      <c r="D1416" s="2">
        <f t="shared" si="45"/>
        <v>0</v>
      </c>
    </row>
    <row r="1417" spans="1:4" x14ac:dyDescent="0.3">
      <c r="A1417" s="2">
        <f>131.999438825143*(1/3.6)</f>
        <v>36.666510784761883</v>
      </c>
      <c r="B1417" s="2">
        <f>272.049731111774*(1/3.6)</f>
        <v>75.569369753270564</v>
      </c>
      <c r="C1417" s="2">
        <f>242.902396410562*(1/3.6)</f>
        <v>67.472887891822708</v>
      </c>
      <c r="D1417" s="2">
        <f t="shared" si="45"/>
        <v>0</v>
      </c>
    </row>
    <row r="1418" spans="1:4" x14ac:dyDescent="0.3">
      <c r="A1418" s="2">
        <f>132.009578325467*(1/3.6)</f>
        <v>36.669327312629676</v>
      </c>
      <c r="B1418" s="2">
        <f>271.32609410371*(1/3.6)</f>
        <v>75.368359473252895</v>
      </c>
      <c r="C1418" s="2">
        <f>242.281476817861*(1/3.6)</f>
        <v>67.300410227183733</v>
      </c>
      <c r="D1418" s="2">
        <f t="shared" si="45"/>
        <v>0</v>
      </c>
    </row>
    <row r="1419" spans="1:4" x14ac:dyDescent="0.3">
      <c r="A1419" s="2">
        <f>132.168283906564*(1/3.6)</f>
        <v>36.713412196267676</v>
      </c>
      <c r="B1419" s="2">
        <f>274.113792119119*(1/3.6)</f>
        <v>76.142720033088565</v>
      </c>
      <c r="C1419" s="2">
        <f>241.921687128962*(1/3.6)</f>
        <v>67.200468646933999</v>
      </c>
      <c r="D1419" s="2">
        <f t="shared" si="45"/>
        <v>0</v>
      </c>
    </row>
    <row r="1420" spans="1:4" x14ac:dyDescent="0.3">
      <c r="A1420" s="2">
        <f>132.159603652522*(1/3.6)</f>
        <v>36.711001014589513</v>
      </c>
      <c r="B1420" s="2">
        <f>277.93901695801*(1/3.6)</f>
        <v>77.205282488336039</v>
      </c>
      <c r="C1420" s="2">
        <f>241.985036672182*(1/3.6)</f>
        <v>67.218065742272714</v>
      </c>
      <c r="D1420" s="2">
        <f t="shared" si="45"/>
        <v>0</v>
      </c>
    </row>
    <row r="1421" spans="1:4" x14ac:dyDescent="0.3">
      <c r="A1421" s="2">
        <f>134.810170527218*(1/3.6)</f>
        <v>37.447269590893754</v>
      </c>
      <c r="B1421" s="2">
        <f>281.414592518704*(1/3.6)</f>
        <v>78.170720144084342</v>
      </c>
      <c r="C1421" s="2">
        <f>243.174063655521*(1/3.6)</f>
        <v>67.548351015422398</v>
      </c>
      <c r="D1421" s="2">
        <f t="shared" si="45"/>
        <v>0</v>
      </c>
    </row>
    <row r="1422" spans="1:4" x14ac:dyDescent="0.3">
      <c r="A1422" s="2">
        <f>135.509023315947*(1/3.6)</f>
        <v>37.641395365540838</v>
      </c>
      <c r="B1422" s="2">
        <f>281.613519151524*(1/3.6)</f>
        <v>78.225977542090021</v>
      </c>
      <c r="C1422" s="2">
        <f>243.7311100453*(1/3.6)</f>
        <v>67.703086123694362</v>
      </c>
      <c r="D1422" s="2">
        <f t="shared" si="45"/>
        <v>0</v>
      </c>
    </row>
    <row r="1423" spans="1:4" x14ac:dyDescent="0.3">
      <c r="A1423" s="2">
        <f>135.05226472586*(1/3.6)</f>
        <v>37.514517979405582</v>
      </c>
      <c r="B1423" s="2">
        <f>281.179695639434*(1/3.6)</f>
        <v>78.105471010953963</v>
      </c>
      <c r="C1423" s="2">
        <f>242.917202113751*(1/3.6)</f>
        <v>67.477000587153</v>
      </c>
      <c r="D1423" s="2">
        <f t="shared" si="45"/>
        <v>0</v>
      </c>
    </row>
    <row r="1424" spans="1:4" x14ac:dyDescent="0.3">
      <c r="A1424" s="2">
        <f>134.346412245758*(1/3.6)</f>
        <v>37.318447846043753</v>
      </c>
      <c r="B1424" s="2">
        <f>280.665588523396*(1/3.6)</f>
        <v>77.962663478721254</v>
      </c>
      <c r="C1424" s="2">
        <f>241.769059593752*(1/3.6)</f>
        <v>67.158072109375681</v>
      </c>
      <c r="D1424" s="2">
        <f t="shared" si="45"/>
        <v>0</v>
      </c>
    </row>
    <row r="1425" spans="1:4" x14ac:dyDescent="0.3">
      <c r="A1425" s="2">
        <f>131.946475058446*(1/3.6)</f>
        <v>36.651798627346125</v>
      </c>
      <c r="B1425" s="2">
        <f>278.315799717512*(1/3.6)</f>
        <v>77.309944365975625</v>
      </c>
      <c r="C1425" s="2">
        <f>239.633978927019*(1/3.6)</f>
        <v>66.564994146394156</v>
      </c>
      <c r="D1425" s="2">
        <f t="shared" si="45"/>
        <v>0</v>
      </c>
    </row>
    <row r="1426" spans="1:4" x14ac:dyDescent="0.3">
      <c r="A1426" s="2">
        <f>135.048357789019*(1/3.6)</f>
        <v>37.513432719172037</v>
      </c>
      <c r="B1426" s="2">
        <f>278.454276569768*(1/3.6)</f>
        <v>77.348410158268834</v>
      </c>
      <c r="C1426" s="2">
        <f>241.961619132609*(1/3.6)</f>
        <v>67.211560870169279</v>
      </c>
      <c r="D1426" s="2">
        <f t="shared" si="45"/>
        <v>0</v>
      </c>
    </row>
    <row r="1427" spans="1:4" x14ac:dyDescent="0.3">
      <c r="A1427" s="2">
        <f>135.729217390581*(1/3.6)</f>
        <v>37.702560386272481</v>
      </c>
      <c r="B1427" s="2">
        <f>281.239318276811*(1/3.6)</f>
        <v>78.122032854669655</v>
      </c>
      <c r="C1427" s="2">
        <f>240.194075156964*(1/3.6)</f>
        <v>66.720576432489921</v>
      </c>
      <c r="D1427" s="2">
        <f t="shared" si="45"/>
        <v>0</v>
      </c>
    </row>
    <row r="1428" spans="1:4" x14ac:dyDescent="0.3">
      <c r="A1428" s="2">
        <f>135.019771703573*(1/3.6)</f>
        <v>37.505492139881305</v>
      </c>
      <c r="B1428" s="2">
        <f>279.765991223967*(1/3.6)</f>
        <v>77.712775339990955</v>
      </c>
      <c r="C1428" s="2">
        <f>239.152808239335*(1/3.6)</f>
        <v>66.431335622037395</v>
      </c>
      <c r="D1428" s="2">
        <f t="shared" si="45"/>
        <v>0</v>
      </c>
    </row>
    <row r="1429" spans="1:4" x14ac:dyDescent="0.3">
      <c r="A1429" s="2">
        <f>132.044101429063*(1/3.6)</f>
        <v>36.678917063628532</v>
      </c>
      <c r="B1429" s="2">
        <f>278.714605623905*(1/3.6)</f>
        <v>77.420723784418144</v>
      </c>
      <c r="C1429" s="2">
        <f>236.66891328697*(1/3.6)</f>
        <v>65.741364801936214</v>
      </c>
      <c r="D1429" s="2">
        <f t="shared" si="45"/>
        <v>0</v>
      </c>
    </row>
    <row r="1430" spans="1:4" x14ac:dyDescent="0.3">
      <c r="A1430" s="2">
        <f>135.557238937427*(1/3.6)</f>
        <v>37.654788593729847</v>
      </c>
      <c r="B1430" s="2">
        <f>281.227453025889*(1/3.6)</f>
        <v>78.118736951635768</v>
      </c>
      <c r="C1430" s="2">
        <f>239.046604533517*(1/3.6)</f>
        <v>66.401834592643581</v>
      </c>
      <c r="D1430" s="2">
        <f t="shared" si="45"/>
        <v>0</v>
      </c>
    </row>
    <row r="1431" spans="1:4" x14ac:dyDescent="0.3">
      <c r="A1431" s="2">
        <f>134.031699191516*(1/3.6)</f>
        <v>37.231027553198771</v>
      </c>
      <c r="B1431" s="2">
        <f>279.564607267921*(1/3.6)</f>
        <v>77.656835352200275</v>
      </c>
      <c r="C1431" s="2">
        <f>237.10194251666*(1/3.6)</f>
        <v>65.861650699072186</v>
      </c>
      <c r="D1431" s="2">
        <f t="shared" si="45"/>
        <v>0</v>
      </c>
    </row>
    <row r="1432" spans="1:4" x14ac:dyDescent="0.3">
      <c r="A1432" s="2">
        <f>133.036089303818*(1/3.6)</f>
        <v>36.954469251060551</v>
      </c>
      <c r="B1432" s="2">
        <f>275.478905413529*(1/3.6)</f>
        <v>76.521918170424811</v>
      </c>
      <c r="C1432" s="2">
        <f>235.547076798566*(1/3.6)</f>
        <v>65.42974355515733</v>
      </c>
      <c r="D1432" s="2">
        <f t="shared" si="45"/>
        <v>0</v>
      </c>
    </row>
    <row r="1433" spans="1:4" x14ac:dyDescent="0.3">
      <c r="A1433" s="2">
        <f>135.418571595973*(1/3.6)</f>
        <v>37.616269887770223</v>
      </c>
      <c r="B1433" s="2">
        <f>280.957922652808*(1/3.6)</f>
        <v>78.043867403557883</v>
      </c>
      <c r="C1433" s="2">
        <f>237.179757177951*(1/3.6)</f>
        <v>65.883265882764178</v>
      </c>
      <c r="D1433" s="2">
        <f t="shared" si="45"/>
        <v>0</v>
      </c>
    </row>
    <row r="1434" spans="1:4" x14ac:dyDescent="0.3">
      <c r="A1434" s="2">
        <f>132.281089763252*(1/3.6)</f>
        <v>36.744747156459013</v>
      </c>
      <c r="B1434" s="2">
        <f>276.81606635397*(1/3.6)</f>
        <v>76.89335176499155</v>
      </c>
      <c r="C1434" s="2">
        <f>234.550377758756*(1/3.6)</f>
        <v>65.152882710765525</v>
      </c>
      <c r="D1434" s="2">
        <f t="shared" si="45"/>
        <v>0</v>
      </c>
    </row>
    <row r="1435" spans="1:4" x14ac:dyDescent="0.3">
      <c r="A1435" s="2">
        <f>135.938738514537*(1/3.6)</f>
        <v>37.760760698482478</v>
      </c>
      <c r="B1435" s="2">
        <f>279.415367692878*(1/3.6)</f>
        <v>77.615379914688404</v>
      </c>
      <c r="C1435" s="2">
        <f>236.932361614852*(1/3.6)</f>
        <v>65.814544893014443</v>
      </c>
      <c r="D1435" s="2">
        <f t="shared" si="45"/>
        <v>0</v>
      </c>
    </row>
    <row r="1436" spans="1:4" x14ac:dyDescent="0.3">
      <c r="A1436" s="2">
        <f>131.970630572315*(1/3.6)</f>
        <v>36.658508492309771</v>
      </c>
      <c r="B1436" s="2">
        <f>277.212312017281*(1/3.6)</f>
        <v>77.003420004800191</v>
      </c>
      <c r="C1436" s="2">
        <f>233.494174160272*(1/3.6)</f>
        <v>64.859492822297725</v>
      </c>
      <c r="D1436" s="2">
        <f t="shared" si="45"/>
        <v>0</v>
      </c>
    </row>
    <row r="1437" spans="1:4" x14ac:dyDescent="0.3">
      <c r="A1437" s="2">
        <f>136.083944915143*(1/3.6)</f>
        <v>37.801095809761911</v>
      </c>
      <c r="B1437" s="2">
        <f>279.99582991729*(1/3.6)</f>
        <v>77.776619421469334</v>
      </c>
      <c r="C1437" s="2">
        <f>236.205125045901*(1/3.6)</f>
        <v>65.612534734972584</v>
      </c>
      <c r="D1437" s="2">
        <f t="shared" si="45"/>
        <v>0</v>
      </c>
    </row>
    <row r="1438" spans="1:4" x14ac:dyDescent="0.3">
      <c r="A1438" s="2">
        <f>132.366615770702*(1/3.6)</f>
        <v>36.768504380750684</v>
      </c>
      <c r="B1438" s="2">
        <f>275.405753242289*(1/3.6)</f>
        <v>76.501598122857985</v>
      </c>
      <c r="C1438" s="2">
        <f>232.336133643795*(1/3.6)</f>
        <v>64.537814901054091</v>
      </c>
      <c r="D1438" s="2">
        <f t="shared" si="45"/>
        <v>0</v>
      </c>
    </row>
    <row r="1439" spans="1:4" x14ac:dyDescent="0.3">
      <c r="A1439" s="2">
        <f>135.234240104946*(1/3.6)</f>
        <v>37.565066695818288</v>
      </c>
      <c r="B1439" s="2">
        <f>278.584579428715*(1/3.6)</f>
        <v>77.384605396865339</v>
      </c>
      <c r="C1439" s="2">
        <f>234.339213282521*(1/3.6)</f>
        <v>65.094225911811336</v>
      </c>
      <c r="D1439" s="2">
        <f t="shared" si="45"/>
        <v>0</v>
      </c>
    </row>
    <row r="1440" spans="1:4" x14ac:dyDescent="0.3">
      <c r="A1440" s="2">
        <f>134.404664991353*(1/3.6)</f>
        <v>37.334629164264697</v>
      </c>
      <c r="B1440" s="2">
        <f>277.532687529391*(1/3.6)</f>
        <v>77.092413202608682</v>
      </c>
      <c r="C1440" s="2">
        <f>233.349151667866*(1/3.6)</f>
        <v>64.81920879662934</v>
      </c>
      <c r="D1440" s="2">
        <f t="shared" si="45"/>
        <v>0</v>
      </c>
    </row>
    <row r="1441" spans="1:4" x14ac:dyDescent="0.3">
      <c r="A1441" s="2">
        <f>132.453336182379*(1/3.6)</f>
        <v>36.792593383994081</v>
      </c>
      <c r="B1441" s="2">
        <f>274.953861765949*(1/3.6)</f>
        <v>76.376072712763644</v>
      </c>
      <c r="C1441" s="2">
        <f>230.679423328892*(1/3.6)</f>
        <v>64.077617591359015</v>
      </c>
      <c r="D1441" s="2">
        <f t="shared" si="45"/>
        <v>0</v>
      </c>
    </row>
    <row r="1442" spans="1:4" x14ac:dyDescent="0.3">
      <c r="A1442" s="2">
        <f>134.98824111193*(1/3.6)</f>
        <v>37.496733642202756</v>
      </c>
      <c r="B1442" s="2">
        <f>276.436671058067*(1/3.6)</f>
        <v>76.787964182796529</v>
      </c>
      <c r="C1442" s="2">
        <f>232.726705411914*(1/3.6)</f>
        <v>64.646307058864949</v>
      </c>
      <c r="D1442" s="2">
        <f t="shared" si="45"/>
        <v>0</v>
      </c>
    </row>
    <row r="1443" spans="1:4" x14ac:dyDescent="0.3">
      <c r="A1443" s="2">
        <f>135.452237156345*(1/3.6)</f>
        <v>37.625621432317971</v>
      </c>
      <c r="B1443" s="2">
        <f>278.571798138362*(1/3.6)</f>
        <v>77.381055038433885</v>
      </c>
      <c r="C1443" s="2">
        <f>232.758451076087*(1/3.6)</f>
        <v>64.655125298913191</v>
      </c>
      <c r="D1443" s="2">
        <f t="shared" si="45"/>
        <v>0</v>
      </c>
    </row>
    <row r="1444" spans="1:4" x14ac:dyDescent="0.3">
      <c r="A1444" s="2">
        <f>134.464813875403*(1/3.6)</f>
        <v>37.351337187611833</v>
      </c>
      <c r="B1444" s="2">
        <f>275.642847547652*(1/3.6)</f>
        <v>76.567457652125455</v>
      </c>
      <c r="C1444" s="2">
        <f>231.48256392819*(1/3.6)</f>
        <v>64.300712202274951</v>
      </c>
      <c r="D1444" s="2">
        <f t="shared" si="45"/>
        <v>0</v>
      </c>
    </row>
    <row r="1445" spans="1:4" x14ac:dyDescent="0.3">
      <c r="A1445" s="2">
        <f>132.300861106244*(1/3.6)</f>
        <v>36.750239196178882</v>
      </c>
      <c r="B1445" s="2">
        <f>275.874384349957*(1/3.6)</f>
        <v>76.631773430543547</v>
      </c>
      <c r="C1445" s="2">
        <f>229.435939425497*(1/3.6)</f>
        <v>63.732205395971469</v>
      </c>
      <c r="D1445" s="2">
        <f t="shared" si="45"/>
        <v>0</v>
      </c>
    </row>
    <row r="1446" spans="1:4" x14ac:dyDescent="0.3">
      <c r="A1446" s="2">
        <f>132.959286165642*(1/3.6)</f>
        <v>36.933135046011543</v>
      </c>
      <c r="B1446" s="2">
        <f>275.225852402267*(1/3.6)</f>
        <v>76.451625667296312</v>
      </c>
      <c r="C1446" s="2">
        <f>228.945021038148*(1/3.6)</f>
        <v>63.595839177263201</v>
      </c>
      <c r="D1446" s="2">
        <f t="shared" si="45"/>
        <v>0</v>
      </c>
    </row>
    <row r="1447" spans="1:4" x14ac:dyDescent="0.3">
      <c r="A1447" s="2">
        <f>134.067635237014*(1/3.6)</f>
        <v>37.241009788059479</v>
      </c>
      <c r="B1447" s="2">
        <f>275.045272457751*(1/3.6)</f>
        <v>76.401464571597401</v>
      </c>
      <c r="C1447" s="2">
        <f>228.999101961078*(1/3.6)</f>
        <v>63.610861655854968</v>
      </c>
      <c r="D1447" s="2">
        <f t="shared" si="45"/>
        <v>0</v>
      </c>
    </row>
    <row r="1448" spans="1:4" x14ac:dyDescent="0.3">
      <c r="A1448" s="2">
        <f>135.433385595197*(1/3.6)</f>
        <v>37.620384887554799</v>
      </c>
      <c r="B1448" s="2">
        <f>276.462147240771*(1/3.6)</f>
        <v>76.795040900214175</v>
      </c>
      <c r="C1448" s="2">
        <f>229.760022144162*(1/3.6)</f>
        <v>63.822228373378422</v>
      </c>
      <c r="D1448" s="2">
        <f t="shared" si="45"/>
        <v>0</v>
      </c>
    </row>
    <row r="1449" spans="1:4" x14ac:dyDescent="0.3">
      <c r="A1449" s="2">
        <f>135.782964081444*(1/3.6)</f>
        <v>37.717490022623224</v>
      </c>
      <c r="B1449" s="2">
        <f>276.116581088477*(1/3.6)</f>
        <v>76.699050302354607</v>
      </c>
      <c r="C1449" s="2">
        <f>229.892412554883*(1/3.6)</f>
        <v>63.859003487467568</v>
      </c>
      <c r="D1449" s="2">
        <f t="shared" si="45"/>
        <v>0</v>
      </c>
    </row>
    <row r="1450" spans="1:4" x14ac:dyDescent="0.3">
      <c r="A1450" s="2">
        <f>136.101450587159*(1/3.6)</f>
        <v>37.805958496433156</v>
      </c>
      <c r="B1450" s="2">
        <f>276.440420174738*(1/3.6)</f>
        <v>76.789005604093816</v>
      </c>
      <c r="C1450" s="2">
        <f>229.82220050295*(1/3.6)</f>
        <v>63.839500139708321</v>
      </c>
      <c r="D1450" s="2">
        <f t="shared" si="45"/>
        <v>0</v>
      </c>
    </row>
    <row r="1451" spans="1:4" x14ac:dyDescent="0.3">
      <c r="A1451" s="2">
        <f>136.693225848259*(1/3.6)</f>
        <v>37.970340513405169</v>
      </c>
      <c r="B1451" s="2">
        <f>278.06619501267*(1/3.6)</f>
        <v>77.240609725741763</v>
      </c>
      <c r="C1451" s="2">
        <f>229.873204978883*(1/3.6)</f>
        <v>63.853668049689652</v>
      </c>
      <c r="D1451" s="2">
        <f t="shared" si="45"/>
        <v>0</v>
      </c>
    </row>
    <row r="1452" spans="1:4" x14ac:dyDescent="0.3">
      <c r="A1452" s="2">
        <f>135.891712690439*(1/3.6)</f>
        <v>37.74769796956631</v>
      </c>
      <c r="B1452" s="2">
        <f>275.414310814021*(1/3.6)</f>
        <v>76.50397522611695</v>
      </c>
      <c r="C1452" s="2">
        <f>228.282945950568*(1/3.6)</f>
        <v>63.411929430713251</v>
      </c>
      <c r="D1452" s="2">
        <f t="shared" si="45"/>
        <v>0</v>
      </c>
    </row>
    <row r="1453" spans="1:4" x14ac:dyDescent="0.3">
      <c r="A1453" s="2">
        <f>135.959065630418*(1/3.6)</f>
        <v>37.766407119560547</v>
      </c>
      <c r="B1453" s="2">
        <f>276.596083557251*(1/3.6)</f>
        <v>76.832245432569721</v>
      </c>
      <c r="C1453" s="2">
        <f>228.565626637731*(1/3.6)</f>
        <v>63.490451843814292</v>
      </c>
      <c r="D1453" s="2">
        <f t="shared" si="45"/>
        <v>0</v>
      </c>
    </row>
    <row r="1454" spans="1:4" x14ac:dyDescent="0.3">
      <c r="A1454" s="2">
        <f>135.832359304231*(1/3.6)</f>
        <v>37.731210917841885</v>
      </c>
      <c r="B1454" s="2">
        <f>274.354955887993*(1/3.6)</f>
        <v>76.209709968886884</v>
      </c>
      <c r="C1454" s="2">
        <f>227.607356911324*(1/3.6)</f>
        <v>63.224265808700984</v>
      </c>
      <c r="D1454" s="2">
        <f t="shared" si="45"/>
        <v>0</v>
      </c>
    </row>
    <row r="1455" spans="1:4" x14ac:dyDescent="0.3">
      <c r="A1455" s="2">
        <f>135.778864636774*(1/3.6)</f>
        <v>37.716351287992801</v>
      </c>
      <c r="B1455" s="2">
        <f>275.966090420877*(1/3.6)</f>
        <v>76.657247339132525</v>
      </c>
      <c r="C1455" s="2">
        <f>227.14049143195*(1/3.6)</f>
        <v>63.0945809533195</v>
      </c>
      <c r="D1455" s="2">
        <f t="shared" si="45"/>
        <v>0</v>
      </c>
    </row>
    <row r="1456" spans="1:4" x14ac:dyDescent="0.3">
      <c r="A1456" s="2">
        <f>135.153458817703*(1/3.6)</f>
        <v>37.542627449361966</v>
      </c>
      <c r="B1456" s="2">
        <f>273.547168666895*(1/3.6)</f>
        <v>75.98532462969294</v>
      </c>
      <c r="C1456" s="2">
        <f>225.696005403322*(1/3.6)</f>
        <v>62.693334834256028</v>
      </c>
      <c r="D1456" s="2">
        <f t="shared" si="45"/>
        <v>0</v>
      </c>
    </row>
    <row r="1457" spans="1:4" x14ac:dyDescent="0.3">
      <c r="A1457" s="2">
        <f>133.199972628515*(1/3.6)</f>
        <v>36.999992396809759</v>
      </c>
      <c r="B1457" s="2">
        <f>272.346237942267*(1/3.6)</f>
        <v>75.651732761740845</v>
      </c>
      <c r="C1457" s="2">
        <f>224.054360437427*(1/3.6)</f>
        <v>62.237322343729844</v>
      </c>
      <c r="D1457" s="2">
        <f t="shared" si="45"/>
        <v>0</v>
      </c>
    </row>
    <row r="1458" spans="1:4" x14ac:dyDescent="0.3">
      <c r="A1458" s="2">
        <f>135.202031558515*(1/3.6)</f>
        <v>37.556119877365319</v>
      </c>
      <c r="B1458" s="2">
        <f>274.043032926158*(1/3.6)</f>
        <v>76.123064701710476</v>
      </c>
      <c r="C1458" s="2">
        <f>225.543304203702*(1/3.6)</f>
        <v>62.650917834361749</v>
      </c>
      <c r="D1458" s="2">
        <f t="shared" si="45"/>
        <v>0</v>
      </c>
    </row>
    <row r="1459" spans="1:4" x14ac:dyDescent="0.3">
      <c r="A1459" s="2">
        <f>136.012107682888*(1/3.6)</f>
        <v>37.78114102302456</v>
      </c>
      <c r="B1459" s="2">
        <f>274.767954611094*(1/3.6)</f>
        <v>76.324431836415073</v>
      </c>
      <c r="C1459" s="2">
        <f>225.605172863658*(1/3.6)</f>
        <v>62.668103573238263</v>
      </c>
      <c r="D1459" s="2">
        <f t="shared" si="45"/>
        <v>0</v>
      </c>
    </row>
    <row r="1460" spans="1:4" x14ac:dyDescent="0.3">
      <c r="A1460" s="2">
        <f>134.573648238626*(1/3.6)</f>
        <v>37.381568955173762</v>
      </c>
      <c r="B1460" s="2">
        <f>273.993506754444*(1/3.6)</f>
        <v>76.109307431790128</v>
      </c>
      <c r="C1460" s="2">
        <f>224.005585959152*(1/3.6)</f>
        <v>62.223773877542158</v>
      </c>
      <c r="D1460" s="2">
        <f t="shared" si="45"/>
        <v>0</v>
      </c>
    </row>
    <row r="1461" spans="1:4" x14ac:dyDescent="0.3">
      <c r="A1461" s="2">
        <f>133.063906527508*(1/3.6)</f>
        <v>36.96219625764099</v>
      </c>
      <c r="B1461" s="2">
        <f>272.497246673603*(1/3.6)</f>
        <v>75.693679631556478</v>
      </c>
      <c r="C1461" s="2">
        <f>222.3367343055*(1/3.6)</f>
        <v>61.760203973750116</v>
      </c>
      <c r="D1461" s="2">
        <f t="shared" si="45"/>
        <v>0</v>
      </c>
    </row>
    <row r="1462" spans="1:4" x14ac:dyDescent="0.3">
      <c r="A1462" s="2">
        <f>135.298143229201*(1/3.6)</f>
        <v>37.582817563666936</v>
      </c>
      <c r="B1462" s="2">
        <f>271.430302516085*(1/3.6)</f>
        <v>75.397306254467935</v>
      </c>
      <c r="C1462" s="2">
        <f>223.798508261851*(1/3.6)</f>
        <v>62.16625229495849</v>
      </c>
      <c r="D1462" s="2">
        <f t="shared" si="4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9C12-6406-42FD-8AFF-D8E26E0FB0A7}">
  <dimension ref="A1:D1462"/>
  <sheetViews>
    <sheetView topLeftCell="A1438" workbookViewId="0">
      <selection activeCell="I1444" sqref="I1444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f t="shared" ref="A2:D18" si="0">((0*(1/3.6))*(3.6))*(1/3.6)</f>
        <v>0</v>
      </c>
      <c r="B2">
        <f t="shared" si="0"/>
        <v>0</v>
      </c>
      <c r="C2">
        <f t="shared" si="0"/>
        <v>0</v>
      </c>
      <c r="D2">
        <f t="shared" si="0"/>
        <v>0</v>
      </c>
    </row>
    <row r="3" spans="1:4" x14ac:dyDescent="0.3">
      <c r="A3">
        <f t="shared" si="0"/>
        <v>0</v>
      </c>
      <c r="B3">
        <f t="shared" si="0"/>
        <v>0</v>
      </c>
      <c r="C3">
        <f t="shared" si="0"/>
        <v>0</v>
      </c>
      <c r="D3">
        <f t="shared" si="0"/>
        <v>0</v>
      </c>
    </row>
    <row r="4" spans="1:4" x14ac:dyDescent="0.3">
      <c r="A4">
        <f t="shared" si="0"/>
        <v>0</v>
      </c>
      <c r="B4">
        <f t="shared" si="0"/>
        <v>0</v>
      </c>
      <c r="C4">
        <f t="shared" si="0"/>
        <v>0</v>
      </c>
      <c r="D4">
        <f t="shared" si="0"/>
        <v>0</v>
      </c>
    </row>
    <row r="5" spans="1:4" x14ac:dyDescent="0.3">
      <c r="A5">
        <f t="shared" si="0"/>
        <v>0</v>
      </c>
      <c r="B5">
        <f t="shared" si="0"/>
        <v>0</v>
      </c>
      <c r="C5">
        <f t="shared" si="0"/>
        <v>0</v>
      </c>
      <c r="D5">
        <f t="shared" si="0"/>
        <v>0</v>
      </c>
    </row>
    <row r="6" spans="1:4" x14ac:dyDescent="0.3">
      <c r="A6">
        <f t="shared" si="0"/>
        <v>0</v>
      </c>
      <c r="B6">
        <f t="shared" si="0"/>
        <v>0</v>
      </c>
      <c r="C6">
        <f t="shared" si="0"/>
        <v>0</v>
      </c>
      <c r="D6">
        <f t="shared" si="0"/>
        <v>0</v>
      </c>
    </row>
    <row r="7" spans="1:4" x14ac:dyDescent="0.3">
      <c r="A7">
        <f t="shared" si="0"/>
        <v>0</v>
      </c>
      <c r="B7">
        <f t="shared" si="0"/>
        <v>0</v>
      </c>
      <c r="C7">
        <f t="shared" si="0"/>
        <v>0</v>
      </c>
      <c r="D7">
        <f t="shared" si="0"/>
        <v>0</v>
      </c>
    </row>
    <row r="8" spans="1:4" x14ac:dyDescent="0.3">
      <c r="A8">
        <f t="shared" si="0"/>
        <v>0</v>
      </c>
      <c r="B8">
        <f t="shared" si="0"/>
        <v>0</v>
      </c>
      <c r="C8">
        <f t="shared" si="0"/>
        <v>0</v>
      </c>
      <c r="D8">
        <f t="shared" si="0"/>
        <v>0</v>
      </c>
    </row>
    <row r="9" spans="1:4" x14ac:dyDescent="0.3">
      <c r="A9">
        <f t="shared" si="0"/>
        <v>0</v>
      </c>
      <c r="B9">
        <f t="shared" si="0"/>
        <v>0</v>
      </c>
      <c r="C9">
        <f t="shared" si="0"/>
        <v>0</v>
      </c>
      <c r="D9">
        <f t="shared" si="0"/>
        <v>0</v>
      </c>
    </row>
    <row r="10" spans="1:4" x14ac:dyDescent="0.3">
      <c r="A10">
        <f t="shared" si="0"/>
        <v>0</v>
      </c>
      <c r="B10">
        <f t="shared" si="0"/>
        <v>0</v>
      </c>
      <c r="C10">
        <f t="shared" si="0"/>
        <v>0</v>
      </c>
      <c r="D10">
        <f t="shared" si="0"/>
        <v>0</v>
      </c>
    </row>
    <row r="11" spans="1:4" x14ac:dyDescent="0.3">
      <c r="A11">
        <f t="shared" si="0"/>
        <v>0</v>
      </c>
      <c r="B11">
        <f t="shared" si="0"/>
        <v>0</v>
      </c>
      <c r="C11">
        <f t="shared" si="0"/>
        <v>0</v>
      </c>
      <c r="D11">
        <f t="shared" si="0"/>
        <v>0</v>
      </c>
    </row>
    <row r="12" spans="1:4" x14ac:dyDescent="0.3">
      <c r="A12">
        <f t="shared" si="0"/>
        <v>0</v>
      </c>
      <c r="B12">
        <f t="shared" si="0"/>
        <v>0</v>
      </c>
      <c r="C12">
        <f t="shared" si="0"/>
        <v>0</v>
      </c>
      <c r="D12">
        <f t="shared" si="0"/>
        <v>0</v>
      </c>
    </row>
    <row r="13" spans="1:4" x14ac:dyDescent="0.3">
      <c r="A13">
        <f t="shared" si="0"/>
        <v>0</v>
      </c>
      <c r="B13">
        <f t="shared" si="0"/>
        <v>0</v>
      </c>
      <c r="C13">
        <f t="shared" si="0"/>
        <v>0</v>
      </c>
      <c r="D13">
        <f t="shared" si="0"/>
        <v>0</v>
      </c>
    </row>
    <row r="14" spans="1:4" x14ac:dyDescent="0.3">
      <c r="A14">
        <f t="shared" si="0"/>
        <v>0</v>
      </c>
      <c r="B14">
        <f t="shared" si="0"/>
        <v>0</v>
      </c>
      <c r="C14">
        <f t="shared" si="0"/>
        <v>0</v>
      </c>
      <c r="D14">
        <f t="shared" si="0"/>
        <v>0</v>
      </c>
    </row>
    <row r="15" spans="1:4" x14ac:dyDescent="0.3">
      <c r="A15">
        <f t="shared" si="0"/>
        <v>0</v>
      </c>
      <c r="B15">
        <f t="shared" si="0"/>
        <v>0</v>
      </c>
      <c r="C15">
        <f t="shared" si="0"/>
        <v>0</v>
      </c>
      <c r="D15">
        <f t="shared" si="0"/>
        <v>0</v>
      </c>
    </row>
    <row r="16" spans="1:4" x14ac:dyDescent="0.3">
      <c r="A16">
        <f t="shared" si="0"/>
        <v>0</v>
      </c>
      <c r="B16">
        <f t="shared" si="0"/>
        <v>0</v>
      </c>
      <c r="C16">
        <f t="shared" si="0"/>
        <v>0</v>
      </c>
      <c r="D16">
        <f t="shared" si="0"/>
        <v>0</v>
      </c>
    </row>
    <row r="17" spans="1:4" x14ac:dyDescent="0.3">
      <c r="A17">
        <f t="shared" si="0"/>
        <v>0</v>
      </c>
      <c r="B17">
        <f t="shared" si="0"/>
        <v>0</v>
      </c>
      <c r="C17">
        <f t="shared" si="0"/>
        <v>0</v>
      </c>
      <c r="D17">
        <f t="shared" si="0"/>
        <v>0</v>
      </c>
    </row>
    <row r="18" spans="1:4" x14ac:dyDescent="0.3">
      <c r="A18">
        <f t="shared" si="0"/>
        <v>0</v>
      </c>
      <c r="B18">
        <f t="shared" si="0"/>
        <v>0</v>
      </c>
      <c r="C18">
        <f t="shared" si="0"/>
        <v>0</v>
      </c>
      <c r="D18">
        <f t="shared" si="0"/>
        <v>0</v>
      </c>
    </row>
    <row r="19" spans="1:4" x14ac:dyDescent="0.3">
      <c r="A19">
        <f>((90.5*(1/3.6))*(3.6))*(1/3.6)</f>
        <v>25.138888888888889</v>
      </c>
      <c r="B19">
        <v>0</v>
      </c>
      <c r="C19">
        <f>129.1*(1/3.6)</f>
        <v>35.861111111111114</v>
      </c>
      <c r="D19">
        <f t="shared" ref="D19:D82" si="1">((0*(1/3.6))*(3.6))*(1/3.6)</f>
        <v>0</v>
      </c>
    </row>
    <row r="20" spans="1:4" x14ac:dyDescent="0.3">
      <c r="A20">
        <f t="shared" ref="A20:C39" si="2">((0*(1/3.6))*(3.6))*(1/3.6)</f>
        <v>0</v>
      </c>
      <c r="B20">
        <f t="shared" si="2"/>
        <v>0</v>
      </c>
      <c r="C20">
        <f t="shared" si="2"/>
        <v>0</v>
      </c>
      <c r="D20">
        <f t="shared" si="1"/>
        <v>0</v>
      </c>
    </row>
    <row r="21" spans="1:4" x14ac:dyDescent="0.3">
      <c r="A21">
        <f t="shared" si="2"/>
        <v>0</v>
      </c>
      <c r="B21">
        <f t="shared" si="2"/>
        <v>0</v>
      </c>
      <c r="C21">
        <f t="shared" si="2"/>
        <v>0</v>
      </c>
      <c r="D21">
        <f t="shared" si="1"/>
        <v>0</v>
      </c>
    </row>
    <row r="22" spans="1:4" x14ac:dyDescent="0.3">
      <c r="A22">
        <f t="shared" si="2"/>
        <v>0</v>
      </c>
      <c r="B22">
        <f t="shared" si="2"/>
        <v>0</v>
      </c>
      <c r="C22">
        <f t="shared" si="2"/>
        <v>0</v>
      </c>
      <c r="D22">
        <f t="shared" si="1"/>
        <v>0</v>
      </c>
    </row>
    <row r="23" spans="1:4" x14ac:dyDescent="0.3">
      <c r="A23">
        <f t="shared" si="2"/>
        <v>0</v>
      </c>
      <c r="B23">
        <f t="shared" si="2"/>
        <v>0</v>
      </c>
      <c r="C23">
        <f t="shared" si="2"/>
        <v>0</v>
      </c>
      <c r="D23">
        <f t="shared" si="1"/>
        <v>0</v>
      </c>
    </row>
    <row r="24" spans="1:4" x14ac:dyDescent="0.3">
      <c r="A24">
        <f t="shared" si="2"/>
        <v>0</v>
      </c>
      <c r="B24">
        <f t="shared" si="2"/>
        <v>0</v>
      </c>
      <c r="C24">
        <f t="shared" si="2"/>
        <v>0</v>
      </c>
      <c r="D24">
        <f t="shared" si="1"/>
        <v>0</v>
      </c>
    </row>
    <row r="25" spans="1:4" x14ac:dyDescent="0.3">
      <c r="A25">
        <f t="shared" si="2"/>
        <v>0</v>
      </c>
      <c r="B25">
        <f t="shared" si="2"/>
        <v>0</v>
      </c>
      <c r="C25">
        <f t="shared" si="2"/>
        <v>0</v>
      </c>
      <c r="D25">
        <f t="shared" si="1"/>
        <v>0</v>
      </c>
    </row>
    <row r="26" spans="1:4" x14ac:dyDescent="0.3">
      <c r="A26">
        <f t="shared" si="2"/>
        <v>0</v>
      </c>
      <c r="B26">
        <f t="shared" si="2"/>
        <v>0</v>
      </c>
      <c r="C26">
        <f t="shared" si="2"/>
        <v>0</v>
      </c>
      <c r="D26">
        <f t="shared" si="1"/>
        <v>0</v>
      </c>
    </row>
    <row r="27" spans="1:4" x14ac:dyDescent="0.3">
      <c r="A27">
        <f t="shared" si="2"/>
        <v>0</v>
      </c>
      <c r="B27">
        <f t="shared" si="2"/>
        <v>0</v>
      </c>
      <c r="C27">
        <f t="shared" si="2"/>
        <v>0</v>
      </c>
      <c r="D27">
        <f t="shared" si="1"/>
        <v>0</v>
      </c>
    </row>
    <row r="28" spans="1:4" x14ac:dyDescent="0.3">
      <c r="A28">
        <f t="shared" si="2"/>
        <v>0</v>
      </c>
      <c r="B28">
        <f t="shared" si="2"/>
        <v>0</v>
      </c>
      <c r="C28">
        <f t="shared" si="2"/>
        <v>0</v>
      </c>
      <c r="D28">
        <f t="shared" si="1"/>
        <v>0</v>
      </c>
    </row>
    <row r="29" spans="1:4" x14ac:dyDescent="0.3">
      <c r="A29">
        <f t="shared" si="2"/>
        <v>0</v>
      </c>
      <c r="B29">
        <f t="shared" si="2"/>
        <v>0</v>
      </c>
      <c r="C29">
        <f t="shared" si="2"/>
        <v>0</v>
      </c>
      <c r="D29">
        <f t="shared" si="1"/>
        <v>0</v>
      </c>
    </row>
    <row r="30" spans="1:4" x14ac:dyDescent="0.3">
      <c r="A30">
        <f t="shared" si="2"/>
        <v>0</v>
      </c>
      <c r="B30">
        <f t="shared" si="2"/>
        <v>0</v>
      </c>
      <c r="C30">
        <f t="shared" si="2"/>
        <v>0</v>
      </c>
      <c r="D30">
        <f t="shared" si="1"/>
        <v>0</v>
      </c>
    </row>
    <row r="31" spans="1:4" x14ac:dyDescent="0.3">
      <c r="A31">
        <f t="shared" si="2"/>
        <v>0</v>
      </c>
      <c r="B31">
        <f t="shared" si="2"/>
        <v>0</v>
      </c>
      <c r="C31">
        <f t="shared" si="2"/>
        <v>0</v>
      </c>
      <c r="D31">
        <f t="shared" si="1"/>
        <v>0</v>
      </c>
    </row>
    <row r="32" spans="1:4" x14ac:dyDescent="0.3">
      <c r="A32">
        <f t="shared" si="2"/>
        <v>0</v>
      </c>
      <c r="B32">
        <f t="shared" si="2"/>
        <v>0</v>
      </c>
      <c r="C32">
        <f t="shared" si="2"/>
        <v>0</v>
      </c>
      <c r="D32">
        <f t="shared" si="1"/>
        <v>0</v>
      </c>
    </row>
    <row r="33" spans="1:4" x14ac:dyDescent="0.3">
      <c r="A33">
        <f t="shared" si="2"/>
        <v>0</v>
      </c>
      <c r="B33">
        <f t="shared" si="2"/>
        <v>0</v>
      </c>
      <c r="C33">
        <f t="shared" si="2"/>
        <v>0</v>
      </c>
      <c r="D33">
        <f t="shared" si="1"/>
        <v>0</v>
      </c>
    </row>
    <row r="34" spans="1:4" x14ac:dyDescent="0.3">
      <c r="A34">
        <f t="shared" si="2"/>
        <v>0</v>
      </c>
      <c r="B34">
        <f t="shared" si="2"/>
        <v>0</v>
      </c>
      <c r="C34">
        <f t="shared" si="2"/>
        <v>0</v>
      </c>
      <c r="D34">
        <f t="shared" si="1"/>
        <v>0</v>
      </c>
    </row>
    <row r="35" spans="1:4" x14ac:dyDescent="0.3">
      <c r="A35">
        <f t="shared" si="2"/>
        <v>0</v>
      </c>
      <c r="B35">
        <f t="shared" si="2"/>
        <v>0</v>
      </c>
      <c r="C35">
        <f t="shared" si="2"/>
        <v>0</v>
      </c>
      <c r="D35">
        <f t="shared" si="1"/>
        <v>0</v>
      </c>
    </row>
    <row r="36" spans="1:4" x14ac:dyDescent="0.3">
      <c r="A36">
        <f t="shared" si="2"/>
        <v>0</v>
      </c>
      <c r="B36">
        <f t="shared" si="2"/>
        <v>0</v>
      </c>
      <c r="C36">
        <f t="shared" si="2"/>
        <v>0</v>
      </c>
      <c r="D36">
        <f t="shared" si="1"/>
        <v>0</v>
      </c>
    </row>
    <row r="37" spans="1:4" x14ac:dyDescent="0.3">
      <c r="A37">
        <f t="shared" si="2"/>
        <v>0</v>
      </c>
      <c r="B37">
        <f t="shared" si="2"/>
        <v>0</v>
      </c>
      <c r="C37">
        <f t="shared" si="2"/>
        <v>0</v>
      </c>
      <c r="D37">
        <f t="shared" si="1"/>
        <v>0</v>
      </c>
    </row>
    <row r="38" spans="1:4" x14ac:dyDescent="0.3">
      <c r="A38">
        <f t="shared" si="2"/>
        <v>0</v>
      </c>
      <c r="B38">
        <f t="shared" si="2"/>
        <v>0</v>
      </c>
      <c r="C38">
        <f t="shared" si="2"/>
        <v>0</v>
      </c>
      <c r="D38">
        <f t="shared" si="1"/>
        <v>0</v>
      </c>
    </row>
    <row r="39" spans="1:4" x14ac:dyDescent="0.3">
      <c r="A39">
        <f t="shared" si="2"/>
        <v>0</v>
      </c>
      <c r="B39">
        <f t="shared" si="2"/>
        <v>0</v>
      </c>
      <c r="C39">
        <f t="shared" si="2"/>
        <v>0</v>
      </c>
      <c r="D39">
        <f t="shared" si="1"/>
        <v>0</v>
      </c>
    </row>
    <row r="40" spans="1:4" x14ac:dyDescent="0.3">
      <c r="A40">
        <f t="shared" ref="A40:C59" si="3">((0*(1/3.6))*(3.6))*(1/3.6)</f>
        <v>0</v>
      </c>
      <c r="B40">
        <f t="shared" si="3"/>
        <v>0</v>
      </c>
      <c r="C40">
        <f t="shared" si="3"/>
        <v>0</v>
      </c>
      <c r="D40">
        <f t="shared" si="1"/>
        <v>0</v>
      </c>
    </row>
    <row r="41" spans="1:4" x14ac:dyDescent="0.3">
      <c r="A41">
        <f t="shared" si="3"/>
        <v>0</v>
      </c>
      <c r="B41">
        <f t="shared" si="3"/>
        <v>0</v>
      </c>
      <c r="C41">
        <f t="shared" si="3"/>
        <v>0</v>
      </c>
      <c r="D41">
        <f t="shared" si="1"/>
        <v>0</v>
      </c>
    </row>
    <row r="42" spans="1:4" x14ac:dyDescent="0.3">
      <c r="A42">
        <f t="shared" si="3"/>
        <v>0</v>
      </c>
      <c r="B42">
        <f t="shared" si="3"/>
        <v>0</v>
      </c>
      <c r="C42">
        <f t="shared" si="3"/>
        <v>0</v>
      </c>
      <c r="D42">
        <f t="shared" si="1"/>
        <v>0</v>
      </c>
    </row>
    <row r="43" spans="1:4" x14ac:dyDescent="0.3">
      <c r="A43">
        <f t="shared" si="3"/>
        <v>0</v>
      </c>
      <c r="B43">
        <f t="shared" si="3"/>
        <v>0</v>
      </c>
      <c r="C43">
        <f t="shared" si="3"/>
        <v>0</v>
      </c>
      <c r="D43">
        <f t="shared" si="1"/>
        <v>0</v>
      </c>
    </row>
    <row r="44" spans="1:4" x14ac:dyDescent="0.3">
      <c r="A44">
        <f t="shared" si="3"/>
        <v>0</v>
      </c>
      <c r="B44">
        <f t="shared" si="3"/>
        <v>0</v>
      </c>
      <c r="C44">
        <f t="shared" si="3"/>
        <v>0</v>
      </c>
      <c r="D44">
        <f t="shared" si="1"/>
        <v>0</v>
      </c>
    </row>
    <row r="45" spans="1:4" x14ac:dyDescent="0.3">
      <c r="A45">
        <f t="shared" si="3"/>
        <v>0</v>
      </c>
      <c r="B45">
        <f t="shared" si="3"/>
        <v>0</v>
      </c>
      <c r="C45">
        <f t="shared" si="3"/>
        <v>0</v>
      </c>
      <c r="D45">
        <f t="shared" si="1"/>
        <v>0</v>
      </c>
    </row>
    <row r="46" spans="1:4" x14ac:dyDescent="0.3">
      <c r="A46">
        <f t="shared" si="3"/>
        <v>0</v>
      </c>
      <c r="B46">
        <f t="shared" si="3"/>
        <v>0</v>
      </c>
      <c r="C46">
        <f t="shared" si="3"/>
        <v>0</v>
      </c>
      <c r="D46">
        <f t="shared" si="1"/>
        <v>0</v>
      </c>
    </row>
    <row r="47" spans="1:4" x14ac:dyDescent="0.3">
      <c r="A47">
        <f t="shared" si="3"/>
        <v>0</v>
      </c>
      <c r="B47">
        <f t="shared" si="3"/>
        <v>0</v>
      </c>
      <c r="C47">
        <f t="shared" si="3"/>
        <v>0</v>
      </c>
      <c r="D47">
        <f t="shared" si="1"/>
        <v>0</v>
      </c>
    </row>
    <row r="48" spans="1:4" x14ac:dyDescent="0.3">
      <c r="A48">
        <f t="shared" si="3"/>
        <v>0</v>
      </c>
      <c r="B48">
        <f t="shared" si="3"/>
        <v>0</v>
      </c>
      <c r="C48">
        <f t="shared" si="3"/>
        <v>0</v>
      </c>
      <c r="D48">
        <f t="shared" si="1"/>
        <v>0</v>
      </c>
    </row>
    <row r="49" spans="1:4" x14ac:dyDescent="0.3">
      <c r="A49">
        <f t="shared" si="3"/>
        <v>0</v>
      </c>
      <c r="B49">
        <f t="shared" si="3"/>
        <v>0</v>
      </c>
      <c r="C49">
        <f t="shared" si="3"/>
        <v>0</v>
      </c>
      <c r="D49">
        <f t="shared" si="1"/>
        <v>0</v>
      </c>
    </row>
    <row r="50" spans="1:4" x14ac:dyDescent="0.3">
      <c r="A50">
        <f t="shared" si="3"/>
        <v>0</v>
      </c>
      <c r="B50">
        <f t="shared" si="3"/>
        <v>0</v>
      </c>
      <c r="C50">
        <f t="shared" si="3"/>
        <v>0</v>
      </c>
      <c r="D50">
        <f t="shared" si="1"/>
        <v>0</v>
      </c>
    </row>
    <row r="51" spans="1:4" x14ac:dyDescent="0.3">
      <c r="A51">
        <f t="shared" si="3"/>
        <v>0</v>
      </c>
      <c r="B51">
        <f t="shared" si="3"/>
        <v>0</v>
      </c>
      <c r="C51">
        <f t="shared" si="3"/>
        <v>0</v>
      </c>
      <c r="D51">
        <f t="shared" si="1"/>
        <v>0</v>
      </c>
    </row>
    <row r="52" spans="1:4" x14ac:dyDescent="0.3">
      <c r="A52">
        <f t="shared" si="3"/>
        <v>0</v>
      </c>
      <c r="B52">
        <f t="shared" si="3"/>
        <v>0</v>
      </c>
      <c r="C52">
        <f t="shared" si="3"/>
        <v>0</v>
      </c>
      <c r="D52">
        <f t="shared" si="1"/>
        <v>0</v>
      </c>
    </row>
    <row r="53" spans="1:4" x14ac:dyDescent="0.3">
      <c r="A53">
        <f t="shared" si="3"/>
        <v>0</v>
      </c>
      <c r="B53">
        <f t="shared" si="3"/>
        <v>0</v>
      </c>
      <c r="C53">
        <f t="shared" si="3"/>
        <v>0</v>
      </c>
      <c r="D53">
        <f t="shared" si="1"/>
        <v>0</v>
      </c>
    </row>
    <row r="54" spans="1:4" x14ac:dyDescent="0.3">
      <c r="A54">
        <f t="shared" si="3"/>
        <v>0</v>
      </c>
      <c r="B54">
        <f t="shared" si="3"/>
        <v>0</v>
      </c>
      <c r="C54">
        <f t="shared" si="3"/>
        <v>0</v>
      </c>
      <c r="D54">
        <f t="shared" si="1"/>
        <v>0</v>
      </c>
    </row>
    <row r="55" spans="1:4" x14ac:dyDescent="0.3">
      <c r="A55">
        <f t="shared" si="3"/>
        <v>0</v>
      </c>
      <c r="B55">
        <f t="shared" si="3"/>
        <v>0</v>
      </c>
      <c r="C55">
        <f t="shared" si="3"/>
        <v>0</v>
      </c>
      <c r="D55">
        <f t="shared" si="1"/>
        <v>0</v>
      </c>
    </row>
    <row r="56" spans="1:4" x14ac:dyDescent="0.3">
      <c r="A56">
        <f t="shared" si="3"/>
        <v>0</v>
      </c>
      <c r="B56">
        <f t="shared" si="3"/>
        <v>0</v>
      </c>
      <c r="C56">
        <f t="shared" si="3"/>
        <v>0</v>
      </c>
      <c r="D56">
        <f t="shared" si="1"/>
        <v>0</v>
      </c>
    </row>
    <row r="57" spans="1:4" x14ac:dyDescent="0.3">
      <c r="A57">
        <f t="shared" si="3"/>
        <v>0</v>
      </c>
      <c r="B57">
        <f t="shared" si="3"/>
        <v>0</v>
      </c>
      <c r="C57">
        <f t="shared" si="3"/>
        <v>0</v>
      </c>
      <c r="D57">
        <f t="shared" si="1"/>
        <v>0</v>
      </c>
    </row>
    <row r="58" spans="1:4" x14ac:dyDescent="0.3">
      <c r="A58">
        <f t="shared" si="3"/>
        <v>0</v>
      </c>
      <c r="B58">
        <f t="shared" si="3"/>
        <v>0</v>
      </c>
      <c r="C58">
        <f t="shared" si="3"/>
        <v>0</v>
      </c>
      <c r="D58">
        <f t="shared" si="1"/>
        <v>0</v>
      </c>
    </row>
    <row r="59" spans="1:4" x14ac:dyDescent="0.3">
      <c r="A59">
        <f t="shared" si="3"/>
        <v>0</v>
      </c>
      <c r="B59">
        <f t="shared" si="3"/>
        <v>0</v>
      </c>
      <c r="C59">
        <f t="shared" si="3"/>
        <v>0</v>
      </c>
      <c r="D59">
        <f t="shared" si="1"/>
        <v>0</v>
      </c>
    </row>
    <row r="60" spans="1:4" x14ac:dyDescent="0.3">
      <c r="A60">
        <f t="shared" ref="A60:C79" si="4">((0*(1/3.6))*(3.6))*(1/3.6)</f>
        <v>0</v>
      </c>
      <c r="B60">
        <f t="shared" si="4"/>
        <v>0</v>
      </c>
      <c r="C60">
        <f t="shared" si="4"/>
        <v>0</v>
      </c>
      <c r="D60">
        <f t="shared" si="1"/>
        <v>0</v>
      </c>
    </row>
    <row r="61" spans="1:4" x14ac:dyDescent="0.3">
      <c r="A61">
        <f t="shared" si="4"/>
        <v>0</v>
      </c>
      <c r="B61">
        <f t="shared" si="4"/>
        <v>0</v>
      </c>
      <c r="C61">
        <f t="shared" si="4"/>
        <v>0</v>
      </c>
      <c r="D61">
        <f t="shared" si="1"/>
        <v>0</v>
      </c>
    </row>
    <row r="62" spans="1:4" x14ac:dyDescent="0.3">
      <c r="A62">
        <f t="shared" si="4"/>
        <v>0</v>
      </c>
      <c r="B62">
        <f t="shared" si="4"/>
        <v>0</v>
      </c>
      <c r="C62">
        <f t="shared" si="4"/>
        <v>0</v>
      </c>
      <c r="D62">
        <f t="shared" si="1"/>
        <v>0</v>
      </c>
    </row>
    <row r="63" spans="1:4" x14ac:dyDescent="0.3">
      <c r="A63">
        <f t="shared" si="4"/>
        <v>0</v>
      </c>
      <c r="B63">
        <f t="shared" si="4"/>
        <v>0</v>
      </c>
      <c r="C63">
        <f t="shared" si="4"/>
        <v>0</v>
      </c>
      <c r="D63">
        <f t="shared" si="1"/>
        <v>0</v>
      </c>
    </row>
    <row r="64" spans="1:4" x14ac:dyDescent="0.3">
      <c r="A64">
        <f t="shared" si="4"/>
        <v>0</v>
      </c>
      <c r="B64">
        <f t="shared" si="4"/>
        <v>0</v>
      </c>
      <c r="C64">
        <f t="shared" si="4"/>
        <v>0</v>
      </c>
      <c r="D64">
        <f t="shared" si="1"/>
        <v>0</v>
      </c>
    </row>
    <row r="65" spans="1:4" x14ac:dyDescent="0.3">
      <c r="A65">
        <f t="shared" si="4"/>
        <v>0</v>
      </c>
      <c r="B65">
        <f t="shared" si="4"/>
        <v>0</v>
      </c>
      <c r="C65">
        <f t="shared" si="4"/>
        <v>0</v>
      </c>
      <c r="D65">
        <f t="shared" si="1"/>
        <v>0</v>
      </c>
    </row>
    <row r="66" spans="1:4" x14ac:dyDescent="0.3">
      <c r="A66">
        <f t="shared" si="4"/>
        <v>0</v>
      </c>
      <c r="B66">
        <f t="shared" si="4"/>
        <v>0</v>
      </c>
      <c r="C66">
        <f t="shared" si="4"/>
        <v>0</v>
      </c>
      <c r="D66">
        <f t="shared" si="1"/>
        <v>0</v>
      </c>
    </row>
    <row r="67" spans="1:4" x14ac:dyDescent="0.3">
      <c r="A67">
        <f t="shared" si="4"/>
        <v>0</v>
      </c>
      <c r="B67">
        <f t="shared" si="4"/>
        <v>0</v>
      </c>
      <c r="C67">
        <f t="shared" si="4"/>
        <v>0</v>
      </c>
      <c r="D67">
        <f t="shared" si="1"/>
        <v>0</v>
      </c>
    </row>
    <row r="68" spans="1:4" x14ac:dyDescent="0.3">
      <c r="A68">
        <f t="shared" si="4"/>
        <v>0</v>
      </c>
      <c r="B68">
        <f t="shared" si="4"/>
        <v>0</v>
      </c>
      <c r="C68">
        <f t="shared" si="4"/>
        <v>0</v>
      </c>
      <c r="D68">
        <f t="shared" si="1"/>
        <v>0</v>
      </c>
    </row>
    <row r="69" spans="1:4" x14ac:dyDescent="0.3">
      <c r="A69">
        <f t="shared" si="4"/>
        <v>0</v>
      </c>
      <c r="B69">
        <f t="shared" si="4"/>
        <v>0</v>
      </c>
      <c r="C69">
        <f t="shared" si="4"/>
        <v>0</v>
      </c>
      <c r="D69">
        <f t="shared" si="1"/>
        <v>0</v>
      </c>
    </row>
    <row r="70" spans="1:4" x14ac:dyDescent="0.3">
      <c r="A70">
        <f t="shared" si="4"/>
        <v>0</v>
      </c>
      <c r="B70">
        <f t="shared" si="4"/>
        <v>0</v>
      </c>
      <c r="C70">
        <f t="shared" si="4"/>
        <v>0</v>
      </c>
      <c r="D70">
        <f t="shared" si="1"/>
        <v>0</v>
      </c>
    </row>
    <row r="71" spans="1:4" x14ac:dyDescent="0.3">
      <c r="A71">
        <f t="shared" si="4"/>
        <v>0</v>
      </c>
      <c r="B71">
        <f t="shared" si="4"/>
        <v>0</v>
      </c>
      <c r="C71">
        <f t="shared" si="4"/>
        <v>0</v>
      </c>
      <c r="D71">
        <f t="shared" si="1"/>
        <v>0</v>
      </c>
    </row>
    <row r="72" spans="1:4" x14ac:dyDescent="0.3">
      <c r="A72">
        <f t="shared" si="4"/>
        <v>0</v>
      </c>
      <c r="B72">
        <f t="shared" si="4"/>
        <v>0</v>
      </c>
      <c r="C72">
        <f t="shared" si="4"/>
        <v>0</v>
      </c>
      <c r="D72">
        <f t="shared" si="1"/>
        <v>0</v>
      </c>
    </row>
    <row r="73" spans="1:4" x14ac:dyDescent="0.3">
      <c r="A73">
        <f t="shared" si="4"/>
        <v>0</v>
      </c>
      <c r="B73">
        <f t="shared" si="4"/>
        <v>0</v>
      </c>
      <c r="C73">
        <f t="shared" si="4"/>
        <v>0</v>
      </c>
      <c r="D73">
        <f t="shared" si="1"/>
        <v>0</v>
      </c>
    </row>
    <row r="74" spans="1:4" x14ac:dyDescent="0.3">
      <c r="A74">
        <f t="shared" si="4"/>
        <v>0</v>
      </c>
      <c r="B74">
        <f t="shared" si="4"/>
        <v>0</v>
      </c>
      <c r="C74">
        <f t="shared" si="4"/>
        <v>0</v>
      </c>
      <c r="D74">
        <f t="shared" si="1"/>
        <v>0</v>
      </c>
    </row>
    <row r="75" spans="1:4" x14ac:dyDescent="0.3">
      <c r="A75">
        <f t="shared" si="4"/>
        <v>0</v>
      </c>
      <c r="B75">
        <f t="shared" si="4"/>
        <v>0</v>
      </c>
      <c r="C75">
        <f t="shared" si="4"/>
        <v>0</v>
      </c>
      <c r="D75">
        <f t="shared" si="1"/>
        <v>0</v>
      </c>
    </row>
    <row r="76" spans="1:4" x14ac:dyDescent="0.3">
      <c r="A76">
        <f t="shared" si="4"/>
        <v>0</v>
      </c>
      <c r="B76">
        <f t="shared" si="4"/>
        <v>0</v>
      </c>
      <c r="C76">
        <f t="shared" si="4"/>
        <v>0</v>
      </c>
      <c r="D76">
        <f t="shared" si="1"/>
        <v>0</v>
      </c>
    </row>
    <row r="77" spans="1:4" x14ac:dyDescent="0.3">
      <c r="A77">
        <f t="shared" si="4"/>
        <v>0</v>
      </c>
      <c r="B77">
        <f t="shared" si="4"/>
        <v>0</v>
      </c>
      <c r="C77">
        <f t="shared" si="4"/>
        <v>0</v>
      </c>
      <c r="D77">
        <f t="shared" si="1"/>
        <v>0</v>
      </c>
    </row>
    <row r="78" spans="1:4" x14ac:dyDescent="0.3">
      <c r="A78">
        <f t="shared" si="4"/>
        <v>0</v>
      </c>
      <c r="B78">
        <f t="shared" si="4"/>
        <v>0</v>
      </c>
      <c r="C78">
        <f t="shared" si="4"/>
        <v>0</v>
      </c>
      <c r="D78">
        <f t="shared" si="1"/>
        <v>0</v>
      </c>
    </row>
    <row r="79" spans="1:4" x14ac:dyDescent="0.3">
      <c r="A79">
        <f t="shared" si="4"/>
        <v>0</v>
      </c>
      <c r="B79">
        <f t="shared" si="4"/>
        <v>0</v>
      </c>
      <c r="C79">
        <f t="shared" si="4"/>
        <v>0</v>
      </c>
      <c r="D79">
        <f t="shared" si="1"/>
        <v>0</v>
      </c>
    </row>
    <row r="80" spans="1:4" x14ac:dyDescent="0.3">
      <c r="A80">
        <f t="shared" ref="A80:C99" si="5">((0*(1/3.6))*(3.6))*(1/3.6)</f>
        <v>0</v>
      </c>
      <c r="B80">
        <f t="shared" si="5"/>
        <v>0</v>
      </c>
      <c r="C80">
        <f t="shared" si="5"/>
        <v>0</v>
      </c>
      <c r="D80">
        <f t="shared" si="1"/>
        <v>0</v>
      </c>
    </row>
    <row r="81" spans="1:4" x14ac:dyDescent="0.3">
      <c r="A81">
        <f t="shared" si="5"/>
        <v>0</v>
      </c>
      <c r="B81">
        <f t="shared" si="5"/>
        <v>0</v>
      </c>
      <c r="C81">
        <f t="shared" si="5"/>
        <v>0</v>
      </c>
      <c r="D81">
        <f t="shared" si="1"/>
        <v>0</v>
      </c>
    </row>
    <row r="82" spans="1:4" x14ac:dyDescent="0.3">
      <c r="A82">
        <f t="shared" si="5"/>
        <v>0</v>
      </c>
      <c r="B82">
        <f t="shared" si="5"/>
        <v>0</v>
      </c>
      <c r="C82">
        <f t="shared" si="5"/>
        <v>0</v>
      </c>
      <c r="D82">
        <f t="shared" si="1"/>
        <v>0</v>
      </c>
    </row>
    <row r="83" spans="1:4" x14ac:dyDescent="0.3">
      <c r="A83">
        <f t="shared" si="5"/>
        <v>0</v>
      </c>
      <c r="B83">
        <f t="shared" si="5"/>
        <v>0</v>
      </c>
      <c r="C83">
        <f t="shared" si="5"/>
        <v>0</v>
      </c>
      <c r="D83">
        <f t="shared" ref="D83:D146" si="6">((0*(1/3.6))*(3.6))*(1/3.6)</f>
        <v>0</v>
      </c>
    </row>
    <row r="84" spans="1:4" x14ac:dyDescent="0.3">
      <c r="A84">
        <f t="shared" si="5"/>
        <v>0</v>
      </c>
      <c r="B84">
        <f t="shared" si="5"/>
        <v>0</v>
      </c>
      <c r="C84">
        <f t="shared" si="5"/>
        <v>0</v>
      </c>
      <c r="D84">
        <f t="shared" si="6"/>
        <v>0</v>
      </c>
    </row>
    <row r="85" spans="1:4" x14ac:dyDescent="0.3">
      <c r="A85">
        <f t="shared" si="5"/>
        <v>0</v>
      </c>
      <c r="B85">
        <f t="shared" si="5"/>
        <v>0</v>
      </c>
      <c r="C85">
        <f t="shared" si="5"/>
        <v>0</v>
      </c>
      <c r="D85">
        <f t="shared" si="6"/>
        <v>0</v>
      </c>
    </row>
    <row r="86" spans="1:4" x14ac:dyDescent="0.3">
      <c r="A86">
        <f t="shared" si="5"/>
        <v>0</v>
      </c>
      <c r="B86">
        <f t="shared" si="5"/>
        <v>0</v>
      </c>
      <c r="C86">
        <f t="shared" si="5"/>
        <v>0</v>
      </c>
      <c r="D86">
        <f t="shared" si="6"/>
        <v>0</v>
      </c>
    </row>
    <row r="87" spans="1:4" x14ac:dyDescent="0.3">
      <c r="A87">
        <f t="shared" si="5"/>
        <v>0</v>
      </c>
      <c r="B87">
        <f t="shared" si="5"/>
        <v>0</v>
      </c>
      <c r="C87">
        <f t="shared" si="5"/>
        <v>0</v>
      </c>
      <c r="D87">
        <f t="shared" si="6"/>
        <v>0</v>
      </c>
    </row>
    <row r="88" spans="1:4" x14ac:dyDescent="0.3">
      <c r="A88">
        <f t="shared" si="5"/>
        <v>0</v>
      </c>
      <c r="B88">
        <f t="shared" si="5"/>
        <v>0</v>
      </c>
      <c r="C88">
        <f t="shared" si="5"/>
        <v>0</v>
      </c>
      <c r="D88">
        <f t="shared" si="6"/>
        <v>0</v>
      </c>
    </row>
    <row r="89" spans="1:4" x14ac:dyDescent="0.3">
      <c r="A89">
        <f t="shared" si="5"/>
        <v>0</v>
      </c>
      <c r="B89">
        <f t="shared" si="5"/>
        <v>0</v>
      </c>
      <c r="C89">
        <f t="shared" si="5"/>
        <v>0</v>
      </c>
      <c r="D89">
        <f t="shared" si="6"/>
        <v>0</v>
      </c>
    </row>
    <row r="90" spans="1:4" x14ac:dyDescent="0.3">
      <c r="A90">
        <f t="shared" si="5"/>
        <v>0</v>
      </c>
      <c r="B90">
        <f t="shared" si="5"/>
        <v>0</v>
      </c>
      <c r="C90">
        <f t="shared" si="5"/>
        <v>0</v>
      </c>
      <c r="D90">
        <f t="shared" si="6"/>
        <v>0</v>
      </c>
    </row>
    <row r="91" spans="1:4" x14ac:dyDescent="0.3">
      <c r="A91">
        <f t="shared" si="5"/>
        <v>0</v>
      </c>
      <c r="B91">
        <f t="shared" si="5"/>
        <v>0</v>
      </c>
      <c r="C91">
        <f t="shared" si="5"/>
        <v>0</v>
      </c>
      <c r="D91">
        <f t="shared" si="6"/>
        <v>0</v>
      </c>
    </row>
    <row r="92" spans="1:4" x14ac:dyDescent="0.3">
      <c r="A92">
        <f t="shared" si="5"/>
        <v>0</v>
      </c>
      <c r="B92">
        <f t="shared" si="5"/>
        <v>0</v>
      </c>
      <c r="C92">
        <f t="shared" si="5"/>
        <v>0</v>
      </c>
      <c r="D92">
        <f t="shared" si="6"/>
        <v>0</v>
      </c>
    </row>
    <row r="93" spans="1:4" x14ac:dyDescent="0.3">
      <c r="A93">
        <f t="shared" si="5"/>
        <v>0</v>
      </c>
      <c r="B93">
        <f t="shared" si="5"/>
        <v>0</v>
      </c>
      <c r="C93">
        <f t="shared" si="5"/>
        <v>0</v>
      </c>
      <c r="D93">
        <f t="shared" si="6"/>
        <v>0</v>
      </c>
    </row>
    <row r="94" spans="1:4" x14ac:dyDescent="0.3">
      <c r="A94">
        <f t="shared" si="5"/>
        <v>0</v>
      </c>
      <c r="B94">
        <f t="shared" si="5"/>
        <v>0</v>
      </c>
      <c r="C94">
        <f t="shared" si="5"/>
        <v>0</v>
      </c>
      <c r="D94">
        <f t="shared" si="6"/>
        <v>0</v>
      </c>
    </row>
    <row r="95" spans="1:4" x14ac:dyDescent="0.3">
      <c r="A95">
        <f t="shared" si="5"/>
        <v>0</v>
      </c>
      <c r="B95">
        <f t="shared" si="5"/>
        <v>0</v>
      </c>
      <c r="C95">
        <f t="shared" si="5"/>
        <v>0</v>
      </c>
      <c r="D95">
        <f t="shared" si="6"/>
        <v>0</v>
      </c>
    </row>
    <row r="96" spans="1:4" x14ac:dyDescent="0.3">
      <c r="A96">
        <f t="shared" si="5"/>
        <v>0</v>
      </c>
      <c r="B96">
        <f t="shared" si="5"/>
        <v>0</v>
      </c>
      <c r="C96">
        <f t="shared" si="5"/>
        <v>0</v>
      </c>
      <c r="D96">
        <f t="shared" si="6"/>
        <v>0</v>
      </c>
    </row>
    <row r="97" spans="1:4" x14ac:dyDescent="0.3">
      <c r="A97">
        <f t="shared" si="5"/>
        <v>0</v>
      </c>
      <c r="B97">
        <f t="shared" si="5"/>
        <v>0</v>
      </c>
      <c r="C97">
        <f t="shared" si="5"/>
        <v>0</v>
      </c>
      <c r="D97">
        <f t="shared" si="6"/>
        <v>0</v>
      </c>
    </row>
    <row r="98" spans="1:4" x14ac:dyDescent="0.3">
      <c r="A98">
        <f t="shared" si="5"/>
        <v>0</v>
      </c>
      <c r="B98">
        <f t="shared" si="5"/>
        <v>0</v>
      </c>
      <c r="C98">
        <f t="shared" si="5"/>
        <v>0</v>
      </c>
      <c r="D98">
        <f t="shared" si="6"/>
        <v>0</v>
      </c>
    </row>
    <row r="99" spans="1:4" x14ac:dyDescent="0.3">
      <c r="A99">
        <f t="shared" si="5"/>
        <v>0</v>
      </c>
      <c r="B99">
        <f t="shared" si="5"/>
        <v>0</v>
      </c>
      <c r="C99">
        <f t="shared" si="5"/>
        <v>0</v>
      </c>
      <c r="D99">
        <f t="shared" si="6"/>
        <v>0</v>
      </c>
    </row>
    <row r="100" spans="1:4" x14ac:dyDescent="0.3">
      <c r="A100">
        <f t="shared" ref="A100:C106" si="7">((0*(1/3.6))*(3.6))*(1/3.6)</f>
        <v>0</v>
      </c>
      <c r="B100">
        <f t="shared" si="7"/>
        <v>0</v>
      </c>
      <c r="C100">
        <f t="shared" si="7"/>
        <v>0</v>
      </c>
      <c r="D100">
        <f t="shared" si="6"/>
        <v>0</v>
      </c>
    </row>
    <row r="101" spans="1:4" x14ac:dyDescent="0.3">
      <c r="A101">
        <f t="shared" si="7"/>
        <v>0</v>
      </c>
      <c r="B101">
        <f t="shared" si="7"/>
        <v>0</v>
      </c>
      <c r="C101">
        <f t="shared" si="7"/>
        <v>0</v>
      </c>
      <c r="D101">
        <f t="shared" si="6"/>
        <v>0</v>
      </c>
    </row>
    <row r="102" spans="1:4" x14ac:dyDescent="0.3">
      <c r="A102">
        <f t="shared" si="7"/>
        <v>0</v>
      </c>
      <c r="B102">
        <f t="shared" si="7"/>
        <v>0</v>
      </c>
      <c r="C102">
        <f t="shared" si="7"/>
        <v>0</v>
      </c>
      <c r="D102">
        <f t="shared" si="6"/>
        <v>0</v>
      </c>
    </row>
    <row r="103" spans="1:4" x14ac:dyDescent="0.3">
      <c r="A103">
        <f t="shared" si="7"/>
        <v>0</v>
      </c>
      <c r="B103">
        <f t="shared" si="7"/>
        <v>0</v>
      </c>
      <c r="C103">
        <f t="shared" si="7"/>
        <v>0</v>
      </c>
      <c r="D103">
        <f t="shared" si="6"/>
        <v>0</v>
      </c>
    </row>
    <row r="104" spans="1:4" x14ac:dyDescent="0.3">
      <c r="A104">
        <f t="shared" si="7"/>
        <v>0</v>
      </c>
      <c r="B104">
        <f t="shared" si="7"/>
        <v>0</v>
      </c>
      <c r="C104">
        <f t="shared" si="7"/>
        <v>0</v>
      </c>
      <c r="D104">
        <f t="shared" si="6"/>
        <v>0</v>
      </c>
    </row>
    <row r="105" spans="1:4" x14ac:dyDescent="0.3">
      <c r="A105">
        <f t="shared" si="7"/>
        <v>0</v>
      </c>
      <c r="B105">
        <f t="shared" si="7"/>
        <v>0</v>
      </c>
      <c r="C105">
        <f t="shared" si="7"/>
        <v>0</v>
      </c>
      <c r="D105">
        <f t="shared" si="6"/>
        <v>0</v>
      </c>
    </row>
    <row r="106" spans="1:4" x14ac:dyDescent="0.3">
      <c r="A106">
        <f t="shared" si="7"/>
        <v>0</v>
      </c>
      <c r="B106">
        <f t="shared" si="7"/>
        <v>0</v>
      </c>
      <c r="C106">
        <f t="shared" si="7"/>
        <v>0</v>
      </c>
      <c r="D106">
        <f t="shared" si="6"/>
        <v>0</v>
      </c>
    </row>
    <row r="107" spans="1:4" x14ac:dyDescent="0.3">
      <c r="A107">
        <f>((101.4*(1/3.6))*(3.6))*(1/3.6)</f>
        <v>28.166666666666668</v>
      </c>
      <c r="B107">
        <f>247.7*(1/3.6)</f>
        <v>68.805555555555557</v>
      </c>
      <c r="C107">
        <v>0</v>
      </c>
      <c r="D107">
        <f t="shared" si="6"/>
        <v>0</v>
      </c>
    </row>
    <row r="108" spans="1:4" x14ac:dyDescent="0.3">
      <c r="A108">
        <f t="shared" ref="A108:C127" si="8">((0*(1/3.6))*(3.6))*(1/3.6)</f>
        <v>0</v>
      </c>
      <c r="B108">
        <f t="shared" si="8"/>
        <v>0</v>
      </c>
      <c r="C108">
        <f t="shared" si="8"/>
        <v>0</v>
      </c>
      <c r="D108">
        <f t="shared" si="6"/>
        <v>0</v>
      </c>
    </row>
    <row r="109" spans="1:4" x14ac:dyDescent="0.3">
      <c r="A109">
        <f t="shared" si="8"/>
        <v>0</v>
      </c>
      <c r="B109">
        <f t="shared" si="8"/>
        <v>0</v>
      </c>
      <c r="C109">
        <f t="shared" si="8"/>
        <v>0</v>
      </c>
      <c r="D109">
        <f t="shared" si="6"/>
        <v>0</v>
      </c>
    </row>
    <row r="110" spans="1:4" x14ac:dyDescent="0.3">
      <c r="A110">
        <f t="shared" si="8"/>
        <v>0</v>
      </c>
      <c r="B110">
        <f t="shared" si="8"/>
        <v>0</v>
      </c>
      <c r="C110">
        <f t="shared" si="8"/>
        <v>0</v>
      </c>
      <c r="D110">
        <f t="shared" si="6"/>
        <v>0</v>
      </c>
    </row>
    <row r="111" spans="1:4" x14ac:dyDescent="0.3">
      <c r="A111">
        <f t="shared" si="8"/>
        <v>0</v>
      </c>
      <c r="B111">
        <f t="shared" si="8"/>
        <v>0</v>
      </c>
      <c r="C111">
        <f t="shared" si="8"/>
        <v>0</v>
      </c>
      <c r="D111">
        <f t="shared" si="6"/>
        <v>0</v>
      </c>
    </row>
    <row r="112" spans="1:4" x14ac:dyDescent="0.3">
      <c r="A112">
        <f t="shared" si="8"/>
        <v>0</v>
      </c>
      <c r="B112">
        <f t="shared" si="8"/>
        <v>0</v>
      </c>
      <c r="C112">
        <f t="shared" si="8"/>
        <v>0</v>
      </c>
      <c r="D112">
        <f t="shared" si="6"/>
        <v>0</v>
      </c>
    </row>
    <row r="113" spans="1:4" x14ac:dyDescent="0.3">
      <c r="A113">
        <f t="shared" si="8"/>
        <v>0</v>
      </c>
      <c r="B113">
        <f t="shared" si="8"/>
        <v>0</v>
      </c>
      <c r="C113">
        <f t="shared" si="8"/>
        <v>0</v>
      </c>
      <c r="D113">
        <f t="shared" si="6"/>
        <v>0</v>
      </c>
    </row>
    <row r="114" spans="1:4" x14ac:dyDescent="0.3">
      <c r="A114">
        <f t="shared" si="8"/>
        <v>0</v>
      </c>
      <c r="B114">
        <f t="shared" si="8"/>
        <v>0</v>
      </c>
      <c r="C114">
        <f t="shared" si="8"/>
        <v>0</v>
      </c>
      <c r="D114">
        <f t="shared" si="6"/>
        <v>0</v>
      </c>
    </row>
    <row r="115" spans="1:4" x14ac:dyDescent="0.3">
      <c r="A115">
        <f t="shared" si="8"/>
        <v>0</v>
      </c>
      <c r="B115">
        <f t="shared" si="8"/>
        <v>0</v>
      </c>
      <c r="C115">
        <f t="shared" si="8"/>
        <v>0</v>
      </c>
      <c r="D115">
        <f t="shared" si="6"/>
        <v>0</v>
      </c>
    </row>
    <row r="116" spans="1:4" x14ac:dyDescent="0.3">
      <c r="A116">
        <f t="shared" si="8"/>
        <v>0</v>
      </c>
      <c r="B116">
        <f t="shared" si="8"/>
        <v>0</v>
      </c>
      <c r="C116">
        <f t="shared" si="8"/>
        <v>0</v>
      </c>
      <c r="D116">
        <f t="shared" si="6"/>
        <v>0</v>
      </c>
    </row>
    <row r="117" spans="1:4" x14ac:dyDescent="0.3">
      <c r="A117">
        <f t="shared" si="8"/>
        <v>0</v>
      </c>
      <c r="B117">
        <f t="shared" si="8"/>
        <v>0</v>
      </c>
      <c r="C117">
        <f t="shared" si="8"/>
        <v>0</v>
      </c>
      <c r="D117">
        <f t="shared" si="6"/>
        <v>0</v>
      </c>
    </row>
    <row r="118" spans="1:4" x14ac:dyDescent="0.3">
      <c r="A118">
        <f t="shared" si="8"/>
        <v>0</v>
      </c>
      <c r="B118">
        <f t="shared" si="8"/>
        <v>0</v>
      </c>
      <c r="C118">
        <f t="shared" si="8"/>
        <v>0</v>
      </c>
      <c r="D118">
        <f t="shared" si="6"/>
        <v>0</v>
      </c>
    </row>
    <row r="119" spans="1:4" x14ac:dyDescent="0.3">
      <c r="A119">
        <f t="shared" si="8"/>
        <v>0</v>
      </c>
      <c r="B119">
        <f t="shared" si="8"/>
        <v>0</v>
      </c>
      <c r="C119">
        <f t="shared" si="8"/>
        <v>0</v>
      </c>
      <c r="D119">
        <f t="shared" si="6"/>
        <v>0</v>
      </c>
    </row>
    <row r="120" spans="1:4" x14ac:dyDescent="0.3">
      <c r="A120">
        <f t="shared" si="8"/>
        <v>0</v>
      </c>
      <c r="B120">
        <f t="shared" si="8"/>
        <v>0</v>
      </c>
      <c r="C120">
        <f t="shared" si="8"/>
        <v>0</v>
      </c>
      <c r="D120">
        <f t="shared" si="6"/>
        <v>0</v>
      </c>
    </row>
    <row r="121" spans="1:4" x14ac:dyDescent="0.3">
      <c r="A121">
        <f t="shared" si="8"/>
        <v>0</v>
      </c>
      <c r="B121">
        <f t="shared" si="8"/>
        <v>0</v>
      </c>
      <c r="C121">
        <f t="shared" si="8"/>
        <v>0</v>
      </c>
      <c r="D121">
        <f t="shared" si="6"/>
        <v>0</v>
      </c>
    </row>
    <row r="122" spans="1:4" x14ac:dyDescent="0.3">
      <c r="A122">
        <f t="shared" si="8"/>
        <v>0</v>
      </c>
      <c r="B122">
        <f t="shared" si="8"/>
        <v>0</v>
      </c>
      <c r="C122">
        <f t="shared" si="8"/>
        <v>0</v>
      </c>
      <c r="D122">
        <f t="shared" si="6"/>
        <v>0</v>
      </c>
    </row>
    <row r="123" spans="1:4" x14ac:dyDescent="0.3">
      <c r="A123">
        <f t="shared" si="8"/>
        <v>0</v>
      </c>
      <c r="B123">
        <f t="shared" si="8"/>
        <v>0</v>
      </c>
      <c r="C123">
        <f t="shared" si="8"/>
        <v>0</v>
      </c>
      <c r="D123">
        <f t="shared" si="6"/>
        <v>0</v>
      </c>
    </row>
    <row r="124" spans="1:4" x14ac:dyDescent="0.3">
      <c r="A124">
        <f t="shared" si="8"/>
        <v>0</v>
      </c>
      <c r="B124">
        <f t="shared" si="8"/>
        <v>0</v>
      </c>
      <c r="C124">
        <f t="shared" si="8"/>
        <v>0</v>
      </c>
      <c r="D124">
        <f t="shared" si="6"/>
        <v>0</v>
      </c>
    </row>
    <row r="125" spans="1:4" x14ac:dyDescent="0.3">
      <c r="A125">
        <f t="shared" si="8"/>
        <v>0</v>
      </c>
      <c r="B125">
        <f t="shared" si="8"/>
        <v>0</v>
      </c>
      <c r="C125">
        <f t="shared" si="8"/>
        <v>0</v>
      </c>
      <c r="D125">
        <f t="shared" si="6"/>
        <v>0</v>
      </c>
    </row>
    <row r="126" spans="1:4" x14ac:dyDescent="0.3">
      <c r="A126">
        <f t="shared" si="8"/>
        <v>0</v>
      </c>
      <c r="B126">
        <f t="shared" si="8"/>
        <v>0</v>
      </c>
      <c r="C126">
        <f t="shared" si="8"/>
        <v>0</v>
      </c>
      <c r="D126">
        <f t="shared" si="6"/>
        <v>0</v>
      </c>
    </row>
    <row r="127" spans="1:4" x14ac:dyDescent="0.3">
      <c r="A127">
        <f t="shared" si="8"/>
        <v>0</v>
      </c>
      <c r="B127">
        <f t="shared" si="8"/>
        <v>0</v>
      </c>
      <c r="C127">
        <f t="shared" si="8"/>
        <v>0</v>
      </c>
      <c r="D127">
        <f t="shared" si="6"/>
        <v>0</v>
      </c>
    </row>
    <row r="128" spans="1:4" x14ac:dyDescent="0.3">
      <c r="A128">
        <f t="shared" ref="A128:C147" si="9">((0*(1/3.6))*(3.6))*(1/3.6)</f>
        <v>0</v>
      </c>
      <c r="B128">
        <f t="shared" si="9"/>
        <v>0</v>
      </c>
      <c r="C128">
        <f t="shared" si="9"/>
        <v>0</v>
      </c>
      <c r="D128">
        <f t="shared" si="6"/>
        <v>0</v>
      </c>
    </row>
    <row r="129" spans="1:4" x14ac:dyDescent="0.3">
      <c r="A129">
        <f t="shared" si="9"/>
        <v>0</v>
      </c>
      <c r="B129">
        <f t="shared" si="9"/>
        <v>0</v>
      </c>
      <c r="C129">
        <f t="shared" si="9"/>
        <v>0</v>
      </c>
      <c r="D129">
        <f t="shared" si="6"/>
        <v>0</v>
      </c>
    </row>
    <row r="130" spans="1:4" x14ac:dyDescent="0.3">
      <c r="A130">
        <f t="shared" si="9"/>
        <v>0</v>
      </c>
      <c r="B130">
        <f t="shared" si="9"/>
        <v>0</v>
      </c>
      <c r="C130">
        <f t="shared" si="9"/>
        <v>0</v>
      </c>
      <c r="D130">
        <f t="shared" si="6"/>
        <v>0</v>
      </c>
    </row>
    <row r="131" spans="1:4" x14ac:dyDescent="0.3">
      <c r="A131">
        <f t="shared" si="9"/>
        <v>0</v>
      </c>
      <c r="B131">
        <f t="shared" si="9"/>
        <v>0</v>
      </c>
      <c r="C131">
        <f t="shared" si="9"/>
        <v>0</v>
      </c>
      <c r="D131">
        <f t="shared" si="6"/>
        <v>0</v>
      </c>
    </row>
    <row r="132" spans="1:4" x14ac:dyDescent="0.3">
      <c r="A132">
        <f t="shared" si="9"/>
        <v>0</v>
      </c>
      <c r="B132">
        <f t="shared" si="9"/>
        <v>0</v>
      </c>
      <c r="C132">
        <f t="shared" si="9"/>
        <v>0</v>
      </c>
      <c r="D132">
        <f t="shared" si="6"/>
        <v>0</v>
      </c>
    </row>
    <row r="133" spans="1:4" x14ac:dyDescent="0.3">
      <c r="A133">
        <f t="shared" si="9"/>
        <v>0</v>
      </c>
      <c r="B133">
        <f t="shared" si="9"/>
        <v>0</v>
      </c>
      <c r="C133">
        <f t="shared" si="9"/>
        <v>0</v>
      </c>
      <c r="D133">
        <f t="shared" si="6"/>
        <v>0</v>
      </c>
    </row>
    <row r="134" spans="1:4" x14ac:dyDescent="0.3">
      <c r="A134">
        <f t="shared" si="9"/>
        <v>0</v>
      </c>
      <c r="B134">
        <f t="shared" si="9"/>
        <v>0</v>
      </c>
      <c r="C134">
        <f t="shared" si="9"/>
        <v>0</v>
      </c>
      <c r="D134">
        <f t="shared" si="6"/>
        <v>0</v>
      </c>
    </row>
    <row r="135" spans="1:4" x14ac:dyDescent="0.3">
      <c r="A135">
        <f t="shared" si="9"/>
        <v>0</v>
      </c>
      <c r="B135">
        <f t="shared" si="9"/>
        <v>0</v>
      </c>
      <c r="C135">
        <f t="shared" si="9"/>
        <v>0</v>
      </c>
      <c r="D135">
        <f t="shared" si="6"/>
        <v>0</v>
      </c>
    </row>
    <row r="136" spans="1:4" x14ac:dyDescent="0.3">
      <c r="A136">
        <f t="shared" si="9"/>
        <v>0</v>
      </c>
      <c r="B136">
        <f t="shared" si="9"/>
        <v>0</v>
      </c>
      <c r="C136">
        <f t="shared" si="9"/>
        <v>0</v>
      </c>
      <c r="D136">
        <f t="shared" si="6"/>
        <v>0</v>
      </c>
    </row>
    <row r="137" spans="1:4" x14ac:dyDescent="0.3">
      <c r="A137">
        <f t="shared" si="9"/>
        <v>0</v>
      </c>
      <c r="B137">
        <f t="shared" si="9"/>
        <v>0</v>
      </c>
      <c r="C137">
        <f t="shared" si="9"/>
        <v>0</v>
      </c>
      <c r="D137">
        <f t="shared" si="6"/>
        <v>0</v>
      </c>
    </row>
    <row r="138" spans="1:4" x14ac:dyDescent="0.3">
      <c r="A138">
        <f t="shared" si="9"/>
        <v>0</v>
      </c>
      <c r="B138">
        <f t="shared" si="9"/>
        <v>0</v>
      </c>
      <c r="C138">
        <f t="shared" si="9"/>
        <v>0</v>
      </c>
      <c r="D138">
        <f t="shared" si="6"/>
        <v>0</v>
      </c>
    </row>
    <row r="139" spans="1:4" x14ac:dyDescent="0.3">
      <c r="A139">
        <f t="shared" si="9"/>
        <v>0</v>
      </c>
      <c r="B139">
        <f t="shared" si="9"/>
        <v>0</v>
      </c>
      <c r="C139">
        <f t="shared" si="9"/>
        <v>0</v>
      </c>
      <c r="D139">
        <f t="shared" si="6"/>
        <v>0</v>
      </c>
    </row>
    <row r="140" spans="1:4" x14ac:dyDescent="0.3">
      <c r="A140">
        <f t="shared" si="9"/>
        <v>0</v>
      </c>
      <c r="B140">
        <f t="shared" si="9"/>
        <v>0</v>
      </c>
      <c r="C140">
        <f t="shared" si="9"/>
        <v>0</v>
      </c>
      <c r="D140">
        <f t="shared" si="6"/>
        <v>0</v>
      </c>
    </row>
    <row r="141" spans="1:4" x14ac:dyDescent="0.3">
      <c r="A141">
        <f t="shared" si="9"/>
        <v>0</v>
      </c>
      <c r="B141">
        <f t="shared" si="9"/>
        <v>0</v>
      </c>
      <c r="C141">
        <f t="shared" si="9"/>
        <v>0</v>
      </c>
      <c r="D141">
        <f t="shared" si="6"/>
        <v>0</v>
      </c>
    </row>
    <row r="142" spans="1:4" x14ac:dyDescent="0.3">
      <c r="A142">
        <f t="shared" si="9"/>
        <v>0</v>
      </c>
      <c r="B142">
        <f t="shared" si="9"/>
        <v>0</v>
      </c>
      <c r="C142">
        <f t="shared" si="9"/>
        <v>0</v>
      </c>
      <c r="D142">
        <f t="shared" si="6"/>
        <v>0</v>
      </c>
    </row>
    <row r="143" spans="1:4" x14ac:dyDescent="0.3">
      <c r="A143">
        <f t="shared" si="9"/>
        <v>0</v>
      </c>
      <c r="B143">
        <f t="shared" si="9"/>
        <v>0</v>
      </c>
      <c r="C143">
        <f t="shared" si="9"/>
        <v>0</v>
      </c>
      <c r="D143">
        <f t="shared" si="6"/>
        <v>0</v>
      </c>
    </row>
    <row r="144" spans="1:4" x14ac:dyDescent="0.3">
      <c r="A144">
        <f t="shared" si="9"/>
        <v>0</v>
      </c>
      <c r="B144">
        <f t="shared" si="9"/>
        <v>0</v>
      </c>
      <c r="C144">
        <f t="shared" si="9"/>
        <v>0</v>
      </c>
      <c r="D144">
        <f t="shared" si="6"/>
        <v>0</v>
      </c>
    </row>
    <row r="145" spans="1:4" x14ac:dyDescent="0.3">
      <c r="A145">
        <f t="shared" si="9"/>
        <v>0</v>
      </c>
      <c r="B145">
        <f t="shared" si="9"/>
        <v>0</v>
      </c>
      <c r="C145">
        <f t="shared" si="9"/>
        <v>0</v>
      </c>
      <c r="D145">
        <f t="shared" si="6"/>
        <v>0</v>
      </c>
    </row>
    <row r="146" spans="1:4" x14ac:dyDescent="0.3">
      <c r="A146">
        <f t="shared" si="9"/>
        <v>0</v>
      </c>
      <c r="B146">
        <f t="shared" si="9"/>
        <v>0</v>
      </c>
      <c r="C146">
        <f t="shared" si="9"/>
        <v>0</v>
      </c>
      <c r="D146">
        <f t="shared" si="6"/>
        <v>0</v>
      </c>
    </row>
    <row r="147" spans="1:4" x14ac:dyDescent="0.3">
      <c r="A147">
        <f t="shared" si="9"/>
        <v>0</v>
      </c>
      <c r="B147">
        <f t="shared" si="9"/>
        <v>0</v>
      </c>
      <c r="C147">
        <f t="shared" si="9"/>
        <v>0</v>
      </c>
      <c r="D147">
        <f t="shared" ref="D147:D210" si="10">((0*(1/3.6))*(3.6))*(1/3.6)</f>
        <v>0</v>
      </c>
    </row>
    <row r="148" spans="1:4" x14ac:dyDescent="0.3">
      <c r="A148">
        <f t="shared" ref="A148:C167" si="11">((0*(1/3.6))*(3.6))*(1/3.6)</f>
        <v>0</v>
      </c>
      <c r="B148">
        <f t="shared" si="11"/>
        <v>0</v>
      </c>
      <c r="C148">
        <f t="shared" si="11"/>
        <v>0</v>
      </c>
      <c r="D148">
        <f t="shared" si="10"/>
        <v>0</v>
      </c>
    </row>
    <row r="149" spans="1:4" x14ac:dyDescent="0.3">
      <c r="A149">
        <f t="shared" si="11"/>
        <v>0</v>
      </c>
      <c r="B149">
        <f t="shared" si="11"/>
        <v>0</v>
      </c>
      <c r="C149">
        <f t="shared" si="11"/>
        <v>0</v>
      </c>
      <c r="D149">
        <f t="shared" si="10"/>
        <v>0</v>
      </c>
    </row>
    <row r="150" spans="1:4" x14ac:dyDescent="0.3">
      <c r="A150">
        <f t="shared" si="11"/>
        <v>0</v>
      </c>
      <c r="B150">
        <f t="shared" si="11"/>
        <v>0</v>
      </c>
      <c r="C150">
        <f t="shared" si="11"/>
        <v>0</v>
      </c>
      <c r="D150">
        <f t="shared" si="10"/>
        <v>0</v>
      </c>
    </row>
    <row r="151" spans="1:4" x14ac:dyDescent="0.3">
      <c r="A151">
        <f t="shared" si="11"/>
        <v>0</v>
      </c>
      <c r="B151">
        <f t="shared" si="11"/>
        <v>0</v>
      </c>
      <c r="C151">
        <f t="shared" si="11"/>
        <v>0</v>
      </c>
      <c r="D151">
        <f t="shared" si="10"/>
        <v>0</v>
      </c>
    </row>
    <row r="152" spans="1:4" x14ac:dyDescent="0.3">
      <c r="A152">
        <f t="shared" si="11"/>
        <v>0</v>
      </c>
      <c r="B152">
        <f t="shared" si="11"/>
        <v>0</v>
      </c>
      <c r="C152">
        <f t="shared" si="11"/>
        <v>0</v>
      </c>
      <c r="D152">
        <f t="shared" si="10"/>
        <v>0</v>
      </c>
    </row>
    <row r="153" spans="1:4" x14ac:dyDescent="0.3">
      <c r="A153">
        <f t="shared" si="11"/>
        <v>0</v>
      </c>
      <c r="B153">
        <f t="shared" si="11"/>
        <v>0</v>
      </c>
      <c r="C153">
        <f t="shared" si="11"/>
        <v>0</v>
      </c>
      <c r="D153">
        <f t="shared" si="10"/>
        <v>0</v>
      </c>
    </row>
    <row r="154" spans="1:4" x14ac:dyDescent="0.3">
      <c r="A154">
        <f t="shared" si="11"/>
        <v>0</v>
      </c>
      <c r="B154">
        <f t="shared" si="11"/>
        <v>0</v>
      </c>
      <c r="C154">
        <f t="shared" si="11"/>
        <v>0</v>
      </c>
      <c r="D154">
        <f t="shared" si="10"/>
        <v>0</v>
      </c>
    </row>
    <row r="155" spans="1:4" x14ac:dyDescent="0.3">
      <c r="A155">
        <f t="shared" si="11"/>
        <v>0</v>
      </c>
      <c r="B155">
        <f t="shared" si="11"/>
        <v>0</v>
      </c>
      <c r="C155">
        <f t="shared" si="11"/>
        <v>0</v>
      </c>
      <c r="D155">
        <f t="shared" si="10"/>
        <v>0</v>
      </c>
    </row>
    <row r="156" spans="1:4" x14ac:dyDescent="0.3">
      <c r="A156">
        <f t="shared" si="11"/>
        <v>0</v>
      </c>
      <c r="B156">
        <f t="shared" si="11"/>
        <v>0</v>
      </c>
      <c r="C156">
        <f t="shared" si="11"/>
        <v>0</v>
      </c>
      <c r="D156">
        <f t="shared" si="10"/>
        <v>0</v>
      </c>
    </row>
    <row r="157" spans="1:4" x14ac:dyDescent="0.3">
      <c r="A157">
        <f t="shared" si="11"/>
        <v>0</v>
      </c>
      <c r="B157">
        <f t="shared" si="11"/>
        <v>0</v>
      </c>
      <c r="C157">
        <f t="shared" si="11"/>
        <v>0</v>
      </c>
      <c r="D157">
        <f t="shared" si="10"/>
        <v>0</v>
      </c>
    </row>
    <row r="158" spans="1:4" x14ac:dyDescent="0.3">
      <c r="A158">
        <f t="shared" si="11"/>
        <v>0</v>
      </c>
      <c r="B158">
        <f t="shared" si="11"/>
        <v>0</v>
      </c>
      <c r="C158">
        <f t="shared" si="11"/>
        <v>0</v>
      </c>
      <c r="D158">
        <f t="shared" si="10"/>
        <v>0</v>
      </c>
    </row>
    <row r="159" spans="1:4" x14ac:dyDescent="0.3">
      <c r="A159">
        <f t="shared" si="11"/>
        <v>0</v>
      </c>
      <c r="B159">
        <f t="shared" si="11"/>
        <v>0</v>
      </c>
      <c r="C159">
        <f t="shared" si="11"/>
        <v>0</v>
      </c>
      <c r="D159">
        <f t="shared" si="10"/>
        <v>0</v>
      </c>
    </row>
    <row r="160" spans="1:4" x14ac:dyDescent="0.3">
      <c r="A160">
        <f t="shared" si="11"/>
        <v>0</v>
      </c>
      <c r="B160">
        <f t="shared" si="11"/>
        <v>0</v>
      </c>
      <c r="C160">
        <f t="shared" si="11"/>
        <v>0</v>
      </c>
      <c r="D160">
        <f t="shared" si="10"/>
        <v>0</v>
      </c>
    </row>
    <row r="161" spans="1:4" x14ac:dyDescent="0.3">
      <c r="A161">
        <f t="shared" si="11"/>
        <v>0</v>
      </c>
      <c r="B161">
        <f t="shared" si="11"/>
        <v>0</v>
      </c>
      <c r="C161">
        <f t="shared" si="11"/>
        <v>0</v>
      </c>
      <c r="D161">
        <f t="shared" si="10"/>
        <v>0</v>
      </c>
    </row>
    <row r="162" spans="1:4" x14ac:dyDescent="0.3">
      <c r="A162">
        <f t="shared" si="11"/>
        <v>0</v>
      </c>
      <c r="B162">
        <f t="shared" si="11"/>
        <v>0</v>
      </c>
      <c r="C162">
        <f t="shared" si="11"/>
        <v>0</v>
      </c>
      <c r="D162">
        <f t="shared" si="10"/>
        <v>0</v>
      </c>
    </row>
    <row r="163" spans="1:4" x14ac:dyDescent="0.3">
      <c r="A163">
        <f t="shared" si="11"/>
        <v>0</v>
      </c>
      <c r="B163">
        <f t="shared" si="11"/>
        <v>0</v>
      </c>
      <c r="C163">
        <f t="shared" si="11"/>
        <v>0</v>
      </c>
      <c r="D163">
        <f t="shared" si="10"/>
        <v>0</v>
      </c>
    </row>
    <row r="164" spans="1:4" x14ac:dyDescent="0.3">
      <c r="A164">
        <f t="shared" si="11"/>
        <v>0</v>
      </c>
      <c r="B164">
        <f t="shared" si="11"/>
        <v>0</v>
      </c>
      <c r="C164">
        <f t="shared" si="11"/>
        <v>0</v>
      </c>
      <c r="D164">
        <f t="shared" si="10"/>
        <v>0</v>
      </c>
    </row>
    <row r="165" spans="1:4" x14ac:dyDescent="0.3">
      <c r="A165">
        <f t="shared" si="11"/>
        <v>0</v>
      </c>
      <c r="B165">
        <f t="shared" si="11"/>
        <v>0</v>
      </c>
      <c r="C165">
        <f t="shared" si="11"/>
        <v>0</v>
      </c>
      <c r="D165">
        <f t="shared" si="10"/>
        <v>0</v>
      </c>
    </row>
    <row r="166" spans="1:4" x14ac:dyDescent="0.3">
      <c r="A166">
        <f t="shared" si="11"/>
        <v>0</v>
      </c>
      <c r="B166">
        <f t="shared" si="11"/>
        <v>0</v>
      </c>
      <c r="C166">
        <f t="shared" si="11"/>
        <v>0</v>
      </c>
      <c r="D166">
        <f t="shared" si="10"/>
        <v>0</v>
      </c>
    </row>
    <row r="167" spans="1:4" x14ac:dyDescent="0.3">
      <c r="A167">
        <f t="shared" si="11"/>
        <v>0</v>
      </c>
      <c r="B167">
        <f t="shared" si="11"/>
        <v>0</v>
      </c>
      <c r="C167">
        <f t="shared" si="11"/>
        <v>0</v>
      </c>
      <c r="D167">
        <f t="shared" si="10"/>
        <v>0</v>
      </c>
    </row>
    <row r="168" spans="1:4" x14ac:dyDescent="0.3">
      <c r="A168">
        <f t="shared" ref="A168:C187" si="12">((0*(1/3.6))*(3.6))*(1/3.6)</f>
        <v>0</v>
      </c>
      <c r="B168">
        <f t="shared" si="12"/>
        <v>0</v>
      </c>
      <c r="C168">
        <f t="shared" si="12"/>
        <v>0</v>
      </c>
      <c r="D168">
        <f t="shared" si="10"/>
        <v>0</v>
      </c>
    </row>
    <row r="169" spans="1:4" x14ac:dyDescent="0.3">
      <c r="A169">
        <f t="shared" si="12"/>
        <v>0</v>
      </c>
      <c r="B169">
        <f t="shared" si="12"/>
        <v>0</v>
      </c>
      <c r="C169">
        <f t="shared" si="12"/>
        <v>0</v>
      </c>
      <c r="D169">
        <f t="shared" si="10"/>
        <v>0</v>
      </c>
    </row>
    <row r="170" spans="1:4" x14ac:dyDescent="0.3">
      <c r="A170">
        <f t="shared" si="12"/>
        <v>0</v>
      </c>
      <c r="B170">
        <f t="shared" si="12"/>
        <v>0</v>
      </c>
      <c r="C170">
        <f t="shared" si="12"/>
        <v>0</v>
      </c>
      <c r="D170">
        <f t="shared" si="10"/>
        <v>0</v>
      </c>
    </row>
    <row r="171" spans="1:4" x14ac:dyDescent="0.3">
      <c r="A171">
        <f t="shared" si="12"/>
        <v>0</v>
      </c>
      <c r="B171">
        <f t="shared" si="12"/>
        <v>0</v>
      </c>
      <c r="C171">
        <f t="shared" si="12"/>
        <v>0</v>
      </c>
      <c r="D171">
        <f t="shared" si="10"/>
        <v>0</v>
      </c>
    </row>
    <row r="172" spans="1:4" x14ac:dyDescent="0.3">
      <c r="A172">
        <f t="shared" si="12"/>
        <v>0</v>
      </c>
      <c r="B172">
        <f t="shared" si="12"/>
        <v>0</v>
      </c>
      <c r="C172">
        <f t="shared" si="12"/>
        <v>0</v>
      </c>
      <c r="D172">
        <f t="shared" si="10"/>
        <v>0</v>
      </c>
    </row>
    <row r="173" spans="1:4" x14ac:dyDescent="0.3">
      <c r="A173">
        <f t="shared" si="12"/>
        <v>0</v>
      </c>
      <c r="B173">
        <f t="shared" si="12"/>
        <v>0</v>
      </c>
      <c r="C173">
        <f t="shared" si="12"/>
        <v>0</v>
      </c>
      <c r="D173">
        <f t="shared" si="10"/>
        <v>0</v>
      </c>
    </row>
    <row r="174" spans="1:4" x14ac:dyDescent="0.3">
      <c r="A174">
        <f t="shared" si="12"/>
        <v>0</v>
      </c>
      <c r="B174">
        <f t="shared" si="12"/>
        <v>0</v>
      </c>
      <c r="C174">
        <f t="shared" si="12"/>
        <v>0</v>
      </c>
      <c r="D174">
        <f t="shared" si="10"/>
        <v>0</v>
      </c>
    </row>
    <row r="175" spans="1:4" x14ac:dyDescent="0.3">
      <c r="A175">
        <f t="shared" si="12"/>
        <v>0</v>
      </c>
      <c r="B175">
        <f t="shared" si="12"/>
        <v>0</v>
      </c>
      <c r="C175">
        <f t="shared" si="12"/>
        <v>0</v>
      </c>
      <c r="D175">
        <f t="shared" si="10"/>
        <v>0</v>
      </c>
    </row>
    <row r="176" spans="1:4" x14ac:dyDescent="0.3">
      <c r="A176">
        <f t="shared" si="12"/>
        <v>0</v>
      </c>
      <c r="B176">
        <f t="shared" si="12"/>
        <v>0</v>
      </c>
      <c r="C176">
        <f t="shared" si="12"/>
        <v>0</v>
      </c>
      <c r="D176">
        <f t="shared" si="10"/>
        <v>0</v>
      </c>
    </row>
    <row r="177" spans="1:4" x14ac:dyDescent="0.3">
      <c r="A177">
        <f t="shared" si="12"/>
        <v>0</v>
      </c>
      <c r="B177">
        <f t="shared" si="12"/>
        <v>0</v>
      </c>
      <c r="C177">
        <f t="shared" si="12"/>
        <v>0</v>
      </c>
      <c r="D177">
        <f t="shared" si="10"/>
        <v>0</v>
      </c>
    </row>
    <row r="178" spans="1:4" x14ac:dyDescent="0.3">
      <c r="A178">
        <f t="shared" si="12"/>
        <v>0</v>
      </c>
      <c r="B178">
        <f t="shared" si="12"/>
        <v>0</v>
      </c>
      <c r="C178">
        <f t="shared" si="12"/>
        <v>0</v>
      </c>
      <c r="D178">
        <f t="shared" si="10"/>
        <v>0</v>
      </c>
    </row>
    <row r="179" spans="1:4" x14ac:dyDescent="0.3">
      <c r="A179">
        <f t="shared" si="12"/>
        <v>0</v>
      </c>
      <c r="B179">
        <f t="shared" si="12"/>
        <v>0</v>
      </c>
      <c r="C179">
        <f t="shared" si="12"/>
        <v>0</v>
      </c>
      <c r="D179">
        <f t="shared" si="10"/>
        <v>0</v>
      </c>
    </row>
    <row r="180" spans="1:4" x14ac:dyDescent="0.3">
      <c r="A180">
        <f t="shared" si="12"/>
        <v>0</v>
      </c>
      <c r="B180">
        <f t="shared" si="12"/>
        <v>0</v>
      </c>
      <c r="C180">
        <f t="shared" si="12"/>
        <v>0</v>
      </c>
      <c r="D180">
        <f t="shared" si="10"/>
        <v>0</v>
      </c>
    </row>
    <row r="181" spans="1:4" x14ac:dyDescent="0.3">
      <c r="A181">
        <f t="shared" si="12"/>
        <v>0</v>
      </c>
      <c r="B181">
        <f t="shared" si="12"/>
        <v>0</v>
      </c>
      <c r="C181">
        <f t="shared" si="12"/>
        <v>0</v>
      </c>
      <c r="D181">
        <f t="shared" si="10"/>
        <v>0</v>
      </c>
    </row>
    <row r="182" spans="1:4" x14ac:dyDescent="0.3">
      <c r="A182">
        <f t="shared" si="12"/>
        <v>0</v>
      </c>
      <c r="B182">
        <f t="shared" si="12"/>
        <v>0</v>
      </c>
      <c r="C182">
        <f t="shared" si="12"/>
        <v>0</v>
      </c>
      <c r="D182">
        <f t="shared" si="10"/>
        <v>0</v>
      </c>
    </row>
    <row r="183" spans="1:4" x14ac:dyDescent="0.3">
      <c r="A183">
        <f t="shared" si="12"/>
        <v>0</v>
      </c>
      <c r="B183">
        <f t="shared" si="12"/>
        <v>0</v>
      </c>
      <c r="C183">
        <f t="shared" si="12"/>
        <v>0</v>
      </c>
      <c r="D183">
        <f t="shared" si="10"/>
        <v>0</v>
      </c>
    </row>
    <row r="184" spans="1:4" x14ac:dyDescent="0.3">
      <c r="A184">
        <f t="shared" si="12"/>
        <v>0</v>
      </c>
      <c r="B184">
        <f t="shared" si="12"/>
        <v>0</v>
      </c>
      <c r="C184">
        <f t="shared" si="12"/>
        <v>0</v>
      </c>
      <c r="D184">
        <f t="shared" si="10"/>
        <v>0</v>
      </c>
    </row>
    <row r="185" spans="1:4" x14ac:dyDescent="0.3">
      <c r="A185">
        <f t="shared" si="12"/>
        <v>0</v>
      </c>
      <c r="B185">
        <f t="shared" si="12"/>
        <v>0</v>
      </c>
      <c r="C185">
        <f t="shared" si="12"/>
        <v>0</v>
      </c>
      <c r="D185">
        <f t="shared" si="10"/>
        <v>0</v>
      </c>
    </row>
    <row r="186" spans="1:4" x14ac:dyDescent="0.3">
      <c r="A186">
        <f t="shared" si="12"/>
        <v>0</v>
      </c>
      <c r="B186">
        <f t="shared" si="12"/>
        <v>0</v>
      </c>
      <c r="C186">
        <f t="shared" si="12"/>
        <v>0</v>
      </c>
      <c r="D186">
        <f t="shared" si="10"/>
        <v>0</v>
      </c>
    </row>
    <row r="187" spans="1:4" x14ac:dyDescent="0.3">
      <c r="A187">
        <f t="shared" si="12"/>
        <v>0</v>
      </c>
      <c r="B187">
        <f t="shared" si="12"/>
        <v>0</v>
      </c>
      <c r="C187">
        <f t="shared" si="12"/>
        <v>0</v>
      </c>
      <c r="D187">
        <f t="shared" si="10"/>
        <v>0</v>
      </c>
    </row>
    <row r="188" spans="1:4" x14ac:dyDescent="0.3">
      <c r="A188">
        <f t="shared" ref="A188:C197" si="13">((0*(1/3.6))*(3.6))*(1/3.6)</f>
        <v>0</v>
      </c>
      <c r="B188">
        <f t="shared" si="13"/>
        <v>0</v>
      </c>
      <c r="C188">
        <f t="shared" si="13"/>
        <v>0</v>
      </c>
      <c r="D188">
        <f t="shared" si="10"/>
        <v>0</v>
      </c>
    </row>
    <row r="189" spans="1:4" x14ac:dyDescent="0.3">
      <c r="A189">
        <f t="shared" si="13"/>
        <v>0</v>
      </c>
      <c r="B189">
        <f t="shared" si="13"/>
        <v>0</v>
      </c>
      <c r="C189">
        <f t="shared" si="13"/>
        <v>0</v>
      </c>
      <c r="D189">
        <f t="shared" si="10"/>
        <v>0</v>
      </c>
    </row>
    <row r="190" spans="1:4" x14ac:dyDescent="0.3">
      <c r="A190">
        <f t="shared" si="13"/>
        <v>0</v>
      </c>
      <c r="B190">
        <f t="shared" si="13"/>
        <v>0</v>
      </c>
      <c r="C190">
        <f t="shared" si="13"/>
        <v>0</v>
      </c>
      <c r="D190">
        <f t="shared" si="10"/>
        <v>0</v>
      </c>
    </row>
    <row r="191" spans="1:4" x14ac:dyDescent="0.3">
      <c r="A191">
        <f t="shared" si="13"/>
        <v>0</v>
      </c>
      <c r="B191">
        <f t="shared" si="13"/>
        <v>0</v>
      </c>
      <c r="C191">
        <f t="shared" si="13"/>
        <v>0</v>
      </c>
      <c r="D191">
        <f t="shared" si="10"/>
        <v>0</v>
      </c>
    </row>
    <row r="192" spans="1:4" x14ac:dyDescent="0.3">
      <c r="A192">
        <f t="shared" si="13"/>
        <v>0</v>
      </c>
      <c r="B192">
        <f t="shared" si="13"/>
        <v>0</v>
      </c>
      <c r="C192">
        <f t="shared" si="13"/>
        <v>0</v>
      </c>
      <c r="D192">
        <f t="shared" si="10"/>
        <v>0</v>
      </c>
    </row>
    <row r="193" spans="1:4" x14ac:dyDescent="0.3">
      <c r="A193">
        <f t="shared" si="13"/>
        <v>0</v>
      </c>
      <c r="B193">
        <f t="shared" si="13"/>
        <v>0</v>
      </c>
      <c r="C193">
        <f t="shared" si="13"/>
        <v>0</v>
      </c>
      <c r="D193">
        <f t="shared" si="10"/>
        <v>0</v>
      </c>
    </row>
    <row r="194" spans="1:4" x14ac:dyDescent="0.3">
      <c r="A194">
        <f t="shared" si="13"/>
        <v>0</v>
      </c>
      <c r="B194">
        <f t="shared" si="13"/>
        <v>0</v>
      </c>
      <c r="C194">
        <f t="shared" si="13"/>
        <v>0</v>
      </c>
      <c r="D194">
        <f t="shared" si="10"/>
        <v>0</v>
      </c>
    </row>
    <row r="195" spans="1:4" x14ac:dyDescent="0.3">
      <c r="A195">
        <f t="shared" si="13"/>
        <v>0</v>
      </c>
      <c r="B195">
        <f t="shared" si="13"/>
        <v>0</v>
      </c>
      <c r="C195">
        <f t="shared" si="13"/>
        <v>0</v>
      </c>
      <c r="D195">
        <f t="shared" si="10"/>
        <v>0</v>
      </c>
    </row>
    <row r="196" spans="1:4" x14ac:dyDescent="0.3">
      <c r="A196">
        <f t="shared" si="13"/>
        <v>0</v>
      </c>
      <c r="B196">
        <f t="shared" si="13"/>
        <v>0</v>
      </c>
      <c r="C196">
        <f t="shared" si="13"/>
        <v>0</v>
      </c>
      <c r="D196">
        <f t="shared" si="10"/>
        <v>0</v>
      </c>
    </row>
    <row r="197" spans="1:4" x14ac:dyDescent="0.3">
      <c r="A197">
        <f t="shared" si="13"/>
        <v>0</v>
      </c>
      <c r="B197">
        <f t="shared" si="13"/>
        <v>0</v>
      </c>
      <c r="C197">
        <f t="shared" si="13"/>
        <v>0</v>
      </c>
      <c r="D197">
        <f t="shared" si="10"/>
        <v>0</v>
      </c>
    </row>
    <row r="198" spans="1:4" x14ac:dyDescent="0.3">
      <c r="A198">
        <f>((108*(1/3.6))*(3.6))*(1/3.6)</f>
        <v>30</v>
      </c>
      <c r="B198">
        <f t="shared" ref="B198:B261" si="14">((0*(1/3.6))*(3.6))*(1/3.6)</f>
        <v>0</v>
      </c>
      <c r="C198">
        <f>175.9*(1/3.6)</f>
        <v>48.861111111111114</v>
      </c>
      <c r="D198">
        <f t="shared" si="10"/>
        <v>0</v>
      </c>
    </row>
    <row r="199" spans="1:4" x14ac:dyDescent="0.3">
      <c r="A199">
        <f t="shared" ref="A199:A230" si="15">((0*(1/3.6))*(3.6))*(1/3.6)</f>
        <v>0</v>
      </c>
      <c r="B199">
        <f t="shared" si="14"/>
        <v>0</v>
      </c>
      <c r="C199">
        <f t="shared" ref="C199:C230" si="16">((0*(1/3.6))*(3.6))*(1/3.6)</f>
        <v>0</v>
      </c>
      <c r="D199">
        <f t="shared" si="10"/>
        <v>0</v>
      </c>
    </row>
    <row r="200" spans="1:4" x14ac:dyDescent="0.3">
      <c r="A200">
        <f t="shared" si="15"/>
        <v>0</v>
      </c>
      <c r="B200">
        <f t="shared" si="14"/>
        <v>0</v>
      </c>
      <c r="C200">
        <f t="shared" si="16"/>
        <v>0</v>
      </c>
      <c r="D200">
        <f t="shared" si="10"/>
        <v>0</v>
      </c>
    </row>
    <row r="201" spans="1:4" x14ac:dyDescent="0.3">
      <c r="A201">
        <f t="shared" si="15"/>
        <v>0</v>
      </c>
      <c r="B201">
        <f t="shared" si="14"/>
        <v>0</v>
      </c>
      <c r="C201">
        <f t="shared" si="16"/>
        <v>0</v>
      </c>
      <c r="D201">
        <f t="shared" si="10"/>
        <v>0</v>
      </c>
    </row>
    <row r="202" spans="1:4" x14ac:dyDescent="0.3">
      <c r="A202">
        <f t="shared" si="15"/>
        <v>0</v>
      </c>
      <c r="B202">
        <f t="shared" si="14"/>
        <v>0</v>
      </c>
      <c r="C202">
        <f t="shared" si="16"/>
        <v>0</v>
      </c>
      <c r="D202">
        <f t="shared" si="10"/>
        <v>0</v>
      </c>
    </row>
    <row r="203" spans="1:4" x14ac:dyDescent="0.3">
      <c r="A203">
        <f t="shared" si="15"/>
        <v>0</v>
      </c>
      <c r="B203">
        <f t="shared" si="14"/>
        <v>0</v>
      </c>
      <c r="C203">
        <f t="shared" si="16"/>
        <v>0</v>
      </c>
      <c r="D203">
        <f t="shared" si="10"/>
        <v>0</v>
      </c>
    </row>
    <row r="204" spans="1:4" x14ac:dyDescent="0.3">
      <c r="A204">
        <f t="shared" si="15"/>
        <v>0</v>
      </c>
      <c r="B204">
        <f t="shared" si="14"/>
        <v>0</v>
      </c>
      <c r="C204">
        <f t="shared" si="16"/>
        <v>0</v>
      </c>
      <c r="D204">
        <f t="shared" si="10"/>
        <v>0</v>
      </c>
    </row>
    <row r="205" spans="1:4" x14ac:dyDescent="0.3">
      <c r="A205">
        <f t="shared" si="15"/>
        <v>0</v>
      </c>
      <c r="B205">
        <f t="shared" si="14"/>
        <v>0</v>
      </c>
      <c r="C205">
        <f t="shared" si="16"/>
        <v>0</v>
      </c>
      <c r="D205">
        <f t="shared" si="10"/>
        <v>0</v>
      </c>
    </row>
    <row r="206" spans="1:4" x14ac:dyDescent="0.3">
      <c r="A206">
        <f t="shared" si="15"/>
        <v>0</v>
      </c>
      <c r="B206">
        <f t="shared" si="14"/>
        <v>0</v>
      </c>
      <c r="C206">
        <f t="shared" si="16"/>
        <v>0</v>
      </c>
      <c r="D206">
        <f t="shared" si="10"/>
        <v>0</v>
      </c>
    </row>
    <row r="207" spans="1:4" x14ac:dyDescent="0.3">
      <c r="A207">
        <f t="shared" si="15"/>
        <v>0</v>
      </c>
      <c r="B207">
        <f t="shared" si="14"/>
        <v>0</v>
      </c>
      <c r="C207">
        <f t="shared" si="16"/>
        <v>0</v>
      </c>
      <c r="D207">
        <f t="shared" si="10"/>
        <v>0</v>
      </c>
    </row>
    <row r="208" spans="1:4" x14ac:dyDescent="0.3">
      <c r="A208">
        <f t="shared" si="15"/>
        <v>0</v>
      </c>
      <c r="B208">
        <f t="shared" si="14"/>
        <v>0</v>
      </c>
      <c r="C208">
        <f t="shared" si="16"/>
        <v>0</v>
      </c>
      <c r="D208">
        <f t="shared" si="10"/>
        <v>0</v>
      </c>
    </row>
    <row r="209" spans="1:4" x14ac:dyDescent="0.3">
      <c r="A209">
        <f t="shared" si="15"/>
        <v>0</v>
      </c>
      <c r="B209">
        <f t="shared" si="14"/>
        <v>0</v>
      </c>
      <c r="C209">
        <f t="shared" si="16"/>
        <v>0</v>
      </c>
      <c r="D209">
        <f t="shared" si="10"/>
        <v>0</v>
      </c>
    </row>
    <row r="210" spans="1:4" x14ac:dyDescent="0.3">
      <c r="A210">
        <f t="shared" si="15"/>
        <v>0</v>
      </c>
      <c r="B210">
        <f t="shared" si="14"/>
        <v>0</v>
      </c>
      <c r="C210">
        <f t="shared" si="16"/>
        <v>0</v>
      </c>
      <c r="D210">
        <f t="shared" si="10"/>
        <v>0</v>
      </c>
    </row>
    <row r="211" spans="1:4" x14ac:dyDescent="0.3">
      <c r="A211">
        <f t="shared" si="15"/>
        <v>0</v>
      </c>
      <c r="B211">
        <f t="shared" si="14"/>
        <v>0</v>
      </c>
      <c r="C211">
        <f t="shared" si="16"/>
        <v>0</v>
      </c>
      <c r="D211">
        <f t="shared" ref="D211:D274" si="17">((0*(1/3.6))*(3.6))*(1/3.6)</f>
        <v>0</v>
      </c>
    </row>
    <row r="212" spans="1:4" x14ac:dyDescent="0.3">
      <c r="A212">
        <f t="shared" si="15"/>
        <v>0</v>
      </c>
      <c r="B212">
        <f t="shared" si="14"/>
        <v>0</v>
      </c>
      <c r="C212">
        <f t="shared" si="16"/>
        <v>0</v>
      </c>
      <c r="D212">
        <f t="shared" si="17"/>
        <v>0</v>
      </c>
    </row>
    <row r="213" spans="1:4" x14ac:dyDescent="0.3">
      <c r="A213">
        <f t="shared" si="15"/>
        <v>0</v>
      </c>
      <c r="B213">
        <f t="shared" si="14"/>
        <v>0</v>
      </c>
      <c r="C213">
        <f t="shared" si="16"/>
        <v>0</v>
      </c>
      <c r="D213">
        <f t="shared" si="17"/>
        <v>0</v>
      </c>
    </row>
    <row r="214" spans="1:4" x14ac:dyDescent="0.3">
      <c r="A214">
        <f t="shared" si="15"/>
        <v>0</v>
      </c>
      <c r="B214">
        <f t="shared" si="14"/>
        <v>0</v>
      </c>
      <c r="C214">
        <f t="shared" si="16"/>
        <v>0</v>
      </c>
      <c r="D214">
        <f t="shared" si="17"/>
        <v>0</v>
      </c>
    </row>
    <row r="215" spans="1:4" x14ac:dyDescent="0.3">
      <c r="A215">
        <f t="shared" si="15"/>
        <v>0</v>
      </c>
      <c r="B215">
        <f t="shared" si="14"/>
        <v>0</v>
      </c>
      <c r="C215">
        <f t="shared" si="16"/>
        <v>0</v>
      </c>
      <c r="D215">
        <f t="shared" si="17"/>
        <v>0</v>
      </c>
    </row>
    <row r="216" spans="1:4" x14ac:dyDescent="0.3">
      <c r="A216">
        <f t="shared" si="15"/>
        <v>0</v>
      </c>
      <c r="B216">
        <f t="shared" si="14"/>
        <v>0</v>
      </c>
      <c r="C216">
        <f t="shared" si="16"/>
        <v>0</v>
      </c>
      <c r="D216">
        <f t="shared" si="17"/>
        <v>0</v>
      </c>
    </row>
    <row r="217" spans="1:4" x14ac:dyDescent="0.3">
      <c r="A217">
        <f t="shared" si="15"/>
        <v>0</v>
      </c>
      <c r="B217">
        <f t="shared" si="14"/>
        <v>0</v>
      </c>
      <c r="C217">
        <f t="shared" si="16"/>
        <v>0</v>
      </c>
      <c r="D217">
        <f t="shared" si="17"/>
        <v>0</v>
      </c>
    </row>
    <row r="218" spans="1:4" x14ac:dyDescent="0.3">
      <c r="A218">
        <f t="shared" si="15"/>
        <v>0</v>
      </c>
      <c r="B218">
        <f t="shared" si="14"/>
        <v>0</v>
      </c>
      <c r="C218">
        <f t="shared" si="16"/>
        <v>0</v>
      </c>
      <c r="D218">
        <f t="shared" si="17"/>
        <v>0</v>
      </c>
    </row>
    <row r="219" spans="1:4" x14ac:dyDescent="0.3">
      <c r="A219">
        <f t="shared" si="15"/>
        <v>0</v>
      </c>
      <c r="B219">
        <f t="shared" si="14"/>
        <v>0</v>
      </c>
      <c r="C219">
        <f t="shared" si="16"/>
        <v>0</v>
      </c>
      <c r="D219">
        <f t="shared" si="17"/>
        <v>0</v>
      </c>
    </row>
    <row r="220" spans="1:4" x14ac:dyDescent="0.3">
      <c r="A220">
        <f t="shared" si="15"/>
        <v>0</v>
      </c>
      <c r="B220">
        <f t="shared" si="14"/>
        <v>0</v>
      </c>
      <c r="C220">
        <f t="shared" si="16"/>
        <v>0</v>
      </c>
      <c r="D220">
        <f t="shared" si="17"/>
        <v>0</v>
      </c>
    </row>
    <row r="221" spans="1:4" x14ac:dyDescent="0.3">
      <c r="A221">
        <f t="shared" si="15"/>
        <v>0</v>
      </c>
      <c r="B221">
        <f t="shared" si="14"/>
        <v>0</v>
      </c>
      <c r="C221">
        <f t="shared" si="16"/>
        <v>0</v>
      </c>
      <c r="D221">
        <f t="shared" si="17"/>
        <v>0</v>
      </c>
    </row>
    <row r="222" spans="1:4" x14ac:dyDescent="0.3">
      <c r="A222">
        <f t="shared" si="15"/>
        <v>0</v>
      </c>
      <c r="B222">
        <f t="shared" si="14"/>
        <v>0</v>
      </c>
      <c r="C222">
        <f t="shared" si="16"/>
        <v>0</v>
      </c>
      <c r="D222">
        <f t="shared" si="17"/>
        <v>0</v>
      </c>
    </row>
    <row r="223" spans="1:4" x14ac:dyDescent="0.3">
      <c r="A223">
        <f t="shared" si="15"/>
        <v>0</v>
      </c>
      <c r="B223">
        <f t="shared" si="14"/>
        <v>0</v>
      </c>
      <c r="C223">
        <f t="shared" si="16"/>
        <v>0</v>
      </c>
      <c r="D223">
        <f t="shared" si="17"/>
        <v>0</v>
      </c>
    </row>
    <row r="224" spans="1:4" x14ac:dyDescent="0.3">
      <c r="A224">
        <f t="shared" si="15"/>
        <v>0</v>
      </c>
      <c r="B224">
        <f t="shared" si="14"/>
        <v>0</v>
      </c>
      <c r="C224">
        <f t="shared" si="16"/>
        <v>0</v>
      </c>
      <c r="D224">
        <f t="shared" si="17"/>
        <v>0</v>
      </c>
    </row>
    <row r="225" spans="1:4" x14ac:dyDescent="0.3">
      <c r="A225">
        <f t="shared" si="15"/>
        <v>0</v>
      </c>
      <c r="B225">
        <f t="shared" si="14"/>
        <v>0</v>
      </c>
      <c r="C225">
        <f t="shared" si="16"/>
        <v>0</v>
      </c>
      <c r="D225">
        <f t="shared" si="17"/>
        <v>0</v>
      </c>
    </row>
    <row r="226" spans="1:4" x14ac:dyDescent="0.3">
      <c r="A226">
        <f t="shared" si="15"/>
        <v>0</v>
      </c>
      <c r="B226">
        <f t="shared" si="14"/>
        <v>0</v>
      </c>
      <c r="C226">
        <f t="shared" si="16"/>
        <v>0</v>
      </c>
      <c r="D226">
        <f t="shared" si="17"/>
        <v>0</v>
      </c>
    </row>
    <row r="227" spans="1:4" x14ac:dyDescent="0.3">
      <c r="A227">
        <f t="shared" si="15"/>
        <v>0</v>
      </c>
      <c r="B227">
        <f t="shared" si="14"/>
        <v>0</v>
      </c>
      <c r="C227">
        <f t="shared" si="16"/>
        <v>0</v>
      </c>
      <c r="D227">
        <f t="shared" si="17"/>
        <v>0</v>
      </c>
    </row>
    <row r="228" spans="1:4" x14ac:dyDescent="0.3">
      <c r="A228">
        <f t="shared" si="15"/>
        <v>0</v>
      </c>
      <c r="B228">
        <f t="shared" si="14"/>
        <v>0</v>
      </c>
      <c r="C228">
        <f t="shared" si="16"/>
        <v>0</v>
      </c>
      <c r="D228">
        <f t="shared" si="17"/>
        <v>0</v>
      </c>
    </row>
    <row r="229" spans="1:4" x14ac:dyDescent="0.3">
      <c r="A229">
        <f t="shared" si="15"/>
        <v>0</v>
      </c>
      <c r="B229">
        <f t="shared" si="14"/>
        <v>0</v>
      </c>
      <c r="C229">
        <f t="shared" si="16"/>
        <v>0</v>
      </c>
      <c r="D229">
        <f t="shared" si="17"/>
        <v>0</v>
      </c>
    </row>
    <row r="230" spans="1:4" x14ac:dyDescent="0.3">
      <c r="A230">
        <f t="shared" si="15"/>
        <v>0</v>
      </c>
      <c r="B230">
        <f t="shared" si="14"/>
        <v>0</v>
      </c>
      <c r="C230">
        <f t="shared" si="16"/>
        <v>0</v>
      </c>
      <c r="D230">
        <f t="shared" si="17"/>
        <v>0</v>
      </c>
    </row>
    <row r="231" spans="1:4" x14ac:dyDescent="0.3">
      <c r="A231">
        <f t="shared" ref="A231:A262" si="18">((0*(1/3.6))*(3.6))*(1/3.6)</f>
        <v>0</v>
      </c>
      <c r="B231">
        <f t="shared" si="14"/>
        <v>0</v>
      </c>
      <c r="C231">
        <f t="shared" ref="C231:C262" si="19">((0*(1/3.6))*(3.6))*(1/3.6)</f>
        <v>0</v>
      </c>
      <c r="D231">
        <f t="shared" si="17"/>
        <v>0</v>
      </c>
    </row>
    <row r="232" spans="1:4" x14ac:dyDescent="0.3">
      <c r="A232">
        <f t="shared" si="18"/>
        <v>0</v>
      </c>
      <c r="B232">
        <f t="shared" si="14"/>
        <v>0</v>
      </c>
      <c r="C232">
        <f t="shared" si="19"/>
        <v>0</v>
      </c>
      <c r="D232">
        <f t="shared" si="17"/>
        <v>0</v>
      </c>
    </row>
    <row r="233" spans="1:4" x14ac:dyDescent="0.3">
      <c r="A233">
        <f t="shared" si="18"/>
        <v>0</v>
      </c>
      <c r="B233">
        <f t="shared" si="14"/>
        <v>0</v>
      </c>
      <c r="C233">
        <f t="shared" si="19"/>
        <v>0</v>
      </c>
      <c r="D233">
        <f t="shared" si="17"/>
        <v>0</v>
      </c>
    </row>
    <row r="234" spans="1:4" x14ac:dyDescent="0.3">
      <c r="A234">
        <f t="shared" si="18"/>
        <v>0</v>
      </c>
      <c r="B234">
        <f t="shared" si="14"/>
        <v>0</v>
      </c>
      <c r="C234">
        <f t="shared" si="19"/>
        <v>0</v>
      </c>
      <c r="D234">
        <f t="shared" si="17"/>
        <v>0</v>
      </c>
    </row>
    <row r="235" spans="1:4" x14ac:dyDescent="0.3">
      <c r="A235">
        <f t="shared" si="18"/>
        <v>0</v>
      </c>
      <c r="B235">
        <f t="shared" si="14"/>
        <v>0</v>
      </c>
      <c r="C235">
        <f t="shared" si="19"/>
        <v>0</v>
      </c>
      <c r="D235">
        <f t="shared" si="17"/>
        <v>0</v>
      </c>
    </row>
    <row r="236" spans="1:4" x14ac:dyDescent="0.3">
      <c r="A236">
        <f t="shared" si="18"/>
        <v>0</v>
      </c>
      <c r="B236">
        <f t="shared" si="14"/>
        <v>0</v>
      </c>
      <c r="C236">
        <f t="shared" si="19"/>
        <v>0</v>
      </c>
      <c r="D236">
        <f t="shared" si="17"/>
        <v>0</v>
      </c>
    </row>
    <row r="237" spans="1:4" x14ac:dyDescent="0.3">
      <c r="A237">
        <f t="shared" si="18"/>
        <v>0</v>
      </c>
      <c r="B237">
        <f t="shared" si="14"/>
        <v>0</v>
      </c>
      <c r="C237">
        <f t="shared" si="19"/>
        <v>0</v>
      </c>
      <c r="D237">
        <f t="shared" si="17"/>
        <v>0</v>
      </c>
    </row>
    <row r="238" spans="1:4" x14ac:dyDescent="0.3">
      <c r="A238">
        <f t="shared" si="18"/>
        <v>0</v>
      </c>
      <c r="B238">
        <f t="shared" si="14"/>
        <v>0</v>
      </c>
      <c r="C238">
        <f t="shared" si="19"/>
        <v>0</v>
      </c>
      <c r="D238">
        <f t="shared" si="17"/>
        <v>0</v>
      </c>
    </row>
    <row r="239" spans="1:4" x14ac:dyDescent="0.3">
      <c r="A239">
        <f t="shared" si="18"/>
        <v>0</v>
      </c>
      <c r="B239">
        <f t="shared" si="14"/>
        <v>0</v>
      </c>
      <c r="C239">
        <f t="shared" si="19"/>
        <v>0</v>
      </c>
      <c r="D239">
        <f t="shared" si="17"/>
        <v>0</v>
      </c>
    </row>
    <row r="240" spans="1:4" x14ac:dyDescent="0.3">
      <c r="A240">
        <f t="shared" si="18"/>
        <v>0</v>
      </c>
      <c r="B240">
        <f t="shared" si="14"/>
        <v>0</v>
      </c>
      <c r="C240">
        <f t="shared" si="19"/>
        <v>0</v>
      </c>
      <c r="D240">
        <f t="shared" si="17"/>
        <v>0</v>
      </c>
    </row>
    <row r="241" spans="1:4" x14ac:dyDescent="0.3">
      <c r="A241">
        <f t="shared" si="18"/>
        <v>0</v>
      </c>
      <c r="B241">
        <f t="shared" si="14"/>
        <v>0</v>
      </c>
      <c r="C241">
        <f t="shared" si="19"/>
        <v>0</v>
      </c>
      <c r="D241">
        <f t="shared" si="17"/>
        <v>0</v>
      </c>
    </row>
    <row r="242" spans="1:4" x14ac:dyDescent="0.3">
      <c r="A242">
        <f t="shared" si="18"/>
        <v>0</v>
      </c>
      <c r="B242">
        <f t="shared" si="14"/>
        <v>0</v>
      </c>
      <c r="C242">
        <f t="shared" si="19"/>
        <v>0</v>
      </c>
      <c r="D242">
        <f t="shared" si="17"/>
        <v>0</v>
      </c>
    </row>
    <row r="243" spans="1:4" x14ac:dyDescent="0.3">
      <c r="A243">
        <f t="shared" si="18"/>
        <v>0</v>
      </c>
      <c r="B243">
        <f t="shared" si="14"/>
        <v>0</v>
      </c>
      <c r="C243">
        <f t="shared" si="19"/>
        <v>0</v>
      </c>
      <c r="D243">
        <f t="shared" si="17"/>
        <v>0</v>
      </c>
    </row>
    <row r="244" spans="1:4" x14ac:dyDescent="0.3">
      <c r="A244">
        <f t="shared" si="18"/>
        <v>0</v>
      </c>
      <c r="B244">
        <f t="shared" si="14"/>
        <v>0</v>
      </c>
      <c r="C244">
        <f t="shared" si="19"/>
        <v>0</v>
      </c>
      <c r="D244">
        <f t="shared" si="17"/>
        <v>0</v>
      </c>
    </row>
    <row r="245" spans="1:4" x14ac:dyDescent="0.3">
      <c r="A245">
        <f t="shared" si="18"/>
        <v>0</v>
      </c>
      <c r="B245">
        <f t="shared" si="14"/>
        <v>0</v>
      </c>
      <c r="C245">
        <f t="shared" si="19"/>
        <v>0</v>
      </c>
      <c r="D245">
        <f t="shared" si="17"/>
        <v>0</v>
      </c>
    </row>
    <row r="246" spans="1:4" x14ac:dyDescent="0.3">
      <c r="A246">
        <f t="shared" si="18"/>
        <v>0</v>
      </c>
      <c r="B246">
        <f t="shared" si="14"/>
        <v>0</v>
      </c>
      <c r="C246">
        <f t="shared" si="19"/>
        <v>0</v>
      </c>
      <c r="D246">
        <f t="shared" si="17"/>
        <v>0</v>
      </c>
    </row>
    <row r="247" spans="1:4" x14ac:dyDescent="0.3">
      <c r="A247">
        <f t="shared" si="18"/>
        <v>0</v>
      </c>
      <c r="B247">
        <f t="shared" si="14"/>
        <v>0</v>
      </c>
      <c r="C247">
        <f t="shared" si="19"/>
        <v>0</v>
      </c>
      <c r="D247">
        <f t="shared" si="17"/>
        <v>0</v>
      </c>
    </row>
    <row r="248" spans="1:4" x14ac:dyDescent="0.3">
      <c r="A248">
        <f t="shared" si="18"/>
        <v>0</v>
      </c>
      <c r="B248">
        <f t="shared" si="14"/>
        <v>0</v>
      </c>
      <c r="C248">
        <f t="shared" si="19"/>
        <v>0</v>
      </c>
      <c r="D248">
        <f t="shared" si="17"/>
        <v>0</v>
      </c>
    </row>
    <row r="249" spans="1:4" x14ac:dyDescent="0.3">
      <c r="A249">
        <f t="shared" si="18"/>
        <v>0</v>
      </c>
      <c r="B249">
        <f t="shared" si="14"/>
        <v>0</v>
      </c>
      <c r="C249">
        <f t="shared" si="19"/>
        <v>0</v>
      </c>
      <c r="D249">
        <f t="shared" si="17"/>
        <v>0</v>
      </c>
    </row>
    <row r="250" spans="1:4" x14ac:dyDescent="0.3">
      <c r="A250">
        <f t="shared" si="18"/>
        <v>0</v>
      </c>
      <c r="B250">
        <f t="shared" si="14"/>
        <v>0</v>
      </c>
      <c r="C250">
        <f t="shared" si="19"/>
        <v>0</v>
      </c>
      <c r="D250">
        <f t="shared" si="17"/>
        <v>0</v>
      </c>
    </row>
    <row r="251" spans="1:4" x14ac:dyDescent="0.3">
      <c r="A251">
        <f t="shared" si="18"/>
        <v>0</v>
      </c>
      <c r="B251">
        <f t="shared" si="14"/>
        <v>0</v>
      </c>
      <c r="C251">
        <f t="shared" si="19"/>
        <v>0</v>
      </c>
      <c r="D251">
        <f t="shared" si="17"/>
        <v>0</v>
      </c>
    </row>
    <row r="252" spans="1:4" x14ac:dyDescent="0.3">
      <c r="A252">
        <f t="shared" si="18"/>
        <v>0</v>
      </c>
      <c r="B252">
        <f t="shared" si="14"/>
        <v>0</v>
      </c>
      <c r="C252">
        <f t="shared" si="19"/>
        <v>0</v>
      </c>
      <c r="D252">
        <f t="shared" si="17"/>
        <v>0</v>
      </c>
    </row>
    <row r="253" spans="1:4" x14ac:dyDescent="0.3">
      <c r="A253">
        <f t="shared" si="18"/>
        <v>0</v>
      </c>
      <c r="B253">
        <f t="shared" si="14"/>
        <v>0</v>
      </c>
      <c r="C253">
        <f t="shared" si="19"/>
        <v>0</v>
      </c>
      <c r="D253">
        <f t="shared" si="17"/>
        <v>0</v>
      </c>
    </row>
    <row r="254" spans="1:4" x14ac:dyDescent="0.3">
      <c r="A254">
        <f t="shared" si="18"/>
        <v>0</v>
      </c>
      <c r="B254">
        <f t="shared" si="14"/>
        <v>0</v>
      </c>
      <c r="C254">
        <f t="shared" si="19"/>
        <v>0</v>
      </c>
      <c r="D254">
        <f t="shared" si="17"/>
        <v>0</v>
      </c>
    </row>
    <row r="255" spans="1:4" x14ac:dyDescent="0.3">
      <c r="A255">
        <f t="shared" si="18"/>
        <v>0</v>
      </c>
      <c r="B255">
        <f t="shared" si="14"/>
        <v>0</v>
      </c>
      <c r="C255">
        <f t="shared" si="19"/>
        <v>0</v>
      </c>
      <c r="D255">
        <f t="shared" si="17"/>
        <v>0</v>
      </c>
    </row>
    <row r="256" spans="1:4" x14ac:dyDescent="0.3">
      <c r="A256">
        <f t="shared" si="18"/>
        <v>0</v>
      </c>
      <c r="B256">
        <f t="shared" si="14"/>
        <v>0</v>
      </c>
      <c r="C256">
        <f t="shared" si="19"/>
        <v>0</v>
      </c>
      <c r="D256">
        <f t="shared" si="17"/>
        <v>0</v>
      </c>
    </row>
    <row r="257" spans="1:4" x14ac:dyDescent="0.3">
      <c r="A257">
        <f t="shared" si="18"/>
        <v>0</v>
      </c>
      <c r="B257">
        <f t="shared" si="14"/>
        <v>0</v>
      </c>
      <c r="C257">
        <f t="shared" si="19"/>
        <v>0</v>
      </c>
      <c r="D257">
        <f t="shared" si="17"/>
        <v>0</v>
      </c>
    </row>
    <row r="258" spans="1:4" x14ac:dyDescent="0.3">
      <c r="A258">
        <f t="shared" si="18"/>
        <v>0</v>
      </c>
      <c r="B258">
        <f t="shared" si="14"/>
        <v>0</v>
      </c>
      <c r="C258">
        <f t="shared" si="19"/>
        <v>0</v>
      </c>
      <c r="D258">
        <f t="shared" si="17"/>
        <v>0</v>
      </c>
    </row>
    <row r="259" spans="1:4" x14ac:dyDescent="0.3">
      <c r="A259">
        <f t="shared" si="18"/>
        <v>0</v>
      </c>
      <c r="B259">
        <f t="shared" si="14"/>
        <v>0</v>
      </c>
      <c r="C259">
        <f t="shared" si="19"/>
        <v>0</v>
      </c>
      <c r="D259">
        <f t="shared" si="17"/>
        <v>0</v>
      </c>
    </row>
    <row r="260" spans="1:4" x14ac:dyDescent="0.3">
      <c r="A260">
        <f t="shared" si="18"/>
        <v>0</v>
      </c>
      <c r="B260">
        <f t="shared" si="14"/>
        <v>0</v>
      </c>
      <c r="C260">
        <f t="shared" si="19"/>
        <v>0</v>
      </c>
      <c r="D260">
        <f t="shared" si="17"/>
        <v>0</v>
      </c>
    </row>
    <row r="261" spans="1:4" x14ac:dyDescent="0.3">
      <c r="A261">
        <f t="shared" si="18"/>
        <v>0</v>
      </c>
      <c r="B261">
        <f t="shared" si="14"/>
        <v>0</v>
      </c>
      <c r="C261">
        <f t="shared" si="19"/>
        <v>0</v>
      </c>
      <c r="D261">
        <f t="shared" si="17"/>
        <v>0</v>
      </c>
    </row>
    <row r="262" spans="1:4" x14ac:dyDescent="0.3">
      <c r="A262">
        <f t="shared" si="18"/>
        <v>0</v>
      </c>
      <c r="B262">
        <f t="shared" ref="B262:B325" si="20">((0*(1/3.6))*(3.6))*(1/3.6)</f>
        <v>0</v>
      </c>
      <c r="C262">
        <f t="shared" si="19"/>
        <v>0</v>
      </c>
      <c r="D262">
        <f t="shared" si="17"/>
        <v>0</v>
      </c>
    </row>
    <row r="263" spans="1:4" x14ac:dyDescent="0.3">
      <c r="A263">
        <f t="shared" ref="A263:A295" si="21">((0*(1/3.6))*(3.6))*(1/3.6)</f>
        <v>0</v>
      </c>
      <c r="B263">
        <f t="shared" si="20"/>
        <v>0</v>
      </c>
      <c r="C263">
        <f t="shared" ref="C263:C295" si="22">((0*(1/3.6))*(3.6))*(1/3.6)</f>
        <v>0</v>
      </c>
      <c r="D263">
        <f t="shared" si="17"/>
        <v>0</v>
      </c>
    </row>
    <row r="264" spans="1:4" x14ac:dyDescent="0.3">
      <c r="A264">
        <f t="shared" si="21"/>
        <v>0</v>
      </c>
      <c r="B264">
        <f t="shared" si="20"/>
        <v>0</v>
      </c>
      <c r="C264">
        <f t="shared" si="22"/>
        <v>0</v>
      </c>
      <c r="D264">
        <f t="shared" si="17"/>
        <v>0</v>
      </c>
    </row>
    <row r="265" spans="1:4" x14ac:dyDescent="0.3">
      <c r="A265">
        <f t="shared" si="21"/>
        <v>0</v>
      </c>
      <c r="B265">
        <f t="shared" si="20"/>
        <v>0</v>
      </c>
      <c r="C265">
        <f t="shared" si="22"/>
        <v>0</v>
      </c>
      <c r="D265">
        <f t="shared" si="17"/>
        <v>0</v>
      </c>
    </row>
    <row r="266" spans="1:4" x14ac:dyDescent="0.3">
      <c r="A266">
        <f t="shared" si="21"/>
        <v>0</v>
      </c>
      <c r="B266">
        <f t="shared" si="20"/>
        <v>0</v>
      </c>
      <c r="C266">
        <f t="shared" si="22"/>
        <v>0</v>
      </c>
      <c r="D266">
        <f t="shared" si="17"/>
        <v>0</v>
      </c>
    </row>
    <row r="267" spans="1:4" x14ac:dyDescent="0.3">
      <c r="A267">
        <f t="shared" si="21"/>
        <v>0</v>
      </c>
      <c r="B267">
        <f t="shared" si="20"/>
        <v>0</v>
      </c>
      <c r="C267">
        <f t="shared" si="22"/>
        <v>0</v>
      </c>
      <c r="D267">
        <f t="shared" si="17"/>
        <v>0</v>
      </c>
    </row>
    <row r="268" spans="1:4" x14ac:dyDescent="0.3">
      <c r="A268">
        <f t="shared" si="21"/>
        <v>0</v>
      </c>
      <c r="B268">
        <f t="shared" si="20"/>
        <v>0</v>
      </c>
      <c r="C268">
        <f t="shared" si="22"/>
        <v>0</v>
      </c>
      <c r="D268">
        <f t="shared" si="17"/>
        <v>0</v>
      </c>
    </row>
    <row r="269" spans="1:4" x14ac:dyDescent="0.3">
      <c r="A269">
        <f t="shared" si="21"/>
        <v>0</v>
      </c>
      <c r="B269">
        <f t="shared" si="20"/>
        <v>0</v>
      </c>
      <c r="C269">
        <f t="shared" si="22"/>
        <v>0</v>
      </c>
      <c r="D269">
        <f t="shared" si="17"/>
        <v>0</v>
      </c>
    </row>
    <row r="270" spans="1:4" x14ac:dyDescent="0.3">
      <c r="A270">
        <f t="shared" si="21"/>
        <v>0</v>
      </c>
      <c r="B270">
        <f t="shared" si="20"/>
        <v>0</v>
      </c>
      <c r="C270">
        <f t="shared" si="22"/>
        <v>0</v>
      </c>
      <c r="D270">
        <f t="shared" si="17"/>
        <v>0</v>
      </c>
    </row>
    <row r="271" spans="1:4" x14ac:dyDescent="0.3">
      <c r="A271">
        <f t="shared" si="21"/>
        <v>0</v>
      </c>
      <c r="B271">
        <f t="shared" si="20"/>
        <v>0</v>
      </c>
      <c r="C271">
        <f t="shared" si="22"/>
        <v>0</v>
      </c>
      <c r="D271">
        <f t="shared" si="17"/>
        <v>0</v>
      </c>
    </row>
    <row r="272" spans="1:4" x14ac:dyDescent="0.3">
      <c r="A272">
        <f t="shared" si="21"/>
        <v>0</v>
      </c>
      <c r="B272">
        <f t="shared" si="20"/>
        <v>0</v>
      </c>
      <c r="C272">
        <f t="shared" si="22"/>
        <v>0</v>
      </c>
      <c r="D272">
        <f t="shared" si="17"/>
        <v>0</v>
      </c>
    </row>
    <row r="273" spans="1:4" x14ac:dyDescent="0.3">
      <c r="A273">
        <f t="shared" si="21"/>
        <v>0</v>
      </c>
      <c r="B273">
        <f t="shared" si="20"/>
        <v>0</v>
      </c>
      <c r="C273">
        <f t="shared" si="22"/>
        <v>0</v>
      </c>
      <c r="D273">
        <f t="shared" si="17"/>
        <v>0</v>
      </c>
    </row>
    <row r="274" spans="1:4" x14ac:dyDescent="0.3">
      <c r="A274">
        <f t="shared" si="21"/>
        <v>0</v>
      </c>
      <c r="B274">
        <f t="shared" si="20"/>
        <v>0</v>
      </c>
      <c r="C274">
        <f t="shared" si="22"/>
        <v>0</v>
      </c>
      <c r="D274">
        <f t="shared" si="17"/>
        <v>0</v>
      </c>
    </row>
    <row r="275" spans="1:4" x14ac:dyDescent="0.3">
      <c r="A275">
        <f t="shared" si="21"/>
        <v>0</v>
      </c>
      <c r="B275">
        <f t="shared" si="20"/>
        <v>0</v>
      </c>
      <c r="C275">
        <f t="shared" si="22"/>
        <v>0</v>
      </c>
      <c r="D275">
        <f t="shared" ref="D275:D338" si="23">((0*(1/3.6))*(3.6))*(1/3.6)</f>
        <v>0</v>
      </c>
    </row>
    <row r="276" spans="1:4" x14ac:dyDescent="0.3">
      <c r="A276">
        <f t="shared" si="21"/>
        <v>0</v>
      </c>
      <c r="B276">
        <f t="shared" si="20"/>
        <v>0</v>
      </c>
      <c r="C276">
        <f t="shared" si="22"/>
        <v>0</v>
      </c>
      <c r="D276">
        <f t="shared" si="23"/>
        <v>0</v>
      </c>
    </row>
    <row r="277" spans="1:4" x14ac:dyDescent="0.3">
      <c r="A277">
        <f t="shared" si="21"/>
        <v>0</v>
      </c>
      <c r="B277">
        <f t="shared" si="20"/>
        <v>0</v>
      </c>
      <c r="C277">
        <f t="shared" si="22"/>
        <v>0</v>
      </c>
      <c r="D277">
        <f t="shared" si="23"/>
        <v>0</v>
      </c>
    </row>
    <row r="278" spans="1:4" x14ac:dyDescent="0.3">
      <c r="A278">
        <f t="shared" si="21"/>
        <v>0</v>
      </c>
      <c r="B278">
        <f t="shared" si="20"/>
        <v>0</v>
      </c>
      <c r="C278">
        <f t="shared" si="22"/>
        <v>0</v>
      </c>
      <c r="D278">
        <f t="shared" si="23"/>
        <v>0</v>
      </c>
    </row>
    <row r="279" spans="1:4" x14ac:dyDescent="0.3">
      <c r="A279">
        <f t="shared" si="21"/>
        <v>0</v>
      </c>
      <c r="B279">
        <f t="shared" si="20"/>
        <v>0</v>
      </c>
      <c r="C279">
        <f t="shared" si="22"/>
        <v>0</v>
      </c>
      <c r="D279">
        <f t="shared" si="23"/>
        <v>0</v>
      </c>
    </row>
    <row r="280" spans="1:4" x14ac:dyDescent="0.3">
      <c r="A280">
        <f t="shared" si="21"/>
        <v>0</v>
      </c>
      <c r="B280">
        <f t="shared" si="20"/>
        <v>0</v>
      </c>
      <c r="C280">
        <f t="shared" si="22"/>
        <v>0</v>
      </c>
      <c r="D280">
        <f t="shared" si="23"/>
        <v>0</v>
      </c>
    </row>
    <row r="281" spans="1:4" x14ac:dyDescent="0.3">
      <c r="A281">
        <f t="shared" si="21"/>
        <v>0</v>
      </c>
      <c r="B281">
        <f t="shared" si="20"/>
        <v>0</v>
      </c>
      <c r="C281">
        <f t="shared" si="22"/>
        <v>0</v>
      </c>
      <c r="D281">
        <f t="shared" si="23"/>
        <v>0</v>
      </c>
    </row>
    <row r="282" spans="1:4" x14ac:dyDescent="0.3">
      <c r="A282">
        <f t="shared" si="21"/>
        <v>0</v>
      </c>
      <c r="B282">
        <f t="shared" si="20"/>
        <v>0</v>
      </c>
      <c r="C282">
        <f t="shared" si="22"/>
        <v>0</v>
      </c>
      <c r="D282">
        <f t="shared" si="23"/>
        <v>0</v>
      </c>
    </row>
    <row r="283" spans="1:4" x14ac:dyDescent="0.3">
      <c r="A283">
        <f t="shared" si="21"/>
        <v>0</v>
      </c>
      <c r="B283">
        <f t="shared" si="20"/>
        <v>0</v>
      </c>
      <c r="C283">
        <f t="shared" si="22"/>
        <v>0</v>
      </c>
      <c r="D283">
        <f t="shared" si="23"/>
        <v>0</v>
      </c>
    </row>
    <row r="284" spans="1:4" x14ac:dyDescent="0.3">
      <c r="A284">
        <f t="shared" si="21"/>
        <v>0</v>
      </c>
      <c r="B284">
        <f t="shared" si="20"/>
        <v>0</v>
      </c>
      <c r="C284">
        <f t="shared" si="22"/>
        <v>0</v>
      </c>
      <c r="D284">
        <f t="shared" si="23"/>
        <v>0</v>
      </c>
    </row>
    <row r="285" spans="1:4" x14ac:dyDescent="0.3">
      <c r="A285">
        <f t="shared" si="21"/>
        <v>0</v>
      </c>
      <c r="B285">
        <f t="shared" si="20"/>
        <v>0</v>
      </c>
      <c r="C285">
        <f t="shared" si="22"/>
        <v>0</v>
      </c>
      <c r="D285">
        <f t="shared" si="23"/>
        <v>0</v>
      </c>
    </row>
    <row r="286" spans="1:4" x14ac:dyDescent="0.3">
      <c r="A286">
        <f t="shared" si="21"/>
        <v>0</v>
      </c>
      <c r="B286">
        <f t="shared" si="20"/>
        <v>0</v>
      </c>
      <c r="C286">
        <f t="shared" si="22"/>
        <v>0</v>
      </c>
      <c r="D286">
        <f t="shared" si="23"/>
        <v>0</v>
      </c>
    </row>
    <row r="287" spans="1:4" x14ac:dyDescent="0.3">
      <c r="A287">
        <f t="shared" si="21"/>
        <v>0</v>
      </c>
      <c r="B287">
        <f t="shared" si="20"/>
        <v>0</v>
      </c>
      <c r="C287">
        <f t="shared" si="22"/>
        <v>0</v>
      </c>
      <c r="D287">
        <f t="shared" si="23"/>
        <v>0</v>
      </c>
    </row>
    <row r="288" spans="1:4" x14ac:dyDescent="0.3">
      <c r="A288">
        <f t="shared" si="21"/>
        <v>0</v>
      </c>
      <c r="B288">
        <f t="shared" si="20"/>
        <v>0</v>
      </c>
      <c r="C288">
        <f t="shared" si="22"/>
        <v>0</v>
      </c>
      <c r="D288">
        <f t="shared" si="23"/>
        <v>0</v>
      </c>
    </row>
    <row r="289" spans="1:4" x14ac:dyDescent="0.3">
      <c r="A289">
        <f t="shared" si="21"/>
        <v>0</v>
      </c>
      <c r="B289">
        <f t="shared" si="20"/>
        <v>0</v>
      </c>
      <c r="C289">
        <f t="shared" si="22"/>
        <v>0</v>
      </c>
      <c r="D289">
        <f t="shared" si="23"/>
        <v>0</v>
      </c>
    </row>
    <row r="290" spans="1:4" x14ac:dyDescent="0.3">
      <c r="A290">
        <f t="shared" si="21"/>
        <v>0</v>
      </c>
      <c r="B290">
        <f t="shared" si="20"/>
        <v>0</v>
      </c>
      <c r="C290">
        <f t="shared" si="22"/>
        <v>0</v>
      </c>
      <c r="D290">
        <f t="shared" si="23"/>
        <v>0</v>
      </c>
    </row>
    <row r="291" spans="1:4" x14ac:dyDescent="0.3">
      <c r="A291">
        <f t="shared" si="21"/>
        <v>0</v>
      </c>
      <c r="B291">
        <f t="shared" si="20"/>
        <v>0</v>
      </c>
      <c r="C291">
        <f t="shared" si="22"/>
        <v>0</v>
      </c>
      <c r="D291">
        <f t="shared" si="23"/>
        <v>0</v>
      </c>
    </row>
    <row r="292" spans="1:4" x14ac:dyDescent="0.3">
      <c r="A292">
        <f t="shared" si="21"/>
        <v>0</v>
      </c>
      <c r="B292">
        <f t="shared" si="20"/>
        <v>0</v>
      </c>
      <c r="C292">
        <f t="shared" si="22"/>
        <v>0</v>
      </c>
      <c r="D292">
        <f t="shared" si="23"/>
        <v>0</v>
      </c>
    </row>
    <row r="293" spans="1:4" x14ac:dyDescent="0.3">
      <c r="A293">
        <f t="shared" si="21"/>
        <v>0</v>
      </c>
      <c r="B293">
        <f t="shared" si="20"/>
        <v>0</v>
      </c>
      <c r="C293">
        <f t="shared" si="22"/>
        <v>0</v>
      </c>
      <c r="D293">
        <f t="shared" si="23"/>
        <v>0</v>
      </c>
    </row>
    <row r="294" spans="1:4" x14ac:dyDescent="0.3">
      <c r="A294">
        <f t="shared" si="21"/>
        <v>0</v>
      </c>
      <c r="B294">
        <f t="shared" si="20"/>
        <v>0</v>
      </c>
      <c r="C294">
        <f t="shared" si="22"/>
        <v>0</v>
      </c>
      <c r="D294">
        <f t="shared" si="23"/>
        <v>0</v>
      </c>
    </row>
    <row r="295" spans="1:4" x14ac:dyDescent="0.3">
      <c r="A295">
        <f t="shared" si="21"/>
        <v>0</v>
      </c>
      <c r="B295">
        <f t="shared" si="20"/>
        <v>0</v>
      </c>
      <c r="C295">
        <f t="shared" si="22"/>
        <v>0</v>
      </c>
      <c r="D295">
        <f t="shared" si="23"/>
        <v>0</v>
      </c>
    </row>
    <row r="296" spans="1:4" x14ac:dyDescent="0.3">
      <c r="A296">
        <f>((113.7*(1/3.6))*(3.6))*(1/3.6)</f>
        <v>31.583333333333339</v>
      </c>
      <c r="B296">
        <f t="shared" si="20"/>
        <v>0</v>
      </c>
      <c r="C296">
        <f>193.4*(1/3.6)</f>
        <v>53.722222222222229</v>
      </c>
      <c r="D296">
        <f t="shared" si="23"/>
        <v>0</v>
      </c>
    </row>
    <row r="297" spans="1:4" x14ac:dyDescent="0.3">
      <c r="A297">
        <f t="shared" ref="A297:A328" si="24">((0*(1/3.6))*(3.6))*(1/3.6)</f>
        <v>0</v>
      </c>
      <c r="B297">
        <f t="shared" si="20"/>
        <v>0</v>
      </c>
      <c r="C297">
        <f t="shared" ref="C297:C328" si="25">((0*(1/3.6))*(3.6))*(1/3.6)</f>
        <v>0</v>
      </c>
      <c r="D297">
        <f t="shared" si="23"/>
        <v>0</v>
      </c>
    </row>
    <row r="298" spans="1:4" x14ac:dyDescent="0.3">
      <c r="A298">
        <f t="shared" si="24"/>
        <v>0</v>
      </c>
      <c r="B298">
        <f t="shared" si="20"/>
        <v>0</v>
      </c>
      <c r="C298">
        <f t="shared" si="25"/>
        <v>0</v>
      </c>
      <c r="D298">
        <f t="shared" si="23"/>
        <v>0</v>
      </c>
    </row>
    <row r="299" spans="1:4" x14ac:dyDescent="0.3">
      <c r="A299">
        <f t="shared" si="24"/>
        <v>0</v>
      </c>
      <c r="B299">
        <f t="shared" si="20"/>
        <v>0</v>
      </c>
      <c r="C299">
        <f t="shared" si="25"/>
        <v>0</v>
      </c>
      <c r="D299">
        <f t="shared" si="23"/>
        <v>0</v>
      </c>
    </row>
    <row r="300" spans="1:4" x14ac:dyDescent="0.3">
      <c r="A300">
        <f t="shared" si="24"/>
        <v>0</v>
      </c>
      <c r="B300">
        <f t="shared" si="20"/>
        <v>0</v>
      </c>
      <c r="C300">
        <f t="shared" si="25"/>
        <v>0</v>
      </c>
      <c r="D300">
        <f t="shared" si="23"/>
        <v>0</v>
      </c>
    </row>
    <row r="301" spans="1:4" x14ac:dyDescent="0.3">
      <c r="A301">
        <f t="shared" si="24"/>
        <v>0</v>
      </c>
      <c r="B301">
        <f t="shared" si="20"/>
        <v>0</v>
      </c>
      <c r="C301">
        <f t="shared" si="25"/>
        <v>0</v>
      </c>
      <c r="D301">
        <f t="shared" si="23"/>
        <v>0</v>
      </c>
    </row>
    <row r="302" spans="1:4" x14ac:dyDescent="0.3">
      <c r="A302">
        <f t="shared" si="24"/>
        <v>0</v>
      </c>
      <c r="B302">
        <f t="shared" si="20"/>
        <v>0</v>
      </c>
      <c r="C302">
        <f t="shared" si="25"/>
        <v>0</v>
      </c>
      <c r="D302">
        <f t="shared" si="23"/>
        <v>0</v>
      </c>
    </row>
    <row r="303" spans="1:4" x14ac:dyDescent="0.3">
      <c r="A303">
        <f t="shared" si="24"/>
        <v>0</v>
      </c>
      <c r="B303">
        <f t="shared" si="20"/>
        <v>0</v>
      </c>
      <c r="C303">
        <f t="shared" si="25"/>
        <v>0</v>
      </c>
      <c r="D303">
        <f t="shared" si="23"/>
        <v>0</v>
      </c>
    </row>
    <row r="304" spans="1:4" x14ac:dyDescent="0.3">
      <c r="A304">
        <f t="shared" si="24"/>
        <v>0</v>
      </c>
      <c r="B304">
        <f t="shared" si="20"/>
        <v>0</v>
      </c>
      <c r="C304">
        <f t="shared" si="25"/>
        <v>0</v>
      </c>
      <c r="D304">
        <f t="shared" si="23"/>
        <v>0</v>
      </c>
    </row>
    <row r="305" spans="1:4" x14ac:dyDescent="0.3">
      <c r="A305">
        <f t="shared" si="24"/>
        <v>0</v>
      </c>
      <c r="B305">
        <f t="shared" si="20"/>
        <v>0</v>
      </c>
      <c r="C305">
        <f t="shared" si="25"/>
        <v>0</v>
      </c>
      <c r="D305">
        <f t="shared" si="23"/>
        <v>0</v>
      </c>
    </row>
    <row r="306" spans="1:4" x14ac:dyDescent="0.3">
      <c r="A306">
        <f t="shared" si="24"/>
        <v>0</v>
      </c>
      <c r="B306">
        <f t="shared" si="20"/>
        <v>0</v>
      </c>
      <c r="C306">
        <f t="shared" si="25"/>
        <v>0</v>
      </c>
      <c r="D306">
        <f t="shared" si="23"/>
        <v>0</v>
      </c>
    </row>
    <row r="307" spans="1:4" x14ac:dyDescent="0.3">
      <c r="A307">
        <f t="shared" si="24"/>
        <v>0</v>
      </c>
      <c r="B307">
        <f t="shared" si="20"/>
        <v>0</v>
      </c>
      <c r="C307">
        <f t="shared" si="25"/>
        <v>0</v>
      </c>
      <c r="D307">
        <f t="shared" si="23"/>
        <v>0</v>
      </c>
    </row>
    <row r="308" spans="1:4" x14ac:dyDescent="0.3">
      <c r="A308">
        <f t="shared" si="24"/>
        <v>0</v>
      </c>
      <c r="B308">
        <f t="shared" si="20"/>
        <v>0</v>
      </c>
      <c r="C308">
        <f t="shared" si="25"/>
        <v>0</v>
      </c>
      <c r="D308">
        <f t="shared" si="23"/>
        <v>0</v>
      </c>
    </row>
    <row r="309" spans="1:4" x14ac:dyDescent="0.3">
      <c r="A309">
        <f t="shared" si="24"/>
        <v>0</v>
      </c>
      <c r="B309">
        <f t="shared" si="20"/>
        <v>0</v>
      </c>
      <c r="C309">
        <f t="shared" si="25"/>
        <v>0</v>
      </c>
      <c r="D309">
        <f t="shared" si="23"/>
        <v>0</v>
      </c>
    </row>
    <row r="310" spans="1:4" x14ac:dyDescent="0.3">
      <c r="A310">
        <f t="shared" si="24"/>
        <v>0</v>
      </c>
      <c r="B310">
        <f t="shared" si="20"/>
        <v>0</v>
      </c>
      <c r="C310">
        <f t="shared" si="25"/>
        <v>0</v>
      </c>
      <c r="D310">
        <f t="shared" si="23"/>
        <v>0</v>
      </c>
    </row>
    <row r="311" spans="1:4" x14ac:dyDescent="0.3">
      <c r="A311">
        <f t="shared" si="24"/>
        <v>0</v>
      </c>
      <c r="B311">
        <f t="shared" si="20"/>
        <v>0</v>
      </c>
      <c r="C311">
        <f t="shared" si="25"/>
        <v>0</v>
      </c>
      <c r="D311">
        <f t="shared" si="23"/>
        <v>0</v>
      </c>
    </row>
    <row r="312" spans="1:4" x14ac:dyDescent="0.3">
      <c r="A312">
        <f t="shared" si="24"/>
        <v>0</v>
      </c>
      <c r="B312">
        <f t="shared" si="20"/>
        <v>0</v>
      </c>
      <c r="C312">
        <f t="shared" si="25"/>
        <v>0</v>
      </c>
      <c r="D312">
        <f t="shared" si="23"/>
        <v>0</v>
      </c>
    </row>
    <row r="313" spans="1:4" x14ac:dyDescent="0.3">
      <c r="A313">
        <f t="shared" si="24"/>
        <v>0</v>
      </c>
      <c r="B313">
        <f t="shared" si="20"/>
        <v>0</v>
      </c>
      <c r="C313">
        <f t="shared" si="25"/>
        <v>0</v>
      </c>
      <c r="D313">
        <f t="shared" si="23"/>
        <v>0</v>
      </c>
    </row>
    <row r="314" spans="1:4" x14ac:dyDescent="0.3">
      <c r="A314">
        <f t="shared" si="24"/>
        <v>0</v>
      </c>
      <c r="B314">
        <f t="shared" si="20"/>
        <v>0</v>
      </c>
      <c r="C314">
        <f t="shared" si="25"/>
        <v>0</v>
      </c>
      <c r="D314">
        <f t="shared" si="23"/>
        <v>0</v>
      </c>
    </row>
    <row r="315" spans="1:4" x14ac:dyDescent="0.3">
      <c r="A315">
        <f t="shared" si="24"/>
        <v>0</v>
      </c>
      <c r="B315">
        <f t="shared" si="20"/>
        <v>0</v>
      </c>
      <c r="C315">
        <f t="shared" si="25"/>
        <v>0</v>
      </c>
      <c r="D315">
        <f t="shared" si="23"/>
        <v>0</v>
      </c>
    </row>
    <row r="316" spans="1:4" x14ac:dyDescent="0.3">
      <c r="A316">
        <f t="shared" si="24"/>
        <v>0</v>
      </c>
      <c r="B316">
        <f t="shared" si="20"/>
        <v>0</v>
      </c>
      <c r="C316">
        <f t="shared" si="25"/>
        <v>0</v>
      </c>
      <c r="D316">
        <f t="shared" si="23"/>
        <v>0</v>
      </c>
    </row>
    <row r="317" spans="1:4" x14ac:dyDescent="0.3">
      <c r="A317">
        <f t="shared" si="24"/>
        <v>0</v>
      </c>
      <c r="B317">
        <f t="shared" si="20"/>
        <v>0</v>
      </c>
      <c r="C317">
        <f t="shared" si="25"/>
        <v>0</v>
      </c>
      <c r="D317">
        <f t="shared" si="23"/>
        <v>0</v>
      </c>
    </row>
    <row r="318" spans="1:4" x14ac:dyDescent="0.3">
      <c r="A318">
        <f t="shared" si="24"/>
        <v>0</v>
      </c>
      <c r="B318">
        <f t="shared" si="20"/>
        <v>0</v>
      </c>
      <c r="C318">
        <f t="shared" si="25"/>
        <v>0</v>
      </c>
      <c r="D318">
        <f t="shared" si="23"/>
        <v>0</v>
      </c>
    </row>
    <row r="319" spans="1:4" x14ac:dyDescent="0.3">
      <c r="A319">
        <f t="shared" si="24"/>
        <v>0</v>
      </c>
      <c r="B319">
        <f t="shared" si="20"/>
        <v>0</v>
      </c>
      <c r="C319">
        <f t="shared" si="25"/>
        <v>0</v>
      </c>
      <c r="D319">
        <f t="shared" si="23"/>
        <v>0</v>
      </c>
    </row>
    <row r="320" spans="1:4" x14ac:dyDescent="0.3">
      <c r="A320">
        <f t="shared" si="24"/>
        <v>0</v>
      </c>
      <c r="B320">
        <f t="shared" si="20"/>
        <v>0</v>
      </c>
      <c r="C320">
        <f t="shared" si="25"/>
        <v>0</v>
      </c>
      <c r="D320">
        <f t="shared" si="23"/>
        <v>0</v>
      </c>
    </row>
    <row r="321" spans="1:4" x14ac:dyDescent="0.3">
      <c r="A321">
        <f t="shared" si="24"/>
        <v>0</v>
      </c>
      <c r="B321">
        <f t="shared" si="20"/>
        <v>0</v>
      </c>
      <c r="C321">
        <f t="shared" si="25"/>
        <v>0</v>
      </c>
      <c r="D321">
        <f t="shared" si="23"/>
        <v>0</v>
      </c>
    </row>
    <row r="322" spans="1:4" x14ac:dyDescent="0.3">
      <c r="A322">
        <f t="shared" si="24"/>
        <v>0</v>
      </c>
      <c r="B322">
        <f t="shared" si="20"/>
        <v>0</v>
      </c>
      <c r="C322">
        <f t="shared" si="25"/>
        <v>0</v>
      </c>
      <c r="D322">
        <f t="shared" si="23"/>
        <v>0</v>
      </c>
    </row>
    <row r="323" spans="1:4" x14ac:dyDescent="0.3">
      <c r="A323">
        <f t="shared" si="24"/>
        <v>0</v>
      </c>
      <c r="B323">
        <f t="shared" si="20"/>
        <v>0</v>
      </c>
      <c r="C323">
        <f t="shared" si="25"/>
        <v>0</v>
      </c>
      <c r="D323">
        <f t="shared" si="23"/>
        <v>0</v>
      </c>
    </row>
    <row r="324" spans="1:4" x14ac:dyDescent="0.3">
      <c r="A324">
        <f t="shared" si="24"/>
        <v>0</v>
      </c>
      <c r="B324">
        <f t="shared" si="20"/>
        <v>0</v>
      </c>
      <c r="C324">
        <f t="shared" si="25"/>
        <v>0</v>
      </c>
      <c r="D324">
        <f t="shared" si="23"/>
        <v>0</v>
      </c>
    </row>
    <row r="325" spans="1:4" x14ac:dyDescent="0.3">
      <c r="A325">
        <f t="shared" si="24"/>
        <v>0</v>
      </c>
      <c r="B325">
        <f t="shared" si="20"/>
        <v>0</v>
      </c>
      <c r="C325">
        <f t="shared" si="25"/>
        <v>0</v>
      </c>
      <c r="D325">
        <f t="shared" si="23"/>
        <v>0</v>
      </c>
    </row>
    <row r="326" spans="1:4" x14ac:dyDescent="0.3">
      <c r="A326">
        <f t="shared" si="24"/>
        <v>0</v>
      </c>
      <c r="B326">
        <f t="shared" ref="B326:B389" si="26">((0*(1/3.6))*(3.6))*(1/3.6)</f>
        <v>0</v>
      </c>
      <c r="C326">
        <f t="shared" si="25"/>
        <v>0</v>
      </c>
      <c r="D326">
        <f t="shared" si="23"/>
        <v>0</v>
      </c>
    </row>
    <row r="327" spans="1:4" x14ac:dyDescent="0.3">
      <c r="A327">
        <f t="shared" si="24"/>
        <v>0</v>
      </c>
      <c r="B327">
        <f t="shared" si="26"/>
        <v>0</v>
      </c>
      <c r="C327">
        <f t="shared" si="25"/>
        <v>0</v>
      </c>
      <c r="D327">
        <f t="shared" si="23"/>
        <v>0</v>
      </c>
    </row>
    <row r="328" spans="1:4" x14ac:dyDescent="0.3">
      <c r="A328">
        <f t="shared" si="24"/>
        <v>0</v>
      </c>
      <c r="B328">
        <f t="shared" si="26"/>
        <v>0</v>
      </c>
      <c r="C328">
        <f t="shared" si="25"/>
        <v>0</v>
      </c>
      <c r="D328">
        <f t="shared" si="23"/>
        <v>0</v>
      </c>
    </row>
    <row r="329" spans="1:4" x14ac:dyDescent="0.3">
      <c r="A329">
        <f t="shared" ref="A329:A360" si="27">((0*(1/3.6))*(3.6))*(1/3.6)</f>
        <v>0</v>
      </c>
      <c r="B329">
        <f t="shared" si="26"/>
        <v>0</v>
      </c>
      <c r="C329">
        <f t="shared" ref="C329:C360" si="28">((0*(1/3.6))*(3.6))*(1/3.6)</f>
        <v>0</v>
      </c>
      <c r="D329">
        <f t="shared" si="23"/>
        <v>0</v>
      </c>
    </row>
    <row r="330" spans="1:4" x14ac:dyDescent="0.3">
      <c r="A330">
        <f t="shared" si="27"/>
        <v>0</v>
      </c>
      <c r="B330">
        <f t="shared" si="26"/>
        <v>0</v>
      </c>
      <c r="C330">
        <f t="shared" si="28"/>
        <v>0</v>
      </c>
      <c r="D330">
        <f t="shared" si="23"/>
        <v>0</v>
      </c>
    </row>
    <row r="331" spans="1:4" x14ac:dyDescent="0.3">
      <c r="A331">
        <f t="shared" si="27"/>
        <v>0</v>
      </c>
      <c r="B331">
        <f t="shared" si="26"/>
        <v>0</v>
      </c>
      <c r="C331">
        <f t="shared" si="28"/>
        <v>0</v>
      </c>
      <c r="D331">
        <f t="shared" si="23"/>
        <v>0</v>
      </c>
    </row>
    <row r="332" spans="1:4" x14ac:dyDescent="0.3">
      <c r="A332">
        <f t="shared" si="27"/>
        <v>0</v>
      </c>
      <c r="B332">
        <f t="shared" si="26"/>
        <v>0</v>
      </c>
      <c r="C332">
        <f t="shared" si="28"/>
        <v>0</v>
      </c>
      <c r="D332">
        <f t="shared" si="23"/>
        <v>0</v>
      </c>
    </row>
    <row r="333" spans="1:4" x14ac:dyDescent="0.3">
      <c r="A333">
        <f t="shared" si="27"/>
        <v>0</v>
      </c>
      <c r="B333">
        <f t="shared" si="26"/>
        <v>0</v>
      </c>
      <c r="C333">
        <f t="shared" si="28"/>
        <v>0</v>
      </c>
      <c r="D333">
        <f t="shared" si="23"/>
        <v>0</v>
      </c>
    </row>
    <row r="334" spans="1:4" x14ac:dyDescent="0.3">
      <c r="A334">
        <f t="shared" si="27"/>
        <v>0</v>
      </c>
      <c r="B334">
        <f t="shared" si="26"/>
        <v>0</v>
      </c>
      <c r="C334">
        <f t="shared" si="28"/>
        <v>0</v>
      </c>
      <c r="D334">
        <f t="shared" si="23"/>
        <v>0</v>
      </c>
    </row>
    <row r="335" spans="1:4" x14ac:dyDescent="0.3">
      <c r="A335">
        <f t="shared" si="27"/>
        <v>0</v>
      </c>
      <c r="B335">
        <f t="shared" si="26"/>
        <v>0</v>
      </c>
      <c r="C335">
        <f t="shared" si="28"/>
        <v>0</v>
      </c>
      <c r="D335">
        <f t="shared" si="23"/>
        <v>0</v>
      </c>
    </row>
    <row r="336" spans="1:4" x14ac:dyDescent="0.3">
      <c r="A336">
        <f t="shared" si="27"/>
        <v>0</v>
      </c>
      <c r="B336">
        <f t="shared" si="26"/>
        <v>0</v>
      </c>
      <c r="C336">
        <f t="shared" si="28"/>
        <v>0</v>
      </c>
      <c r="D336">
        <f t="shared" si="23"/>
        <v>0</v>
      </c>
    </row>
    <row r="337" spans="1:4" x14ac:dyDescent="0.3">
      <c r="A337">
        <f t="shared" si="27"/>
        <v>0</v>
      </c>
      <c r="B337">
        <f t="shared" si="26"/>
        <v>0</v>
      </c>
      <c r="C337">
        <f t="shared" si="28"/>
        <v>0</v>
      </c>
      <c r="D337">
        <f t="shared" si="23"/>
        <v>0</v>
      </c>
    </row>
    <row r="338" spans="1:4" x14ac:dyDescent="0.3">
      <c r="A338">
        <f t="shared" si="27"/>
        <v>0</v>
      </c>
      <c r="B338">
        <f t="shared" si="26"/>
        <v>0</v>
      </c>
      <c r="C338">
        <f t="shared" si="28"/>
        <v>0</v>
      </c>
      <c r="D338">
        <f t="shared" si="23"/>
        <v>0</v>
      </c>
    </row>
    <row r="339" spans="1:4" x14ac:dyDescent="0.3">
      <c r="A339">
        <f t="shared" si="27"/>
        <v>0</v>
      </c>
      <c r="B339">
        <f t="shared" si="26"/>
        <v>0</v>
      </c>
      <c r="C339">
        <f t="shared" si="28"/>
        <v>0</v>
      </c>
      <c r="D339">
        <f t="shared" ref="D339:D402" si="29">((0*(1/3.6))*(3.6))*(1/3.6)</f>
        <v>0</v>
      </c>
    </row>
    <row r="340" spans="1:4" x14ac:dyDescent="0.3">
      <c r="A340">
        <f t="shared" si="27"/>
        <v>0</v>
      </c>
      <c r="B340">
        <f t="shared" si="26"/>
        <v>0</v>
      </c>
      <c r="C340">
        <f t="shared" si="28"/>
        <v>0</v>
      </c>
      <c r="D340">
        <f t="shared" si="29"/>
        <v>0</v>
      </c>
    </row>
    <row r="341" spans="1:4" x14ac:dyDescent="0.3">
      <c r="A341">
        <f t="shared" si="27"/>
        <v>0</v>
      </c>
      <c r="B341">
        <f t="shared" si="26"/>
        <v>0</v>
      </c>
      <c r="C341">
        <f t="shared" si="28"/>
        <v>0</v>
      </c>
      <c r="D341">
        <f t="shared" si="29"/>
        <v>0</v>
      </c>
    </row>
    <row r="342" spans="1:4" x14ac:dyDescent="0.3">
      <c r="A342">
        <f t="shared" si="27"/>
        <v>0</v>
      </c>
      <c r="B342">
        <f t="shared" si="26"/>
        <v>0</v>
      </c>
      <c r="C342">
        <f t="shared" si="28"/>
        <v>0</v>
      </c>
      <c r="D342">
        <f t="shared" si="29"/>
        <v>0</v>
      </c>
    </row>
    <row r="343" spans="1:4" x14ac:dyDescent="0.3">
      <c r="A343">
        <f t="shared" si="27"/>
        <v>0</v>
      </c>
      <c r="B343">
        <f t="shared" si="26"/>
        <v>0</v>
      </c>
      <c r="C343">
        <f t="shared" si="28"/>
        <v>0</v>
      </c>
      <c r="D343">
        <f t="shared" si="29"/>
        <v>0</v>
      </c>
    </row>
    <row r="344" spans="1:4" x14ac:dyDescent="0.3">
      <c r="A344">
        <f t="shared" si="27"/>
        <v>0</v>
      </c>
      <c r="B344">
        <f t="shared" si="26"/>
        <v>0</v>
      </c>
      <c r="C344">
        <f t="shared" si="28"/>
        <v>0</v>
      </c>
      <c r="D344">
        <f t="shared" si="29"/>
        <v>0</v>
      </c>
    </row>
    <row r="345" spans="1:4" x14ac:dyDescent="0.3">
      <c r="A345">
        <f t="shared" si="27"/>
        <v>0</v>
      </c>
      <c r="B345">
        <f t="shared" si="26"/>
        <v>0</v>
      </c>
      <c r="C345">
        <f t="shared" si="28"/>
        <v>0</v>
      </c>
      <c r="D345">
        <f t="shared" si="29"/>
        <v>0</v>
      </c>
    </row>
    <row r="346" spans="1:4" x14ac:dyDescent="0.3">
      <c r="A346">
        <f t="shared" si="27"/>
        <v>0</v>
      </c>
      <c r="B346">
        <f t="shared" si="26"/>
        <v>0</v>
      </c>
      <c r="C346">
        <f t="shared" si="28"/>
        <v>0</v>
      </c>
      <c r="D346">
        <f t="shared" si="29"/>
        <v>0</v>
      </c>
    </row>
    <row r="347" spans="1:4" x14ac:dyDescent="0.3">
      <c r="A347">
        <f t="shared" si="27"/>
        <v>0</v>
      </c>
      <c r="B347">
        <f t="shared" si="26"/>
        <v>0</v>
      </c>
      <c r="C347">
        <f t="shared" si="28"/>
        <v>0</v>
      </c>
      <c r="D347">
        <f t="shared" si="29"/>
        <v>0</v>
      </c>
    </row>
    <row r="348" spans="1:4" x14ac:dyDescent="0.3">
      <c r="A348">
        <f t="shared" si="27"/>
        <v>0</v>
      </c>
      <c r="B348">
        <f t="shared" si="26"/>
        <v>0</v>
      </c>
      <c r="C348">
        <f t="shared" si="28"/>
        <v>0</v>
      </c>
      <c r="D348">
        <f t="shared" si="29"/>
        <v>0</v>
      </c>
    </row>
    <row r="349" spans="1:4" x14ac:dyDescent="0.3">
      <c r="A349">
        <f t="shared" si="27"/>
        <v>0</v>
      </c>
      <c r="B349">
        <f t="shared" si="26"/>
        <v>0</v>
      </c>
      <c r="C349">
        <f t="shared" si="28"/>
        <v>0</v>
      </c>
      <c r="D349">
        <f t="shared" si="29"/>
        <v>0</v>
      </c>
    </row>
    <row r="350" spans="1:4" x14ac:dyDescent="0.3">
      <c r="A350">
        <f t="shared" si="27"/>
        <v>0</v>
      </c>
      <c r="B350">
        <f t="shared" si="26"/>
        <v>0</v>
      </c>
      <c r="C350">
        <f t="shared" si="28"/>
        <v>0</v>
      </c>
      <c r="D350">
        <f t="shared" si="29"/>
        <v>0</v>
      </c>
    </row>
    <row r="351" spans="1:4" x14ac:dyDescent="0.3">
      <c r="A351">
        <f t="shared" si="27"/>
        <v>0</v>
      </c>
      <c r="B351">
        <f t="shared" si="26"/>
        <v>0</v>
      </c>
      <c r="C351">
        <f t="shared" si="28"/>
        <v>0</v>
      </c>
      <c r="D351">
        <f t="shared" si="29"/>
        <v>0</v>
      </c>
    </row>
    <row r="352" spans="1:4" x14ac:dyDescent="0.3">
      <c r="A352">
        <f t="shared" si="27"/>
        <v>0</v>
      </c>
      <c r="B352">
        <f t="shared" si="26"/>
        <v>0</v>
      </c>
      <c r="C352">
        <f t="shared" si="28"/>
        <v>0</v>
      </c>
      <c r="D352">
        <f t="shared" si="29"/>
        <v>0</v>
      </c>
    </row>
    <row r="353" spans="1:4" x14ac:dyDescent="0.3">
      <c r="A353">
        <f t="shared" si="27"/>
        <v>0</v>
      </c>
      <c r="B353">
        <f t="shared" si="26"/>
        <v>0</v>
      </c>
      <c r="C353">
        <f t="shared" si="28"/>
        <v>0</v>
      </c>
      <c r="D353">
        <f t="shared" si="29"/>
        <v>0</v>
      </c>
    </row>
    <row r="354" spans="1:4" x14ac:dyDescent="0.3">
      <c r="A354">
        <f t="shared" si="27"/>
        <v>0</v>
      </c>
      <c r="B354">
        <f t="shared" si="26"/>
        <v>0</v>
      </c>
      <c r="C354">
        <f t="shared" si="28"/>
        <v>0</v>
      </c>
      <c r="D354">
        <f t="shared" si="29"/>
        <v>0</v>
      </c>
    </row>
    <row r="355" spans="1:4" x14ac:dyDescent="0.3">
      <c r="A355">
        <f t="shared" si="27"/>
        <v>0</v>
      </c>
      <c r="B355">
        <f t="shared" si="26"/>
        <v>0</v>
      </c>
      <c r="C355">
        <f t="shared" si="28"/>
        <v>0</v>
      </c>
      <c r="D355">
        <f t="shared" si="29"/>
        <v>0</v>
      </c>
    </row>
    <row r="356" spans="1:4" x14ac:dyDescent="0.3">
      <c r="A356">
        <f t="shared" si="27"/>
        <v>0</v>
      </c>
      <c r="B356">
        <f t="shared" si="26"/>
        <v>0</v>
      </c>
      <c r="C356">
        <f t="shared" si="28"/>
        <v>0</v>
      </c>
      <c r="D356">
        <f t="shared" si="29"/>
        <v>0</v>
      </c>
    </row>
    <row r="357" spans="1:4" x14ac:dyDescent="0.3">
      <c r="A357">
        <f t="shared" si="27"/>
        <v>0</v>
      </c>
      <c r="B357">
        <f t="shared" si="26"/>
        <v>0</v>
      </c>
      <c r="C357">
        <f t="shared" si="28"/>
        <v>0</v>
      </c>
      <c r="D357">
        <f t="shared" si="29"/>
        <v>0</v>
      </c>
    </row>
    <row r="358" spans="1:4" x14ac:dyDescent="0.3">
      <c r="A358">
        <f t="shared" si="27"/>
        <v>0</v>
      </c>
      <c r="B358">
        <f t="shared" si="26"/>
        <v>0</v>
      </c>
      <c r="C358">
        <f t="shared" si="28"/>
        <v>0</v>
      </c>
      <c r="D358">
        <f t="shared" si="29"/>
        <v>0</v>
      </c>
    </row>
    <row r="359" spans="1:4" x14ac:dyDescent="0.3">
      <c r="A359">
        <f t="shared" si="27"/>
        <v>0</v>
      </c>
      <c r="B359">
        <f t="shared" si="26"/>
        <v>0</v>
      </c>
      <c r="C359">
        <f t="shared" si="28"/>
        <v>0</v>
      </c>
      <c r="D359">
        <f t="shared" si="29"/>
        <v>0</v>
      </c>
    </row>
    <row r="360" spans="1:4" x14ac:dyDescent="0.3">
      <c r="A360">
        <f t="shared" si="27"/>
        <v>0</v>
      </c>
      <c r="B360">
        <f t="shared" si="26"/>
        <v>0</v>
      </c>
      <c r="C360">
        <f t="shared" si="28"/>
        <v>0</v>
      </c>
      <c r="D360">
        <f t="shared" si="29"/>
        <v>0</v>
      </c>
    </row>
    <row r="361" spans="1:4" x14ac:dyDescent="0.3">
      <c r="A361">
        <f t="shared" ref="A361:A385" si="30">((0*(1/3.6))*(3.6))*(1/3.6)</f>
        <v>0</v>
      </c>
      <c r="B361">
        <f t="shared" si="26"/>
        <v>0</v>
      </c>
      <c r="C361">
        <f t="shared" ref="C361:C384" si="31">((0*(1/3.6))*(3.6))*(1/3.6)</f>
        <v>0</v>
      </c>
      <c r="D361">
        <f t="shared" si="29"/>
        <v>0</v>
      </c>
    </row>
    <row r="362" spans="1:4" x14ac:dyDescent="0.3">
      <c r="A362">
        <f t="shared" si="30"/>
        <v>0</v>
      </c>
      <c r="B362">
        <f t="shared" si="26"/>
        <v>0</v>
      </c>
      <c r="C362">
        <f t="shared" si="31"/>
        <v>0</v>
      </c>
      <c r="D362">
        <f t="shared" si="29"/>
        <v>0</v>
      </c>
    </row>
    <row r="363" spans="1:4" x14ac:dyDescent="0.3">
      <c r="A363">
        <f t="shared" si="30"/>
        <v>0</v>
      </c>
      <c r="B363">
        <f t="shared" si="26"/>
        <v>0</v>
      </c>
      <c r="C363">
        <f t="shared" si="31"/>
        <v>0</v>
      </c>
      <c r="D363">
        <f t="shared" si="29"/>
        <v>0</v>
      </c>
    </row>
    <row r="364" spans="1:4" x14ac:dyDescent="0.3">
      <c r="A364">
        <f t="shared" si="30"/>
        <v>0</v>
      </c>
      <c r="B364">
        <f t="shared" si="26"/>
        <v>0</v>
      </c>
      <c r="C364">
        <f t="shared" si="31"/>
        <v>0</v>
      </c>
      <c r="D364">
        <f t="shared" si="29"/>
        <v>0</v>
      </c>
    </row>
    <row r="365" spans="1:4" x14ac:dyDescent="0.3">
      <c r="A365">
        <f t="shared" si="30"/>
        <v>0</v>
      </c>
      <c r="B365">
        <f t="shared" si="26"/>
        <v>0</v>
      </c>
      <c r="C365">
        <f t="shared" si="31"/>
        <v>0</v>
      </c>
      <c r="D365">
        <f t="shared" si="29"/>
        <v>0</v>
      </c>
    </row>
    <row r="366" spans="1:4" x14ac:dyDescent="0.3">
      <c r="A366">
        <f t="shared" si="30"/>
        <v>0</v>
      </c>
      <c r="B366">
        <f t="shared" si="26"/>
        <v>0</v>
      </c>
      <c r="C366">
        <f t="shared" si="31"/>
        <v>0</v>
      </c>
      <c r="D366">
        <f t="shared" si="29"/>
        <v>0</v>
      </c>
    </row>
    <row r="367" spans="1:4" x14ac:dyDescent="0.3">
      <c r="A367">
        <f t="shared" si="30"/>
        <v>0</v>
      </c>
      <c r="B367">
        <f t="shared" si="26"/>
        <v>0</v>
      </c>
      <c r="C367">
        <f t="shared" si="31"/>
        <v>0</v>
      </c>
      <c r="D367">
        <f t="shared" si="29"/>
        <v>0</v>
      </c>
    </row>
    <row r="368" spans="1:4" x14ac:dyDescent="0.3">
      <c r="A368">
        <f t="shared" si="30"/>
        <v>0</v>
      </c>
      <c r="B368">
        <f t="shared" si="26"/>
        <v>0</v>
      </c>
      <c r="C368">
        <f t="shared" si="31"/>
        <v>0</v>
      </c>
      <c r="D368">
        <f t="shared" si="29"/>
        <v>0</v>
      </c>
    </row>
    <row r="369" spans="1:4" x14ac:dyDescent="0.3">
      <c r="A369">
        <f t="shared" si="30"/>
        <v>0</v>
      </c>
      <c r="B369">
        <f t="shared" si="26"/>
        <v>0</v>
      </c>
      <c r="C369">
        <f t="shared" si="31"/>
        <v>0</v>
      </c>
      <c r="D369">
        <f t="shared" si="29"/>
        <v>0</v>
      </c>
    </row>
    <row r="370" spans="1:4" x14ac:dyDescent="0.3">
      <c r="A370">
        <f t="shared" si="30"/>
        <v>0</v>
      </c>
      <c r="B370">
        <f t="shared" si="26"/>
        <v>0</v>
      </c>
      <c r="C370">
        <f t="shared" si="31"/>
        <v>0</v>
      </c>
      <c r="D370">
        <f t="shared" si="29"/>
        <v>0</v>
      </c>
    </row>
    <row r="371" spans="1:4" x14ac:dyDescent="0.3">
      <c r="A371">
        <f t="shared" si="30"/>
        <v>0</v>
      </c>
      <c r="B371">
        <f t="shared" si="26"/>
        <v>0</v>
      </c>
      <c r="C371">
        <f t="shared" si="31"/>
        <v>0</v>
      </c>
      <c r="D371">
        <f t="shared" si="29"/>
        <v>0</v>
      </c>
    </row>
    <row r="372" spans="1:4" x14ac:dyDescent="0.3">
      <c r="A372">
        <f t="shared" si="30"/>
        <v>0</v>
      </c>
      <c r="B372">
        <f t="shared" si="26"/>
        <v>0</v>
      </c>
      <c r="C372">
        <f t="shared" si="31"/>
        <v>0</v>
      </c>
      <c r="D372">
        <f t="shared" si="29"/>
        <v>0</v>
      </c>
    </row>
    <row r="373" spans="1:4" x14ac:dyDescent="0.3">
      <c r="A373">
        <f t="shared" si="30"/>
        <v>0</v>
      </c>
      <c r="B373">
        <f t="shared" si="26"/>
        <v>0</v>
      </c>
      <c r="C373">
        <f t="shared" si="31"/>
        <v>0</v>
      </c>
      <c r="D373">
        <f t="shared" si="29"/>
        <v>0</v>
      </c>
    </row>
    <row r="374" spans="1:4" x14ac:dyDescent="0.3">
      <c r="A374">
        <f t="shared" si="30"/>
        <v>0</v>
      </c>
      <c r="B374">
        <f t="shared" si="26"/>
        <v>0</v>
      </c>
      <c r="C374">
        <f t="shared" si="31"/>
        <v>0</v>
      </c>
      <c r="D374">
        <f t="shared" si="29"/>
        <v>0</v>
      </c>
    </row>
    <row r="375" spans="1:4" x14ac:dyDescent="0.3">
      <c r="A375">
        <f t="shared" si="30"/>
        <v>0</v>
      </c>
      <c r="B375">
        <f t="shared" si="26"/>
        <v>0</v>
      </c>
      <c r="C375">
        <f t="shared" si="31"/>
        <v>0</v>
      </c>
      <c r="D375">
        <f t="shared" si="29"/>
        <v>0</v>
      </c>
    </row>
    <row r="376" spans="1:4" x14ac:dyDescent="0.3">
      <c r="A376">
        <f t="shared" si="30"/>
        <v>0</v>
      </c>
      <c r="B376">
        <f t="shared" si="26"/>
        <v>0</v>
      </c>
      <c r="C376">
        <f t="shared" si="31"/>
        <v>0</v>
      </c>
      <c r="D376">
        <f t="shared" si="29"/>
        <v>0</v>
      </c>
    </row>
    <row r="377" spans="1:4" x14ac:dyDescent="0.3">
      <c r="A377">
        <f t="shared" si="30"/>
        <v>0</v>
      </c>
      <c r="B377">
        <f t="shared" si="26"/>
        <v>0</v>
      </c>
      <c r="C377">
        <f t="shared" si="31"/>
        <v>0</v>
      </c>
      <c r="D377">
        <f t="shared" si="29"/>
        <v>0</v>
      </c>
    </row>
    <row r="378" spans="1:4" x14ac:dyDescent="0.3">
      <c r="A378">
        <f t="shared" si="30"/>
        <v>0</v>
      </c>
      <c r="B378">
        <f t="shared" si="26"/>
        <v>0</v>
      </c>
      <c r="C378">
        <f t="shared" si="31"/>
        <v>0</v>
      </c>
      <c r="D378">
        <f t="shared" si="29"/>
        <v>0</v>
      </c>
    </row>
    <row r="379" spans="1:4" x14ac:dyDescent="0.3">
      <c r="A379">
        <f t="shared" si="30"/>
        <v>0</v>
      </c>
      <c r="B379">
        <f t="shared" si="26"/>
        <v>0</v>
      </c>
      <c r="C379">
        <f t="shared" si="31"/>
        <v>0</v>
      </c>
      <c r="D379">
        <f t="shared" si="29"/>
        <v>0</v>
      </c>
    </row>
    <row r="380" spans="1:4" x14ac:dyDescent="0.3">
      <c r="A380">
        <f t="shared" si="30"/>
        <v>0</v>
      </c>
      <c r="B380">
        <f t="shared" si="26"/>
        <v>0</v>
      </c>
      <c r="C380">
        <f t="shared" si="31"/>
        <v>0</v>
      </c>
      <c r="D380">
        <f t="shared" si="29"/>
        <v>0</v>
      </c>
    </row>
    <row r="381" spans="1:4" x14ac:dyDescent="0.3">
      <c r="A381">
        <f t="shared" si="30"/>
        <v>0</v>
      </c>
      <c r="B381">
        <f t="shared" si="26"/>
        <v>0</v>
      </c>
      <c r="C381">
        <f t="shared" si="31"/>
        <v>0</v>
      </c>
      <c r="D381">
        <f t="shared" si="29"/>
        <v>0</v>
      </c>
    </row>
    <row r="382" spans="1:4" x14ac:dyDescent="0.3">
      <c r="A382">
        <f t="shared" si="30"/>
        <v>0</v>
      </c>
      <c r="B382">
        <f t="shared" si="26"/>
        <v>0</v>
      </c>
      <c r="C382">
        <f t="shared" si="31"/>
        <v>0</v>
      </c>
      <c r="D382">
        <f t="shared" si="29"/>
        <v>0</v>
      </c>
    </row>
    <row r="383" spans="1:4" x14ac:dyDescent="0.3">
      <c r="A383">
        <f t="shared" si="30"/>
        <v>0</v>
      </c>
      <c r="B383">
        <f t="shared" si="26"/>
        <v>0</v>
      </c>
      <c r="C383">
        <f t="shared" si="31"/>
        <v>0</v>
      </c>
      <c r="D383">
        <f t="shared" si="29"/>
        <v>0</v>
      </c>
    </row>
    <row r="384" spans="1:4" x14ac:dyDescent="0.3">
      <c r="A384">
        <f t="shared" si="30"/>
        <v>0</v>
      </c>
      <c r="B384">
        <f t="shared" si="26"/>
        <v>0</v>
      </c>
      <c r="C384">
        <f t="shared" si="31"/>
        <v>0</v>
      </c>
      <c r="D384">
        <f t="shared" si="29"/>
        <v>0</v>
      </c>
    </row>
    <row r="385" spans="1:4" x14ac:dyDescent="0.3">
      <c r="A385">
        <f t="shared" si="30"/>
        <v>0</v>
      </c>
      <c r="B385">
        <f t="shared" si="26"/>
        <v>0</v>
      </c>
      <c r="C385">
        <f>147.4*(1/3.6)</f>
        <v>40.94444444444445</v>
      </c>
      <c r="D385">
        <f t="shared" si="29"/>
        <v>0</v>
      </c>
    </row>
    <row r="386" spans="1:4" x14ac:dyDescent="0.3">
      <c r="A386">
        <f>((98.3*(1/3.6))*(3.6))*(1/3.6)</f>
        <v>27.305555555555561</v>
      </c>
      <c r="B386">
        <f t="shared" si="26"/>
        <v>0</v>
      </c>
      <c r="C386">
        <f t="shared" ref="C386:C417" si="32">((0*(1/3.6))*(3.6))*(1/3.6)</f>
        <v>0</v>
      </c>
      <c r="D386">
        <f t="shared" si="29"/>
        <v>0</v>
      </c>
    </row>
    <row r="387" spans="1:4" x14ac:dyDescent="0.3">
      <c r="A387">
        <f t="shared" ref="A387:A418" si="33">((0*(1/3.6))*(3.6))*(1/3.6)</f>
        <v>0</v>
      </c>
      <c r="B387">
        <f t="shared" si="26"/>
        <v>0</v>
      </c>
      <c r="C387">
        <f t="shared" si="32"/>
        <v>0</v>
      </c>
      <c r="D387">
        <f t="shared" si="29"/>
        <v>0</v>
      </c>
    </row>
    <row r="388" spans="1:4" x14ac:dyDescent="0.3">
      <c r="A388">
        <f t="shared" si="33"/>
        <v>0</v>
      </c>
      <c r="B388">
        <f t="shared" si="26"/>
        <v>0</v>
      </c>
      <c r="C388">
        <f t="shared" si="32"/>
        <v>0</v>
      </c>
      <c r="D388">
        <f t="shared" si="29"/>
        <v>0</v>
      </c>
    </row>
    <row r="389" spans="1:4" x14ac:dyDescent="0.3">
      <c r="A389">
        <f t="shared" si="33"/>
        <v>0</v>
      </c>
      <c r="B389">
        <f t="shared" si="26"/>
        <v>0</v>
      </c>
      <c r="C389">
        <f t="shared" si="32"/>
        <v>0</v>
      </c>
      <c r="D389">
        <f t="shared" si="29"/>
        <v>0</v>
      </c>
    </row>
    <row r="390" spans="1:4" x14ac:dyDescent="0.3">
      <c r="A390">
        <f t="shared" si="33"/>
        <v>0</v>
      </c>
      <c r="B390">
        <f t="shared" ref="B390:B453" si="34">((0*(1/3.6))*(3.6))*(1/3.6)</f>
        <v>0</v>
      </c>
      <c r="C390">
        <f t="shared" si="32"/>
        <v>0</v>
      </c>
      <c r="D390">
        <f t="shared" si="29"/>
        <v>0</v>
      </c>
    </row>
    <row r="391" spans="1:4" x14ac:dyDescent="0.3">
      <c r="A391">
        <f t="shared" si="33"/>
        <v>0</v>
      </c>
      <c r="B391">
        <f t="shared" si="34"/>
        <v>0</v>
      </c>
      <c r="C391">
        <f t="shared" si="32"/>
        <v>0</v>
      </c>
      <c r="D391">
        <f t="shared" si="29"/>
        <v>0</v>
      </c>
    </row>
    <row r="392" spans="1:4" x14ac:dyDescent="0.3">
      <c r="A392">
        <f t="shared" si="33"/>
        <v>0</v>
      </c>
      <c r="B392">
        <f t="shared" si="34"/>
        <v>0</v>
      </c>
      <c r="C392">
        <f t="shared" si="32"/>
        <v>0</v>
      </c>
      <c r="D392">
        <f t="shared" si="29"/>
        <v>0</v>
      </c>
    </row>
    <row r="393" spans="1:4" x14ac:dyDescent="0.3">
      <c r="A393">
        <f t="shared" si="33"/>
        <v>0</v>
      </c>
      <c r="B393">
        <f t="shared" si="34"/>
        <v>0</v>
      </c>
      <c r="C393">
        <f t="shared" si="32"/>
        <v>0</v>
      </c>
      <c r="D393">
        <f t="shared" si="29"/>
        <v>0</v>
      </c>
    </row>
    <row r="394" spans="1:4" x14ac:dyDescent="0.3">
      <c r="A394">
        <f t="shared" si="33"/>
        <v>0</v>
      </c>
      <c r="B394">
        <f t="shared" si="34"/>
        <v>0</v>
      </c>
      <c r="C394">
        <f t="shared" si="32"/>
        <v>0</v>
      </c>
      <c r="D394">
        <f t="shared" si="29"/>
        <v>0</v>
      </c>
    </row>
    <row r="395" spans="1:4" x14ac:dyDescent="0.3">
      <c r="A395">
        <f t="shared" si="33"/>
        <v>0</v>
      </c>
      <c r="B395">
        <f t="shared" si="34"/>
        <v>0</v>
      </c>
      <c r="C395">
        <f t="shared" si="32"/>
        <v>0</v>
      </c>
      <c r="D395">
        <f t="shared" si="29"/>
        <v>0</v>
      </c>
    </row>
    <row r="396" spans="1:4" x14ac:dyDescent="0.3">
      <c r="A396">
        <f t="shared" si="33"/>
        <v>0</v>
      </c>
      <c r="B396">
        <f t="shared" si="34"/>
        <v>0</v>
      </c>
      <c r="C396">
        <f t="shared" si="32"/>
        <v>0</v>
      </c>
      <c r="D396">
        <f t="shared" si="29"/>
        <v>0</v>
      </c>
    </row>
    <row r="397" spans="1:4" x14ac:dyDescent="0.3">
      <c r="A397">
        <f t="shared" si="33"/>
        <v>0</v>
      </c>
      <c r="B397">
        <f t="shared" si="34"/>
        <v>0</v>
      </c>
      <c r="C397">
        <f t="shared" si="32"/>
        <v>0</v>
      </c>
      <c r="D397">
        <f t="shared" si="29"/>
        <v>0</v>
      </c>
    </row>
    <row r="398" spans="1:4" x14ac:dyDescent="0.3">
      <c r="A398">
        <f t="shared" si="33"/>
        <v>0</v>
      </c>
      <c r="B398">
        <f t="shared" si="34"/>
        <v>0</v>
      </c>
      <c r="C398">
        <f t="shared" si="32"/>
        <v>0</v>
      </c>
      <c r="D398">
        <f t="shared" si="29"/>
        <v>0</v>
      </c>
    </row>
    <row r="399" spans="1:4" x14ac:dyDescent="0.3">
      <c r="A399">
        <f t="shared" si="33"/>
        <v>0</v>
      </c>
      <c r="B399">
        <f t="shared" si="34"/>
        <v>0</v>
      </c>
      <c r="C399">
        <f t="shared" si="32"/>
        <v>0</v>
      </c>
      <c r="D399">
        <f t="shared" si="29"/>
        <v>0</v>
      </c>
    </row>
    <row r="400" spans="1:4" x14ac:dyDescent="0.3">
      <c r="A400">
        <f t="shared" si="33"/>
        <v>0</v>
      </c>
      <c r="B400">
        <f t="shared" si="34"/>
        <v>0</v>
      </c>
      <c r="C400">
        <f t="shared" si="32"/>
        <v>0</v>
      </c>
      <c r="D400">
        <f t="shared" si="29"/>
        <v>0</v>
      </c>
    </row>
    <row r="401" spans="1:4" x14ac:dyDescent="0.3">
      <c r="A401">
        <f t="shared" si="33"/>
        <v>0</v>
      </c>
      <c r="B401">
        <f t="shared" si="34"/>
        <v>0</v>
      </c>
      <c r="C401">
        <f t="shared" si="32"/>
        <v>0</v>
      </c>
      <c r="D401">
        <f t="shared" si="29"/>
        <v>0</v>
      </c>
    </row>
    <row r="402" spans="1:4" x14ac:dyDescent="0.3">
      <c r="A402">
        <f t="shared" si="33"/>
        <v>0</v>
      </c>
      <c r="B402">
        <f t="shared" si="34"/>
        <v>0</v>
      </c>
      <c r="C402">
        <f t="shared" si="32"/>
        <v>0</v>
      </c>
      <c r="D402">
        <f t="shared" si="29"/>
        <v>0</v>
      </c>
    </row>
    <row r="403" spans="1:4" x14ac:dyDescent="0.3">
      <c r="A403">
        <f t="shared" si="33"/>
        <v>0</v>
      </c>
      <c r="B403">
        <f t="shared" si="34"/>
        <v>0</v>
      </c>
      <c r="C403">
        <f t="shared" si="32"/>
        <v>0</v>
      </c>
      <c r="D403">
        <f t="shared" ref="D403:D466" si="35">((0*(1/3.6))*(3.6))*(1/3.6)</f>
        <v>0</v>
      </c>
    </row>
    <row r="404" spans="1:4" x14ac:dyDescent="0.3">
      <c r="A404">
        <f t="shared" si="33"/>
        <v>0</v>
      </c>
      <c r="B404">
        <f t="shared" si="34"/>
        <v>0</v>
      </c>
      <c r="C404">
        <f t="shared" si="32"/>
        <v>0</v>
      </c>
      <c r="D404">
        <f t="shared" si="35"/>
        <v>0</v>
      </c>
    </row>
    <row r="405" spans="1:4" x14ac:dyDescent="0.3">
      <c r="A405">
        <f t="shared" si="33"/>
        <v>0</v>
      </c>
      <c r="B405">
        <f t="shared" si="34"/>
        <v>0</v>
      </c>
      <c r="C405">
        <f t="shared" si="32"/>
        <v>0</v>
      </c>
      <c r="D405">
        <f t="shared" si="35"/>
        <v>0</v>
      </c>
    </row>
    <row r="406" spans="1:4" x14ac:dyDescent="0.3">
      <c r="A406">
        <f t="shared" si="33"/>
        <v>0</v>
      </c>
      <c r="B406">
        <f t="shared" si="34"/>
        <v>0</v>
      </c>
      <c r="C406">
        <f t="shared" si="32"/>
        <v>0</v>
      </c>
      <c r="D406">
        <f t="shared" si="35"/>
        <v>0</v>
      </c>
    </row>
    <row r="407" spans="1:4" x14ac:dyDescent="0.3">
      <c r="A407">
        <f t="shared" si="33"/>
        <v>0</v>
      </c>
      <c r="B407">
        <f t="shared" si="34"/>
        <v>0</v>
      </c>
      <c r="C407">
        <f t="shared" si="32"/>
        <v>0</v>
      </c>
      <c r="D407">
        <f t="shared" si="35"/>
        <v>0</v>
      </c>
    </row>
    <row r="408" spans="1:4" x14ac:dyDescent="0.3">
      <c r="A408">
        <f t="shared" si="33"/>
        <v>0</v>
      </c>
      <c r="B408">
        <f t="shared" si="34"/>
        <v>0</v>
      </c>
      <c r="C408">
        <f t="shared" si="32"/>
        <v>0</v>
      </c>
      <c r="D408">
        <f t="shared" si="35"/>
        <v>0</v>
      </c>
    </row>
    <row r="409" spans="1:4" x14ac:dyDescent="0.3">
      <c r="A409">
        <f t="shared" si="33"/>
        <v>0</v>
      </c>
      <c r="B409">
        <f t="shared" si="34"/>
        <v>0</v>
      </c>
      <c r="C409">
        <f t="shared" si="32"/>
        <v>0</v>
      </c>
      <c r="D409">
        <f t="shared" si="35"/>
        <v>0</v>
      </c>
    </row>
    <row r="410" spans="1:4" x14ac:dyDescent="0.3">
      <c r="A410">
        <f t="shared" si="33"/>
        <v>0</v>
      </c>
      <c r="B410">
        <f t="shared" si="34"/>
        <v>0</v>
      </c>
      <c r="C410">
        <f t="shared" si="32"/>
        <v>0</v>
      </c>
      <c r="D410">
        <f t="shared" si="35"/>
        <v>0</v>
      </c>
    </row>
    <row r="411" spans="1:4" x14ac:dyDescent="0.3">
      <c r="A411">
        <f t="shared" si="33"/>
        <v>0</v>
      </c>
      <c r="B411">
        <f t="shared" si="34"/>
        <v>0</v>
      </c>
      <c r="C411">
        <f t="shared" si="32"/>
        <v>0</v>
      </c>
      <c r="D411">
        <f t="shared" si="35"/>
        <v>0</v>
      </c>
    </row>
    <row r="412" spans="1:4" x14ac:dyDescent="0.3">
      <c r="A412">
        <f t="shared" si="33"/>
        <v>0</v>
      </c>
      <c r="B412">
        <f t="shared" si="34"/>
        <v>0</v>
      </c>
      <c r="C412">
        <f t="shared" si="32"/>
        <v>0</v>
      </c>
      <c r="D412">
        <f t="shared" si="35"/>
        <v>0</v>
      </c>
    </row>
    <row r="413" spans="1:4" x14ac:dyDescent="0.3">
      <c r="A413">
        <f t="shared" si="33"/>
        <v>0</v>
      </c>
      <c r="B413">
        <f t="shared" si="34"/>
        <v>0</v>
      </c>
      <c r="C413">
        <f t="shared" si="32"/>
        <v>0</v>
      </c>
      <c r="D413">
        <f t="shared" si="35"/>
        <v>0</v>
      </c>
    </row>
    <row r="414" spans="1:4" x14ac:dyDescent="0.3">
      <c r="A414">
        <f t="shared" si="33"/>
        <v>0</v>
      </c>
      <c r="B414">
        <f t="shared" si="34"/>
        <v>0</v>
      </c>
      <c r="C414">
        <f t="shared" si="32"/>
        <v>0</v>
      </c>
      <c r="D414">
        <f t="shared" si="35"/>
        <v>0</v>
      </c>
    </row>
    <row r="415" spans="1:4" x14ac:dyDescent="0.3">
      <c r="A415">
        <f t="shared" si="33"/>
        <v>0</v>
      </c>
      <c r="B415">
        <f t="shared" si="34"/>
        <v>0</v>
      </c>
      <c r="C415">
        <f t="shared" si="32"/>
        <v>0</v>
      </c>
      <c r="D415">
        <f t="shared" si="35"/>
        <v>0</v>
      </c>
    </row>
    <row r="416" spans="1:4" x14ac:dyDescent="0.3">
      <c r="A416">
        <f t="shared" si="33"/>
        <v>0</v>
      </c>
      <c r="B416">
        <f t="shared" si="34"/>
        <v>0</v>
      </c>
      <c r="C416">
        <f t="shared" si="32"/>
        <v>0</v>
      </c>
      <c r="D416">
        <f t="shared" si="35"/>
        <v>0</v>
      </c>
    </row>
    <row r="417" spans="1:4" x14ac:dyDescent="0.3">
      <c r="A417">
        <f t="shared" si="33"/>
        <v>0</v>
      </c>
      <c r="B417">
        <f t="shared" si="34"/>
        <v>0</v>
      </c>
      <c r="C417">
        <f t="shared" si="32"/>
        <v>0</v>
      </c>
      <c r="D417">
        <f t="shared" si="35"/>
        <v>0</v>
      </c>
    </row>
    <row r="418" spans="1:4" x14ac:dyDescent="0.3">
      <c r="A418">
        <f t="shared" si="33"/>
        <v>0</v>
      </c>
      <c r="B418">
        <f t="shared" si="34"/>
        <v>0</v>
      </c>
      <c r="C418">
        <f t="shared" ref="C418:C449" si="36">((0*(1/3.6))*(3.6))*(1/3.6)</f>
        <v>0</v>
      </c>
      <c r="D418">
        <f t="shared" si="35"/>
        <v>0</v>
      </c>
    </row>
    <row r="419" spans="1:4" x14ac:dyDescent="0.3">
      <c r="A419">
        <f t="shared" ref="A419:A450" si="37">((0*(1/3.6))*(3.6))*(1/3.6)</f>
        <v>0</v>
      </c>
      <c r="B419">
        <f t="shared" si="34"/>
        <v>0</v>
      </c>
      <c r="C419">
        <f t="shared" si="36"/>
        <v>0</v>
      </c>
      <c r="D419">
        <f t="shared" si="35"/>
        <v>0</v>
      </c>
    </row>
    <row r="420" spans="1:4" x14ac:dyDescent="0.3">
      <c r="A420">
        <f t="shared" si="37"/>
        <v>0</v>
      </c>
      <c r="B420">
        <f t="shared" si="34"/>
        <v>0</v>
      </c>
      <c r="C420">
        <f t="shared" si="36"/>
        <v>0</v>
      </c>
      <c r="D420">
        <f t="shared" si="35"/>
        <v>0</v>
      </c>
    </row>
    <row r="421" spans="1:4" x14ac:dyDescent="0.3">
      <c r="A421">
        <f t="shared" si="37"/>
        <v>0</v>
      </c>
      <c r="B421">
        <f t="shared" si="34"/>
        <v>0</v>
      </c>
      <c r="C421">
        <f t="shared" si="36"/>
        <v>0</v>
      </c>
      <c r="D421">
        <f t="shared" si="35"/>
        <v>0</v>
      </c>
    </row>
    <row r="422" spans="1:4" x14ac:dyDescent="0.3">
      <c r="A422">
        <f t="shared" si="37"/>
        <v>0</v>
      </c>
      <c r="B422">
        <f t="shared" si="34"/>
        <v>0</v>
      </c>
      <c r="C422">
        <f t="shared" si="36"/>
        <v>0</v>
      </c>
      <c r="D422">
        <f t="shared" si="35"/>
        <v>0</v>
      </c>
    </row>
    <row r="423" spans="1:4" x14ac:dyDescent="0.3">
      <c r="A423">
        <f t="shared" si="37"/>
        <v>0</v>
      </c>
      <c r="B423">
        <f t="shared" si="34"/>
        <v>0</v>
      </c>
      <c r="C423">
        <f t="shared" si="36"/>
        <v>0</v>
      </c>
      <c r="D423">
        <f t="shared" si="35"/>
        <v>0</v>
      </c>
    </row>
    <row r="424" spans="1:4" x14ac:dyDescent="0.3">
      <c r="A424">
        <f t="shared" si="37"/>
        <v>0</v>
      </c>
      <c r="B424">
        <f t="shared" si="34"/>
        <v>0</v>
      </c>
      <c r="C424">
        <f t="shared" si="36"/>
        <v>0</v>
      </c>
      <c r="D424">
        <f t="shared" si="35"/>
        <v>0</v>
      </c>
    </row>
    <row r="425" spans="1:4" x14ac:dyDescent="0.3">
      <c r="A425">
        <f t="shared" si="37"/>
        <v>0</v>
      </c>
      <c r="B425">
        <f t="shared" si="34"/>
        <v>0</v>
      </c>
      <c r="C425">
        <f t="shared" si="36"/>
        <v>0</v>
      </c>
      <c r="D425">
        <f t="shared" si="35"/>
        <v>0</v>
      </c>
    </row>
    <row r="426" spans="1:4" x14ac:dyDescent="0.3">
      <c r="A426">
        <f t="shared" si="37"/>
        <v>0</v>
      </c>
      <c r="B426">
        <f t="shared" si="34"/>
        <v>0</v>
      </c>
      <c r="C426">
        <f t="shared" si="36"/>
        <v>0</v>
      </c>
      <c r="D426">
        <f t="shared" si="35"/>
        <v>0</v>
      </c>
    </row>
    <row r="427" spans="1:4" x14ac:dyDescent="0.3">
      <c r="A427">
        <f t="shared" si="37"/>
        <v>0</v>
      </c>
      <c r="B427">
        <f t="shared" si="34"/>
        <v>0</v>
      </c>
      <c r="C427">
        <f t="shared" si="36"/>
        <v>0</v>
      </c>
      <c r="D427">
        <f t="shared" si="35"/>
        <v>0</v>
      </c>
    </row>
    <row r="428" spans="1:4" x14ac:dyDescent="0.3">
      <c r="A428">
        <f t="shared" si="37"/>
        <v>0</v>
      </c>
      <c r="B428">
        <f t="shared" si="34"/>
        <v>0</v>
      </c>
      <c r="C428">
        <f t="shared" si="36"/>
        <v>0</v>
      </c>
      <c r="D428">
        <f t="shared" si="35"/>
        <v>0</v>
      </c>
    </row>
    <row r="429" spans="1:4" x14ac:dyDescent="0.3">
      <c r="A429">
        <f t="shared" si="37"/>
        <v>0</v>
      </c>
      <c r="B429">
        <f t="shared" si="34"/>
        <v>0</v>
      </c>
      <c r="C429">
        <f t="shared" si="36"/>
        <v>0</v>
      </c>
      <c r="D429">
        <f t="shared" si="35"/>
        <v>0</v>
      </c>
    </row>
    <row r="430" spans="1:4" x14ac:dyDescent="0.3">
      <c r="A430">
        <f t="shared" si="37"/>
        <v>0</v>
      </c>
      <c r="B430">
        <f t="shared" si="34"/>
        <v>0</v>
      </c>
      <c r="C430">
        <f t="shared" si="36"/>
        <v>0</v>
      </c>
      <c r="D430">
        <f t="shared" si="35"/>
        <v>0</v>
      </c>
    </row>
    <row r="431" spans="1:4" x14ac:dyDescent="0.3">
      <c r="A431">
        <f t="shared" si="37"/>
        <v>0</v>
      </c>
      <c r="B431">
        <f t="shared" si="34"/>
        <v>0</v>
      </c>
      <c r="C431">
        <f t="shared" si="36"/>
        <v>0</v>
      </c>
      <c r="D431">
        <f t="shared" si="35"/>
        <v>0</v>
      </c>
    </row>
    <row r="432" spans="1:4" x14ac:dyDescent="0.3">
      <c r="A432">
        <f t="shared" si="37"/>
        <v>0</v>
      </c>
      <c r="B432">
        <f t="shared" si="34"/>
        <v>0</v>
      </c>
      <c r="C432">
        <f t="shared" si="36"/>
        <v>0</v>
      </c>
      <c r="D432">
        <f t="shared" si="35"/>
        <v>0</v>
      </c>
    </row>
    <row r="433" spans="1:4" x14ac:dyDescent="0.3">
      <c r="A433">
        <f t="shared" si="37"/>
        <v>0</v>
      </c>
      <c r="B433">
        <f t="shared" si="34"/>
        <v>0</v>
      </c>
      <c r="C433">
        <f t="shared" si="36"/>
        <v>0</v>
      </c>
      <c r="D433">
        <f t="shared" si="35"/>
        <v>0</v>
      </c>
    </row>
    <row r="434" spans="1:4" x14ac:dyDescent="0.3">
      <c r="A434">
        <f t="shared" si="37"/>
        <v>0</v>
      </c>
      <c r="B434">
        <f t="shared" si="34"/>
        <v>0</v>
      </c>
      <c r="C434">
        <f t="shared" si="36"/>
        <v>0</v>
      </c>
      <c r="D434">
        <f t="shared" si="35"/>
        <v>0</v>
      </c>
    </row>
    <row r="435" spans="1:4" x14ac:dyDescent="0.3">
      <c r="A435">
        <f t="shared" si="37"/>
        <v>0</v>
      </c>
      <c r="B435">
        <f t="shared" si="34"/>
        <v>0</v>
      </c>
      <c r="C435">
        <f t="shared" si="36"/>
        <v>0</v>
      </c>
      <c r="D435">
        <f t="shared" si="35"/>
        <v>0</v>
      </c>
    </row>
    <row r="436" spans="1:4" x14ac:dyDescent="0.3">
      <c r="A436">
        <f t="shared" si="37"/>
        <v>0</v>
      </c>
      <c r="B436">
        <f t="shared" si="34"/>
        <v>0</v>
      </c>
      <c r="C436">
        <f t="shared" si="36"/>
        <v>0</v>
      </c>
      <c r="D436">
        <f t="shared" si="35"/>
        <v>0</v>
      </c>
    </row>
    <row r="437" spans="1:4" x14ac:dyDescent="0.3">
      <c r="A437">
        <f t="shared" si="37"/>
        <v>0</v>
      </c>
      <c r="B437">
        <f t="shared" si="34"/>
        <v>0</v>
      </c>
      <c r="C437">
        <f t="shared" si="36"/>
        <v>0</v>
      </c>
      <c r="D437">
        <f t="shared" si="35"/>
        <v>0</v>
      </c>
    </row>
    <row r="438" spans="1:4" x14ac:dyDescent="0.3">
      <c r="A438">
        <f t="shared" si="37"/>
        <v>0</v>
      </c>
      <c r="B438">
        <f t="shared" si="34"/>
        <v>0</v>
      </c>
      <c r="C438">
        <f t="shared" si="36"/>
        <v>0</v>
      </c>
      <c r="D438">
        <f t="shared" si="35"/>
        <v>0</v>
      </c>
    </row>
    <row r="439" spans="1:4" x14ac:dyDescent="0.3">
      <c r="A439">
        <f t="shared" si="37"/>
        <v>0</v>
      </c>
      <c r="B439">
        <f t="shared" si="34"/>
        <v>0</v>
      </c>
      <c r="C439">
        <f t="shared" si="36"/>
        <v>0</v>
      </c>
      <c r="D439">
        <f t="shared" si="35"/>
        <v>0</v>
      </c>
    </row>
    <row r="440" spans="1:4" x14ac:dyDescent="0.3">
      <c r="A440">
        <f t="shared" si="37"/>
        <v>0</v>
      </c>
      <c r="B440">
        <f t="shared" si="34"/>
        <v>0</v>
      </c>
      <c r="C440">
        <f t="shared" si="36"/>
        <v>0</v>
      </c>
      <c r="D440">
        <f t="shared" si="35"/>
        <v>0</v>
      </c>
    </row>
    <row r="441" spans="1:4" x14ac:dyDescent="0.3">
      <c r="A441">
        <f t="shared" si="37"/>
        <v>0</v>
      </c>
      <c r="B441">
        <f t="shared" si="34"/>
        <v>0</v>
      </c>
      <c r="C441">
        <f t="shared" si="36"/>
        <v>0</v>
      </c>
      <c r="D441">
        <f t="shared" si="35"/>
        <v>0</v>
      </c>
    </row>
    <row r="442" spans="1:4" x14ac:dyDescent="0.3">
      <c r="A442">
        <f t="shared" si="37"/>
        <v>0</v>
      </c>
      <c r="B442">
        <f t="shared" si="34"/>
        <v>0</v>
      </c>
      <c r="C442">
        <f t="shared" si="36"/>
        <v>0</v>
      </c>
      <c r="D442">
        <f t="shared" si="35"/>
        <v>0</v>
      </c>
    </row>
    <row r="443" spans="1:4" x14ac:dyDescent="0.3">
      <c r="A443">
        <f t="shared" si="37"/>
        <v>0</v>
      </c>
      <c r="B443">
        <f t="shared" si="34"/>
        <v>0</v>
      </c>
      <c r="C443">
        <f t="shared" si="36"/>
        <v>0</v>
      </c>
      <c r="D443">
        <f t="shared" si="35"/>
        <v>0</v>
      </c>
    </row>
    <row r="444" spans="1:4" x14ac:dyDescent="0.3">
      <c r="A444">
        <f t="shared" si="37"/>
        <v>0</v>
      </c>
      <c r="B444">
        <f t="shared" si="34"/>
        <v>0</v>
      </c>
      <c r="C444">
        <f t="shared" si="36"/>
        <v>0</v>
      </c>
      <c r="D444">
        <f t="shared" si="35"/>
        <v>0</v>
      </c>
    </row>
    <row r="445" spans="1:4" x14ac:dyDescent="0.3">
      <c r="A445">
        <f t="shared" si="37"/>
        <v>0</v>
      </c>
      <c r="B445">
        <f t="shared" si="34"/>
        <v>0</v>
      </c>
      <c r="C445">
        <f t="shared" si="36"/>
        <v>0</v>
      </c>
      <c r="D445">
        <f t="shared" si="35"/>
        <v>0</v>
      </c>
    </row>
    <row r="446" spans="1:4" x14ac:dyDescent="0.3">
      <c r="A446">
        <f t="shared" si="37"/>
        <v>0</v>
      </c>
      <c r="B446">
        <f t="shared" si="34"/>
        <v>0</v>
      </c>
      <c r="C446">
        <f t="shared" si="36"/>
        <v>0</v>
      </c>
      <c r="D446">
        <f t="shared" si="35"/>
        <v>0</v>
      </c>
    </row>
    <row r="447" spans="1:4" x14ac:dyDescent="0.3">
      <c r="A447">
        <f t="shared" si="37"/>
        <v>0</v>
      </c>
      <c r="B447">
        <f t="shared" si="34"/>
        <v>0</v>
      </c>
      <c r="C447">
        <f t="shared" si="36"/>
        <v>0</v>
      </c>
      <c r="D447">
        <f t="shared" si="35"/>
        <v>0</v>
      </c>
    </row>
    <row r="448" spans="1:4" x14ac:dyDescent="0.3">
      <c r="A448">
        <f t="shared" si="37"/>
        <v>0</v>
      </c>
      <c r="B448">
        <f t="shared" si="34"/>
        <v>0</v>
      </c>
      <c r="C448">
        <f t="shared" si="36"/>
        <v>0</v>
      </c>
      <c r="D448">
        <f t="shared" si="35"/>
        <v>0</v>
      </c>
    </row>
    <row r="449" spans="1:4" x14ac:dyDescent="0.3">
      <c r="A449">
        <f t="shared" si="37"/>
        <v>0</v>
      </c>
      <c r="B449">
        <f t="shared" si="34"/>
        <v>0</v>
      </c>
      <c r="C449">
        <f t="shared" si="36"/>
        <v>0</v>
      </c>
      <c r="D449">
        <f t="shared" si="35"/>
        <v>0</v>
      </c>
    </row>
    <row r="450" spans="1:4" x14ac:dyDescent="0.3">
      <c r="A450">
        <f t="shared" si="37"/>
        <v>0</v>
      </c>
      <c r="B450">
        <f t="shared" si="34"/>
        <v>0</v>
      </c>
      <c r="C450">
        <f t="shared" ref="C450:C481" si="38">((0*(1/3.6))*(3.6))*(1/3.6)</f>
        <v>0</v>
      </c>
      <c r="D450">
        <f t="shared" si="35"/>
        <v>0</v>
      </c>
    </row>
    <row r="451" spans="1:4" x14ac:dyDescent="0.3">
      <c r="A451">
        <f t="shared" ref="A451:A475" si="39">((0*(1/3.6))*(3.6))*(1/3.6)</f>
        <v>0</v>
      </c>
      <c r="B451">
        <f t="shared" si="34"/>
        <v>0</v>
      </c>
      <c r="C451">
        <f t="shared" si="38"/>
        <v>0</v>
      </c>
      <c r="D451">
        <f t="shared" si="35"/>
        <v>0</v>
      </c>
    </row>
    <row r="452" spans="1:4" x14ac:dyDescent="0.3">
      <c r="A452">
        <f t="shared" si="39"/>
        <v>0</v>
      </c>
      <c r="B452">
        <f t="shared" si="34"/>
        <v>0</v>
      </c>
      <c r="C452">
        <f t="shared" si="38"/>
        <v>0</v>
      </c>
      <c r="D452">
        <f t="shared" si="35"/>
        <v>0</v>
      </c>
    </row>
    <row r="453" spans="1:4" x14ac:dyDescent="0.3">
      <c r="A453">
        <f t="shared" si="39"/>
        <v>0</v>
      </c>
      <c r="B453">
        <f t="shared" si="34"/>
        <v>0</v>
      </c>
      <c r="C453">
        <f t="shared" si="38"/>
        <v>0</v>
      </c>
      <c r="D453">
        <f t="shared" si="35"/>
        <v>0</v>
      </c>
    </row>
    <row r="454" spans="1:4" x14ac:dyDescent="0.3">
      <c r="A454">
        <f t="shared" si="39"/>
        <v>0</v>
      </c>
      <c r="B454">
        <f t="shared" ref="B454:B517" si="40">((0*(1/3.6))*(3.6))*(1/3.6)</f>
        <v>0</v>
      </c>
      <c r="C454">
        <f t="shared" si="38"/>
        <v>0</v>
      </c>
      <c r="D454">
        <f t="shared" si="35"/>
        <v>0</v>
      </c>
    </row>
    <row r="455" spans="1:4" x14ac:dyDescent="0.3">
      <c r="A455">
        <f t="shared" si="39"/>
        <v>0</v>
      </c>
      <c r="B455">
        <f t="shared" si="40"/>
        <v>0</v>
      </c>
      <c r="C455">
        <f t="shared" si="38"/>
        <v>0</v>
      </c>
      <c r="D455">
        <f t="shared" si="35"/>
        <v>0</v>
      </c>
    </row>
    <row r="456" spans="1:4" x14ac:dyDescent="0.3">
      <c r="A456">
        <f t="shared" si="39"/>
        <v>0</v>
      </c>
      <c r="B456">
        <f t="shared" si="40"/>
        <v>0</v>
      </c>
      <c r="C456">
        <f t="shared" si="38"/>
        <v>0</v>
      </c>
      <c r="D456">
        <f t="shared" si="35"/>
        <v>0</v>
      </c>
    </row>
    <row r="457" spans="1:4" x14ac:dyDescent="0.3">
      <c r="A457">
        <f t="shared" si="39"/>
        <v>0</v>
      </c>
      <c r="B457">
        <f t="shared" si="40"/>
        <v>0</v>
      </c>
      <c r="C457">
        <f t="shared" si="38"/>
        <v>0</v>
      </c>
      <c r="D457">
        <f t="shared" si="35"/>
        <v>0</v>
      </c>
    </row>
    <row r="458" spans="1:4" x14ac:dyDescent="0.3">
      <c r="A458">
        <f t="shared" si="39"/>
        <v>0</v>
      </c>
      <c r="B458">
        <f t="shared" si="40"/>
        <v>0</v>
      </c>
      <c r="C458">
        <f t="shared" si="38"/>
        <v>0</v>
      </c>
      <c r="D458">
        <f t="shared" si="35"/>
        <v>0</v>
      </c>
    </row>
    <row r="459" spans="1:4" x14ac:dyDescent="0.3">
      <c r="A459">
        <f t="shared" si="39"/>
        <v>0</v>
      </c>
      <c r="B459">
        <f t="shared" si="40"/>
        <v>0</v>
      </c>
      <c r="C459">
        <f t="shared" si="38"/>
        <v>0</v>
      </c>
      <c r="D459">
        <f t="shared" si="35"/>
        <v>0</v>
      </c>
    </row>
    <row r="460" spans="1:4" x14ac:dyDescent="0.3">
      <c r="A460">
        <f t="shared" si="39"/>
        <v>0</v>
      </c>
      <c r="B460">
        <f t="shared" si="40"/>
        <v>0</v>
      </c>
      <c r="C460">
        <f t="shared" si="38"/>
        <v>0</v>
      </c>
      <c r="D460">
        <f t="shared" si="35"/>
        <v>0</v>
      </c>
    </row>
    <row r="461" spans="1:4" x14ac:dyDescent="0.3">
      <c r="A461">
        <f t="shared" si="39"/>
        <v>0</v>
      </c>
      <c r="B461">
        <f t="shared" si="40"/>
        <v>0</v>
      </c>
      <c r="C461">
        <f t="shared" si="38"/>
        <v>0</v>
      </c>
      <c r="D461">
        <f t="shared" si="35"/>
        <v>0</v>
      </c>
    </row>
    <row r="462" spans="1:4" x14ac:dyDescent="0.3">
      <c r="A462">
        <f t="shared" si="39"/>
        <v>0</v>
      </c>
      <c r="B462">
        <f t="shared" si="40"/>
        <v>0</v>
      </c>
      <c r="C462">
        <f t="shared" si="38"/>
        <v>0</v>
      </c>
      <c r="D462">
        <f t="shared" si="35"/>
        <v>0</v>
      </c>
    </row>
    <row r="463" spans="1:4" x14ac:dyDescent="0.3">
      <c r="A463">
        <f t="shared" si="39"/>
        <v>0</v>
      </c>
      <c r="B463">
        <f t="shared" si="40"/>
        <v>0</v>
      </c>
      <c r="C463">
        <f t="shared" si="38"/>
        <v>0</v>
      </c>
      <c r="D463">
        <f t="shared" si="35"/>
        <v>0</v>
      </c>
    </row>
    <row r="464" spans="1:4" x14ac:dyDescent="0.3">
      <c r="A464">
        <f t="shared" si="39"/>
        <v>0</v>
      </c>
      <c r="B464">
        <f t="shared" si="40"/>
        <v>0</v>
      </c>
      <c r="C464">
        <f t="shared" si="38"/>
        <v>0</v>
      </c>
      <c r="D464">
        <f t="shared" si="35"/>
        <v>0</v>
      </c>
    </row>
    <row r="465" spans="1:4" x14ac:dyDescent="0.3">
      <c r="A465">
        <f t="shared" si="39"/>
        <v>0</v>
      </c>
      <c r="B465">
        <f t="shared" si="40"/>
        <v>0</v>
      </c>
      <c r="C465">
        <f t="shared" si="38"/>
        <v>0</v>
      </c>
      <c r="D465">
        <f t="shared" si="35"/>
        <v>0</v>
      </c>
    </row>
    <row r="466" spans="1:4" x14ac:dyDescent="0.3">
      <c r="A466">
        <f t="shared" si="39"/>
        <v>0</v>
      </c>
      <c r="B466">
        <f t="shared" si="40"/>
        <v>0</v>
      </c>
      <c r="C466">
        <f t="shared" si="38"/>
        <v>0</v>
      </c>
      <c r="D466">
        <f t="shared" si="35"/>
        <v>0</v>
      </c>
    </row>
    <row r="467" spans="1:4" x14ac:dyDescent="0.3">
      <c r="A467">
        <f t="shared" si="39"/>
        <v>0</v>
      </c>
      <c r="B467">
        <f t="shared" si="40"/>
        <v>0</v>
      </c>
      <c r="C467">
        <f t="shared" si="38"/>
        <v>0</v>
      </c>
      <c r="D467">
        <f t="shared" ref="D467:D530" si="41">((0*(1/3.6))*(3.6))*(1/3.6)</f>
        <v>0</v>
      </c>
    </row>
    <row r="468" spans="1:4" x14ac:dyDescent="0.3">
      <c r="A468">
        <f t="shared" si="39"/>
        <v>0</v>
      </c>
      <c r="B468">
        <f t="shared" si="40"/>
        <v>0</v>
      </c>
      <c r="C468">
        <f t="shared" si="38"/>
        <v>0</v>
      </c>
      <c r="D468">
        <f t="shared" si="41"/>
        <v>0</v>
      </c>
    </row>
    <row r="469" spans="1:4" x14ac:dyDescent="0.3">
      <c r="A469">
        <f t="shared" si="39"/>
        <v>0</v>
      </c>
      <c r="B469">
        <f t="shared" si="40"/>
        <v>0</v>
      </c>
      <c r="C469">
        <f t="shared" si="38"/>
        <v>0</v>
      </c>
      <c r="D469">
        <f t="shared" si="41"/>
        <v>0</v>
      </c>
    </row>
    <row r="470" spans="1:4" x14ac:dyDescent="0.3">
      <c r="A470">
        <f t="shared" si="39"/>
        <v>0</v>
      </c>
      <c r="B470">
        <f t="shared" si="40"/>
        <v>0</v>
      </c>
      <c r="C470">
        <f t="shared" si="38"/>
        <v>0</v>
      </c>
      <c r="D470">
        <f t="shared" si="41"/>
        <v>0</v>
      </c>
    </row>
    <row r="471" spans="1:4" x14ac:dyDescent="0.3">
      <c r="A471">
        <f t="shared" si="39"/>
        <v>0</v>
      </c>
      <c r="B471">
        <f t="shared" si="40"/>
        <v>0</v>
      </c>
      <c r="C471">
        <f t="shared" si="38"/>
        <v>0</v>
      </c>
      <c r="D471">
        <f t="shared" si="41"/>
        <v>0</v>
      </c>
    </row>
    <row r="472" spans="1:4" x14ac:dyDescent="0.3">
      <c r="A472">
        <f t="shared" si="39"/>
        <v>0</v>
      </c>
      <c r="B472">
        <f t="shared" si="40"/>
        <v>0</v>
      </c>
      <c r="C472">
        <f t="shared" si="38"/>
        <v>0</v>
      </c>
      <c r="D472">
        <f t="shared" si="41"/>
        <v>0</v>
      </c>
    </row>
    <row r="473" spans="1:4" x14ac:dyDescent="0.3">
      <c r="A473">
        <f t="shared" si="39"/>
        <v>0</v>
      </c>
      <c r="B473">
        <f t="shared" si="40"/>
        <v>0</v>
      </c>
      <c r="C473">
        <f t="shared" si="38"/>
        <v>0</v>
      </c>
      <c r="D473">
        <f t="shared" si="41"/>
        <v>0</v>
      </c>
    </row>
    <row r="474" spans="1:4" x14ac:dyDescent="0.3">
      <c r="A474">
        <f t="shared" si="39"/>
        <v>0</v>
      </c>
      <c r="B474">
        <f t="shared" si="40"/>
        <v>0</v>
      </c>
      <c r="C474">
        <f t="shared" si="38"/>
        <v>0</v>
      </c>
      <c r="D474">
        <f t="shared" si="41"/>
        <v>0</v>
      </c>
    </row>
    <row r="475" spans="1:4" x14ac:dyDescent="0.3">
      <c r="A475">
        <f t="shared" si="39"/>
        <v>0</v>
      </c>
      <c r="B475">
        <f t="shared" si="40"/>
        <v>0</v>
      </c>
      <c r="C475">
        <f t="shared" si="38"/>
        <v>0</v>
      </c>
      <c r="D475">
        <f t="shared" si="41"/>
        <v>0</v>
      </c>
    </row>
    <row r="476" spans="1:4" x14ac:dyDescent="0.3">
      <c r="A476">
        <f>((100*(1/3.6))*(3.6))*(1/3.6)</f>
        <v>27.777777777777779</v>
      </c>
      <c r="B476">
        <f t="shared" si="40"/>
        <v>0</v>
      </c>
      <c r="C476">
        <f t="shared" si="38"/>
        <v>0</v>
      </c>
      <c r="D476">
        <f t="shared" si="41"/>
        <v>0</v>
      </c>
    </row>
    <row r="477" spans="1:4" x14ac:dyDescent="0.3">
      <c r="A477">
        <f t="shared" ref="A477:A508" si="42">((0*(1/3.6))*(3.6))*(1/3.6)</f>
        <v>0</v>
      </c>
      <c r="B477">
        <f t="shared" si="40"/>
        <v>0</v>
      </c>
      <c r="C477">
        <f t="shared" si="38"/>
        <v>0</v>
      </c>
      <c r="D477">
        <f t="shared" si="41"/>
        <v>0</v>
      </c>
    </row>
    <row r="478" spans="1:4" x14ac:dyDescent="0.3">
      <c r="A478">
        <f t="shared" si="42"/>
        <v>0</v>
      </c>
      <c r="B478">
        <f t="shared" si="40"/>
        <v>0</v>
      </c>
      <c r="C478">
        <f t="shared" si="38"/>
        <v>0</v>
      </c>
      <c r="D478">
        <f t="shared" si="41"/>
        <v>0</v>
      </c>
    </row>
    <row r="479" spans="1:4" x14ac:dyDescent="0.3">
      <c r="A479">
        <f t="shared" si="42"/>
        <v>0</v>
      </c>
      <c r="B479">
        <f t="shared" si="40"/>
        <v>0</v>
      </c>
      <c r="C479">
        <f t="shared" si="38"/>
        <v>0</v>
      </c>
      <c r="D479">
        <f t="shared" si="41"/>
        <v>0</v>
      </c>
    </row>
    <row r="480" spans="1:4" x14ac:dyDescent="0.3">
      <c r="A480">
        <f t="shared" si="42"/>
        <v>0</v>
      </c>
      <c r="B480">
        <f t="shared" si="40"/>
        <v>0</v>
      </c>
      <c r="C480">
        <f t="shared" si="38"/>
        <v>0</v>
      </c>
      <c r="D480">
        <f t="shared" si="41"/>
        <v>0</v>
      </c>
    </row>
    <row r="481" spans="1:4" x14ac:dyDescent="0.3">
      <c r="A481">
        <f t="shared" si="42"/>
        <v>0</v>
      </c>
      <c r="B481">
        <f t="shared" si="40"/>
        <v>0</v>
      </c>
      <c r="C481">
        <f t="shared" si="38"/>
        <v>0</v>
      </c>
      <c r="D481">
        <f t="shared" si="41"/>
        <v>0</v>
      </c>
    </row>
    <row r="482" spans="1:4" x14ac:dyDescent="0.3">
      <c r="A482">
        <f t="shared" si="42"/>
        <v>0</v>
      </c>
      <c r="B482">
        <f t="shared" si="40"/>
        <v>0</v>
      </c>
      <c r="C482">
        <f t="shared" ref="C482:C513" si="43">((0*(1/3.6))*(3.6))*(1/3.6)</f>
        <v>0</v>
      </c>
      <c r="D482">
        <f t="shared" si="41"/>
        <v>0</v>
      </c>
    </row>
    <row r="483" spans="1:4" x14ac:dyDescent="0.3">
      <c r="A483">
        <f t="shared" si="42"/>
        <v>0</v>
      </c>
      <c r="B483">
        <f t="shared" si="40"/>
        <v>0</v>
      </c>
      <c r="C483">
        <f t="shared" si="43"/>
        <v>0</v>
      </c>
      <c r="D483">
        <f t="shared" si="41"/>
        <v>0</v>
      </c>
    </row>
    <row r="484" spans="1:4" x14ac:dyDescent="0.3">
      <c r="A484">
        <f t="shared" si="42"/>
        <v>0</v>
      </c>
      <c r="B484">
        <f t="shared" si="40"/>
        <v>0</v>
      </c>
      <c r="C484">
        <f t="shared" si="43"/>
        <v>0</v>
      </c>
      <c r="D484">
        <f t="shared" si="41"/>
        <v>0</v>
      </c>
    </row>
    <row r="485" spans="1:4" x14ac:dyDescent="0.3">
      <c r="A485">
        <f t="shared" si="42"/>
        <v>0</v>
      </c>
      <c r="B485">
        <f t="shared" si="40"/>
        <v>0</v>
      </c>
      <c r="C485">
        <f t="shared" si="43"/>
        <v>0</v>
      </c>
      <c r="D485">
        <f t="shared" si="41"/>
        <v>0</v>
      </c>
    </row>
    <row r="486" spans="1:4" x14ac:dyDescent="0.3">
      <c r="A486">
        <f t="shared" si="42"/>
        <v>0</v>
      </c>
      <c r="B486">
        <f t="shared" si="40"/>
        <v>0</v>
      </c>
      <c r="C486">
        <f t="shared" si="43"/>
        <v>0</v>
      </c>
      <c r="D486">
        <f t="shared" si="41"/>
        <v>0</v>
      </c>
    </row>
    <row r="487" spans="1:4" x14ac:dyDescent="0.3">
      <c r="A487">
        <f t="shared" si="42"/>
        <v>0</v>
      </c>
      <c r="B487">
        <f t="shared" si="40"/>
        <v>0</v>
      </c>
      <c r="C487">
        <f t="shared" si="43"/>
        <v>0</v>
      </c>
      <c r="D487">
        <f t="shared" si="41"/>
        <v>0</v>
      </c>
    </row>
    <row r="488" spans="1:4" x14ac:dyDescent="0.3">
      <c r="A488">
        <f t="shared" si="42"/>
        <v>0</v>
      </c>
      <c r="B488">
        <f t="shared" si="40"/>
        <v>0</v>
      </c>
      <c r="C488">
        <f t="shared" si="43"/>
        <v>0</v>
      </c>
      <c r="D488">
        <f t="shared" si="41"/>
        <v>0</v>
      </c>
    </row>
    <row r="489" spans="1:4" x14ac:dyDescent="0.3">
      <c r="A489">
        <f t="shared" si="42"/>
        <v>0</v>
      </c>
      <c r="B489">
        <f t="shared" si="40"/>
        <v>0</v>
      </c>
      <c r="C489">
        <f t="shared" si="43"/>
        <v>0</v>
      </c>
      <c r="D489">
        <f t="shared" si="41"/>
        <v>0</v>
      </c>
    </row>
    <row r="490" spans="1:4" x14ac:dyDescent="0.3">
      <c r="A490">
        <f t="shared" si="42"/>
        <v>0</v>
      </c>
      <c r="B490">
        <f t="shared" si="40"/>
        <v>0</v>
      </c>
      <c r="C490">
        <f t="shared" si="43"/>
        <v>0</v>
      </c>
      <c r="D490">
        <f t="shared" si="41"/>
        <v>0</v>
      </c>
    </row>
    <row r="491" spans="1:4" x14ac:dyDescent="0.3">
      <c r="A491">
        <f t="shared" si="42"/>
        <v>0</v>
      </c>
      <c r="B491">
        <f t="shared" si="40"/>
        <v>0</v>
      </c>
      <c r="C491">
        <f t="shared" si="43"/>
        <v>0</v>
      </c>
      <c r="D491">
        <f t="shared" si="41"/>
        <v>0</v>
      </c>
    </row>
    <row r="492" spans="1:4" x14ac:dyDescent="0.3">
      <c r="A492">
        <f t="shared" si="42"/>
        <v>0</v>
      </c>
      <c r="B492">
        <f t="shared" si="40"/>
        <v>0</v>
      </c>
      <c r="C492">
        <f t="shared" si="43"/>
        <v>0</v>
      </c>
      <c r="D492">
        <f t="shared" si="41"/>
        <v>0</v>
      </c>
    </row>
    <row r="493" spans="1:4" x14ac:dyDescent="0.3">
      <c r="A493">
        <f t="shared" si="42"/>
        <v>0</v>
      </c>
      <c r="B493">
        <f t="shared" si="40"/>
        <v>0</v>
      </c>
      <c r="C493">
        <f t="shared" si="43"/>
        <v>0</v>
      </c>
      <c r="D493">
        <f t="shared" si="41"/>
        <v>0</v>
      </c>
    </row>
    <row r="494" spans="1:4" x14ac:dyDescent="0.3">
      <c r="A494">
        <f t="shared" si="42"/>
        <v>0</v>
      </c>
      <c r="B494">
        <f t="shared" si="40"/>
        <v>0</v>
      </c>
      <c r="C494">
        <f t="shared" si="43"/>
        <v>0</v>
      </c>
      <c r="D494">
        <f t="shared" si="41"/>
        <v>0</v>
      </c>
    </row>
    <row r="495" spans="1:4" x14ac:dyDescent="0.3">
      <c r="A495">
        <f t="shared" si="42"/>
        <v>0</v>
      </c>
      <c r="B495">
        <f t="shared" si="40"/>
        <v>0</v>
      </c>
      <c r="C495">
        <f t="shared" si="43"/>
        <v>0</v>
      </c>
      <c r="D495">
        <f t="shared" si="41"/>
        <v>0</v>
      </c>
    </row>
    <row r="496" spans="1:4" x14ac:dyDescent="0.3">
      <c r="A496">
        <f t="shared" si="42"/>
        <v>0</v>
      </c>
      <c r="B496">
        <f t="shared" si="40"/>
        <v>0</v>
      </c>
      <c r="C496">
        <f t="shared" si="43"/>
        <v>0</v>
      </c>
      <c r="D496">
        <f t="shared" si="41"/>
        <v>0</v>
      </c>
    </row>
    <row r="497" spans="1:4" x14ac:dyDescent="0.3">
      <c r="A497">
        <f t="shared" si="42"/>
        <v>0</v>
      </c>
      <c r="B497">
        <f t="shared" si="40"/>
        <v>0</v>
      </c>
      <c r="C497">
        <f t="shared" si="43"/>
        <v>0</v>
      </c>
      <c r="D497">
        <f t="shared" si="41"/>
        <v>0</v>
      </c>
    </row>
    <row r="498" spans="1:4" x14ac:dyDescent="0.3">
      <c r="A498">
        <f t="shared" si="42"/>
        <v>0</v>
      </c>
      <c r="B498">
        <f t="shared" si="40"/>
        <v>0</v>
      </c>
      <c r="C498">
        <f t="shared" si="43"/>
        <v>0</v>
      </c>
      <c r="D498">
        <f t="shared" si="41"/>
        <v>0</v>
      </c>
    </row>
    <row r="499" spans="1:4" x14ac:dyDescent="0.3">
      <c r="A499">
        <f t="shared" si="42"/>
        <v>0</v>
      </c>
      <c r="B499">
        <f t="shared" si="40"/>
        <v>0</v>
      </c>
      <c r="C499">
        <f t="shared" si="43"/>
        <v>0</v>
      </c>
      <c r="D499">
        <f t="shared" si="41"/>
        <v>0</v>
      </c>
    </row>
    <row r="500" spans="1:4" x14ac:dyDescent="0.3">
      <c r="A500">
        <f t="shared" si="42"/>
        <v>0</v>
      </c>
      <c r="B500">
        <f t="shared" si="40"/>
        <v>0</v>
      </c>
      <c r="C500">
        <f t="shared" si="43"/>
        <v>0</v>
      </c>
      <c r="D500">
        <f t="shared" si="41"/>
        <v>0</v>
      </c>
    </row>
    <row r="501" spans="1:4" x14ac:dyDescent="0.3">
      <c r="A501">
        <f t="shared" si="42"/>
        <v>0</v>
      </c>
      <c r="B501">
        <f t="shared" si="40"/>
        <v>0</v>
      </c>
      <c r="C501">
        <f t="shared" si="43"/>
        <v>0</v>
      </c>
      <c r="D501">
        <f t="shared" si="41"/>
        <v>0</v>
      </c>
    </row>
    <row r="502" spans="1:4" x14ac:dyDescent="0.3">
      <c r="A502">
        <f t="shared" si="42"/>
        <v>0</v>
      </c>
      <c r="B502">
        <f t="shared" si="40"/>
        <v>0</v>
      </c>
      <c r="C502">
        <f t="shared" si="43"/>
        <v>0</v>
      </c>
      <c r="D502">
        <f t="shared" si="41"/>
        <v>0</v>
      </c>
    </row>
    <row r="503" spans="1:4" x14ac:dyDescent="0.3">
      <c r="A503">
        <f t="shared" si="42"/>
        <v>0</v>
      </c>
      <c r="B503">
        <f t="shared" si="40"/>
        <v>0</v>
      </c>
      <c r="C503">
        <f t="shared" si="43"/>
        <v>0</v>
      </c>
      <c r="D503">
        <f t="shared" si="41"/>
        <v>0</v>
      </c>
    </row>
    <row r="504" spans="1:4" x14ac:dyDescent="0.3">
      <c r="A504">
        <f t="shared" si="42"/>
        <v>0</v>
      </c>
      <c r="B504">
        <f t="shared" si="40"/>
        <v>0</v>
      </c>
      <c r="C504">
        <f t="shared" si="43"/>
        <v>0</v>
      </c>
      <c r="D504">
        <f t="shared" si="41"/>
        <v>0</v>
      </c>
    </row>
    <row r="505" spans="1:4" x14ac:dyDescent="0.3">
      <c r="A505">
        <f t="shared" si="42"/>
        <v>0</v>
      </c>
      <c r="B505">
        <f t="shared" si="40"/>
        <v>0</v>
      </c>
      <c r="C505">
        <f t="shared" si="43"/>
        <v>0</v>
      </c>
      <c r="D505">
        <f t="shared" si="41"/>
        <v>0</v>
      </c>
    </row>
    <row r="506" spans="1:4" x14ac:dyDescent="0.3">
      <c r="A506">
        <f t="shared" si="42"/>
        <v>0</v>
      </c>
      <c r="B506">
        <f t="shared" si="40"/>
        <v>0</v>
      </c>
      <c r="C506">
        <f t="shared" si="43"/>
        <v>0</v>
      </c>
      <c r="D506">
        <f t="shared" si="41"/>
        <v>0</v>
      </c>
    </row>
    <row r="507" spans="1:4" x14ac:dyDescent="0.3">
      <c r="A507">
        <f t="shared" si="42"/>
        <v>0</v>
      </c>
      <c r="B507">
        <f t="shared" si="40"/>
        <v>0</v>
      </c>
      <c r="C507">
        <f t="shared" si="43"/>
        <v>0</v>
      </c>
      <c r="D507">
        <f t="shared" si="41"/>
        <v>0</v>
      </c>
    </row>
    <row r="508" spans="1:4" x14ac:dyDescent="0.3">
      <c r="A508">
        <f t="shared" si="42"/>
        <v>0</v>
      </c>
      <c r="B508">
        <f t="shared" si="40"/>
        <v>0</v>
      </c>
      <c r="C508">
        <f t="shared" si="43"/>
        <v>0</v>
      </c>
      <c r="D508">
        <f t="shared" si="41"/>
        <v>0</v>
      </c>
    </row>
    <row r="509" spans="1:4" x14ac:dyDescent="0.3">
      <c r="A509">
        <f t="shared" ref="A509:A540" si="44">((0*(1/3.6))*(3.6))*(1/3.6)</f>
        <v>0</v>
      </c>
      <c r="B509">
        <f t="shared" si="40"/>
        <v>0</v>
      </c>
      <c r="C509">
        <f t="shared" si="43"/>
        <v>0</v>
      </c>
      <c r="D509">
        <f t="shared" si="41"/>
        <v>0</v>
      </c>
    </row>
    <row r="510" spans="1:4" x14ac:dyDescent="0.3">
      <c r="A510">
        <f t="shared" si="44"/>
        <v>0</v>
      </c>
      <c r="B510">
        <f t="shared" si="40"/>
        <v>0</v>
      </c>
      <c r="C510">
        <f t="shared" si="43"/>
        <v>0</v>
      </c>
      <c r="D510">
        <f t="shared" si="41"/>
        <v>0</v>
      </c>
    </row>
    <row r="511" spans="1:4" x14ac:dyDescent="0.3">
      <c r="A511">
        <f t="shared" si="44"/>
        <v>0</v>
      </c>
      <c r="B511">
        <f t="shared" si="40"/>
        <v>0</v>
      </c>
      <c r="C511">
        <f t="shared" si="43"/>
        <v>0</v>
      </c>
      <c r="D511">
        <f t="shared" si="41"/>
        <v>0</v>
      </c>
    </row>
    <row r="512" spans="1:4" x14ac:dyDescent="0.3">
      <c r="A512">
        <f t="shared" si="44"/>
        <v>0</v>
      </c>
      <c r="B512">
        <f t="shared" si="40"/>
        <v>0</v>
      </c>
      <c r="C512">
        <f t="shared" si="43"/>
        <v>0</v>
      </c>
      <c r="D512">
        <f t="shared" si="41"/>
        <v>0</v>
      </c>
    </row>
    <row r="513" spans="1:4" x14ac:dyDescent="0.3">
      <c r="A513">
        <f t="shared" si="44"/>
        <v>0</v>
      </c>
      <c r="B513">
        <f t="shared" si="40"/>
        <v>0</v>
      </c>
      <c r="C513">
        <f t="shared" si="43"/>
        <v>0</v>
      </c>
      <c r="D513">
        <f t="shared" si="41"/>
        <v>0</v>
      </c>
    </row>
    <row r="514" spans="1:4" x14ac:dyDescent="0.3">
      <c r="A514">
        <f t="shared" si="44"/>
        <v>0</v>
      </c>
      <c r="B514">
        <f t="shared" si="40"/>
        <v>0</v>
      </c>
      <c r="C514">
        <f t="shared" ref="C514:C545" si="45">((0*(1/3.6))*(3.6))*(1/3.6)</f>
        <v>0</v>
      </c>
      <c r="D514">
        <f t="shared" si="41"/>
        <v>0</v>
      </c>
    </row>
    <row r="515" spans="1:4" x14ac:dyDescent="0.3">
      <c r="A515">
        <f t="shared" si="44"/>
        <v>0</v>
      </c>
      <c r="B515">
        <f t="shared" si="40"/>
        <v>0</v>
      </c>
      <c r="C515">
        <f t="shared" si="45"/>
        <v>0</v>
      </c>
      <c r="D515">
        <f t="shared" si="41"/>
        <v>0</v>
      </c>
    </row>
    <row r="516" spans="1:4" x14ac:dyDescent="0.3">
      <c r="A516">
        <f t="shared" si="44"/>
        <v>0</v>
      </c>
      <c r="B516">
        <f t="shared" si="40"/>
        <v>0</v>
      </c>
      <c r="C516">
        <f t="shared" si="45"/>
        <v>0</v>
      </c>
      <c r="D516">
        <f t="shared" si="41"/>
        <v>0</v>
      </c>
    </row>
    <row r="517" spans="1:4" x14ac:dyDescent="0.3">
      <c r="A517">
        <f t="shared" si="44"/>
        <v>0</v>
      </c>
      <c r="B517">
        <f t="shared" si="40"/>
        <v>0</v>
      </c>
      <c r="C517">
        <f t="shared" si="45"/>
        <v>0</v>
      </c>
      <c r="D517">
        <f t="shared" si="41"/>
        <v>0</v>
      </c>
    </row>
    <row r="518" spans="1:4" x14ac:dyDescent="0.3">
      <c r="A518">
        <f t="shared" si="44"/>
        <v>0</v>
      </c>
      <c r="B518">
        <f t="shared" ref="B518:B568" si="46">((0*(1/3.6))*(3.6))*(1/3.6)</f>
        <v>0</v>
      </c>
      <c r="C518">
        <f t="shared" si="45"/>
        <v>0</v>
      </c>
      <c r="D518">
        <f t="shared" si="41"/>
        <v>0</v>
      </c>
    </row>
    <row r="519" spans="1:4" x14ac:dyDescent="0.3">
      <c r="A519">
        <f t="shared" si="44"/>
        <v>0</v>
      </c>
      <c r="B519">
        <f t="shared" si="46"/>
        <v>0</v>
      </c>
      <c r="C519">
        <f t="shared" si="45"/>
        <v>0</v>
      </c>
      <c r="D519">
        <f t="shared" si="41"/>
        <v>0</v>
      </c>
    </row>
    <row r="520" spans="1:4" x14ac:dyDescent="0.3">
      <c r="A520">
        <f t="shared" si="44"/>
        <v>0</v>
      </c>
      <c r="B520">
        <f t="shared" si="46"/>
        <v>0</v>
      </c>
      <c r="C520">
        <f t="shared" si="45"/>
        <v>0</v>
      </c>
      <c r="D520">
        <f t="shared" si="41"/>
        <v>0</v>
      </c>
    </row>
    <row r="521" spans="1:4" x14ac:dyDescent="0.3">
      <c r="A521">
        <f t="shared" si="44"/>
        <v>0</v>
      </c>
      <c r="B521">
        <f t="shared" si="46"/>
        <v>0</v>
      </c>
      <c r="C521">
        <f t="shared" si="45"/>
        <v>0</v>
      </c>
      <c r="D521">
        <f t="shared" si="41"/>
        <v>0</v>
      </c>
    </row>
    <row r="522" spans="1:4" x14ac:dyDescent="0.3">
      <c r="A522">
        <f t="shared" si="44"/>
        <v>0</v>
      </c>
      <c r="B522">
        <f t="shared" si="46"/>
        <v>0</v>
      </c>
      <c r="C522">
        <f t="shared" si="45"/>
        <v>0</v>
      </c>
      <c r="D522">
        <f t="shared" si="41"/>
        <v>0</v>
      </c>
    </row>
    <row r="523" spans="1:4" x14ac:dyDescent="0.3">
      <c r="A523">
        <f t="shared" si="44"/>
        <v>0</v>
      </c>
      <c r="B523">
        <f t="shared" si="46"/>
        <v>0</v>
      </c>
      <c r="C523">
        <f t="shared" si="45"/>
        <v>0</v>
      </c>
      <c r="D523">
        <f t="shared" si="41"/>
        <v>0</v>
      </c>
    </row>
    <row r="524" spans="1:4" x14ac:dyDescent="0.3">
      <c r="A524">
        <f t="shared" si="44"/>
        <v>0</v>
      </c>
      <c r="B524">
        <f t="shared" si="46"/>
        <v>0</v>
      </c>
      <c r="C524">
        <f t="shared" si="45"/>
        <v>0</v>
      </c>
      <c r="D524">
        <f t="shared" si="41"/>
        <v>0</v>
      </c>
    </row>
    <row r="525" spans="1:4" x14ac:dyDescent="0.3">
      <c r="A525">
        <f t="shared" si="44"/>
        <v>0</v>
      </c>
      <c r="B525">
        <f t="shared" si="46"/>
        <v>0</v>
      </c>
      <c r="C525">
        <f t="shared" si="45"/>
        <v>0</v>
      </c>
      <c r="D525">
        <f t="shared" si="41"/>
        <v>0</v>
      </c>
    </row>
    <row r="526" spans="1:4" x14ac:dyDescent="0.3">
      <c r="A526">
        <f t="shared" si="44"/>
        <v>0</v>
      </c>
      <c r="B526">
        <f t="shared" si="46"/>
        <v>0</v>
      </c>
      <c r="C526">
        <f t="shared" si="45"/>
        <v>0</v>
      </c>
      <c r="D526">
        <f t="shared" si="41"/>
        <v>0</v>
      </c>
    </row>
    <row r="527" spans="1:4" x14ac:dyDescent="0.3">
      <c r="A527">
        <f t="shared" si="44"/>
        <v>0</v>
      </c>
      <c r="B527">
        <f t="shared" si="46"/>
        <v>0</v>
      </c>
      <c r="C527">
        <f t="shared" si="45"/>
        <v>0</v>
      </c>
      <c r="D527">
        <f t="shared" si="41"/>
        <v>0</v>
      </c>
    </row>
    <row r="528" spans="1:4" x14ac:dyDescent="0.3">
      <c r="A528">
        <f t="shared" si="44"/>
        <v>0</v>
      </c>
      <c r="B528">
        <f t="shared" si="46"/>
        <v>0</v>
      </c>
      <c r="C528">
        <f t="shared" si="45"/>
        <v>0</v>
      </c>
      <c r="D528">
        <f t="shared" si="41"/>
        <v>0</v>
      </c>
    </row>
    <row r="529" spans="1:4" x14ac:dyDescent="0.3">
      <c r="A529">
        <f t="shared" si="44"/>
        <v>0</v>
      </c>
      <c r="B529">
        <f t="shared" si="46"/>
        <v>0</v>
      </c>
      <c r="C529">
        <f t="shared" si="45"/>
        <v>0</v>
      </c>
      <c r="D529">
        <f t="shared" si="41"/>
        <v>0</v>
      </c>
    </row>
    <row r="530" spans="1:4" x14ac:dyDescent="0.3">
      <c r="A530">
        <f t="shared" si="44"/>
        <v>0</v>
      </c>
      <c r="B530">
        <f t="shared" si="46"/>
        <v>0</v>
      </c>
      <c r="C530">
        <f t="shared" si="45"/>
        <v>0</v>
      </c>
      <c r="D530">
        <f t="shared" si="41"/>
        <v>0</v>
      </c>
    </row>
    <row r="531" spans="1:4" x14ac:dyDescent="0.3">
      <c r="A531">
        <f t="shared" si="44"/>
        <v>0</v>
      </c>
      <c r="B531">
        <f t="shared" si="46"/>
        <v>0</v>
      </c>
      <c r="C531">
        <f t="shared" si="45"/>
        <v>0</v>
      </c>
      <c r="D531">
        <f t="shared" ref="D531:D594" si="47">((0*(1/3.6))*(3.6))*(1/3.6)</f>
        <v>0</v>
      </c>
    </row>
    <row r="532" spans="1:4" x14ac:dyDescent="0.3">
      <c r="A532">
        <f t="shared" si="44"/>
        <v>0</v>
      </c>
      <c r="B532">
        <f t="shared" si="46"/>
        <v>0</v>
      </c>
      <c r="C532">
        <f t="shared" si="45"/>
        <v>0</v>
      </c>
      <c r="D532">
        <f t="shared" si="47"/>
        <v>0</v>
      </c>
    </row>
    <row r="533" spans="1:4" x14ac:dyDescent="0.3">
      <c r="A533">
        <f t="shared" si="44"/>
        <v>0</v>
      </c>
      <c r="B533">
        <f t="shared" si="46"/>
        <v>0</v>
      </c>
      <c r="C533">
        <f t="shared" si="45"/>
        <v>0</v>
      </c>
      <c r="D533">
        <f t="shared" si="47"/>
        <v>0</v>
      </c>
    </row>
    <row r="534" spans="1:4" x14ac:dyDescent="0.3">
      <c r="A534">
        <f t="shared" si="44"/>
        <v>0</v>
      </c>
      <c r="B534">
        <f t="shared" si="46"/>
        <v>0</v>
      </c>
      <c r="C534">
        <f t="shared" si="45"/>
        <v>0</v>
      </c>
      <c r="D534">
        <f t="shared" si="47"/>
        <v>0</v>
      </c>
    </row>
    <row r="535" spans="1:4" x14ac:dyDescent="0.3">
      <c r="A535">
        <f t="shared" si="44"/>
        <v>0</v>
      </c>
      <c r="B535">
        <f t="shared" si="46"/>
        <v>0</v>
      </c>
      <c r="C535">
        <f t="shared" si="45"/>
        <v>0</v>
      </c>
      <c r="D535">
        <f t="shared" si="47"/>
        <v>0</v>
      </c>
    </row>
    <row r="536" spans="1:4" x14ac:dyDescent="0.3">
      <c r="A536">
        <f t="shared" si="44"/>
        <v>0</v>
      </c>
      <c r="B536">
        <f t="shared" si="46"/>
        <v>0</v>
      </c>
      <c r="C536">
        <f t="shared" si="45"/>
        <v>0</v>
      </c>
      <c r="D536">
        <f t="shared" si="47"/>
        <v>0</v>
      </c>
    </row>
    <row r="537" spans="1:4" x14ac:dyDescent="0.3">
      <c r="A537">
        <f t="shared" si="44"/>
        <v>0</v>
      </c>
      <c r="B537">
        <f t="shared" si="46"/>
        <v>0</v>
      </c>
      <c r="C537">
        <f t="shared" si="45"/>
        <v>0</v>
      </c>
      <c r="D537">
        <f t="shared" si="47"/>
        <v>0</v>
      </c>
    </row>
    <row r="538" spans="1:4" x14ac:dyDescent="0.3">
      <c r="A538">
        <f t="shared" si="44"/>
        <v>0</v>
      </c>
      <c r="B538">
        <f t="shared" si="46"/>
        <v>0</v>
      </c>
      <c r="C538">
        <f t="shared" si="45"/>
        <v>0</v>
      </c>
      <c r="D538">
        <f t="shared" si="47"/>
        <v>0</v>
      </c>
    </row>
    <row r="539" spans="1:4" x14ac:dyDescent="0.3">
      <c r="A539">
        <f t="shared" si="44"/>
        <v>0</v>
      </c>
      <c r="B539">
        <f t="shared" si="46"/>
        <v>0</v>
      </c>
      <c r="C539">
        <f t="shared" si="45"/>
        <v>0</v>
      </c>
      <c r="D539">
        <f t="shared" si="47"/>
        <v>0</v>
      </c>
    </row>
    <row r="540" spans="1:4" x14ac:dyDescent="0.3">
      <c r="A540">
        <f t="shared" si="44"/>
        <v>0</v>
      </c>
      <c r="B540">
        <f t="shared" si="46"/>
        <v>0</v>
      </c>
      <c r="C540">
        <f t="shared" si="45"/>
        <v>0</v>
      </c>
      <c r="D540">
        <f t="shared" si="47"/>
        <v>0</v>
      </c>
    </row>
    <row r="541" spans="1:4" x14ac:dyDescent="0.3">
      <c r="A541">
        <f t="shared" ref="A541:A568" si="48">((0*(1/3.6))*(3.6))*(1/3.6)</f>
        <v>0</v>
      </c>
      <c r="B541">
        <f t="shared" si="46"/>
        <v>0</v>
      </c>
      <c r="C541">
        <f t="shared" si="45"/>
        <v>0</v>
      </c>
      <c r="D541">
        <f t="shared" si="47"/>
        <v>0</v>
      </c>
    </row>
    <row r="542" spans="1:4" x14ac:dyDescent="0.3">
      <c r="A542">
        <f t="shared" si="48"/>
        <v>0</v>
      </c>
      <c r="B542">
        <f t="shared" si="46"/>
        <v>0</v>
      </c>
      <c r="C542">
        <f t="shared" si="45"/>
        <v>0</v>
      </c>
      <c r="D542">
        <f t="shared" si="47"/>
        <v>0</v>
      </c>
    </row>
    <row r="543" spans="1:4" x14ac:dyDescent="0.3">
      <c r="A543">
        <f t="shared" si="48"/>
        <v>0</v>
      </c>
      <c r="B543">
        <f t="shared" si="46"/>
        <v>0</v>
      </c>
      <c r="C543">
        <f t="shared" si="45"/>
        <v>0</v>
      </c>
      <c r="D543">
        <f t="shared" si="47"/>
        <v>0</v>
      </c>
    </row>
    <row r="544" spans="1:4" x14ac:dyDescent="0.3">
      <c r="A544">
        <f t="shared" si="48"/>
        <v>0</v>
      </c>
      <c r="B544">
        <f t="shared" si="46"/>
        <v>0</v>
      </c>
      <c r="C544">
        <f t="shared" si="45"/>
        <v>0</v>
      </c>
      <c r="D544">
        <f t="shared" si="47"/>
        <v>0</v>
      </c>
    </row>
    <row r="545" spans="1:4" x14ac:dyDescent="0.3">
      <c r="A545">
        <f t="shared" si="48"/>
        <v>0</v>
      </c>
      <c r="B545">
        <f t="shared" si="46"/>
        <v>0</v>
      </c>
      <c r="C545">
        <f t="shared" si="45"/>
        <v>0</v>
      </c>
      <c r="D545">
        <f t="shared" si="47"/>
        <v>0</v>
      </c>
    </row>
    <row r="546" spans="1:4" x14ac:dyDescent="0.3">
      <c r="A546">
        <f t="shared" si="48"/>
        <v>0</v>
      </c>
      <c r="B546">
        <f t="shared" si="46"/>
        <v>0</v>
      </c>
      <c r="C546">
        <f t="shared" ref="C546:C568" si="49">((0*(1/3.6))*(3.6))*(1/3.6)</f>
        <v>0</v>
      </c>
      <c r="D546">
        <f t="shared" si="47"/>
        <v>0</v>
      </c>
    </row>
    <row r="547" spans="1:4" x14ac:dyDescent="0.3">
      <c r="A547">
        <f t="shared" si="48"/>
        <v>0</v>
      </c>
      <c r="B547">
        <f t="shared" si="46"/>
        <v>0</v>
      </c>
      <c r="C547">
        <f t="shared" si="49"/>
        <v>0</v>
      </c>
      <c r="D547">
        <f t="shared" si="47"/>
        <v>0</v>
      </c>
    </row>
    <row r="548" spans="1:4" x14ac:dyDescent="0.3">
      <c r="A548">
        <f t="shared" si="48"/>
        <v>0</v>
      </c>
      <c r="B548">
        <f t="shared" si="46"/>
        <v>0</v>
      </c>
      <c r="C548">
        <f t="shared" si="49"/>
        <v>0</v>
      </c>
      <c r="D548">
        <f t="shared" si="47"/>
        <v>0</v>
      </c>
    </row>
    <row r="549" spans="1:4" x14ac:dyDescent="0.3">
      <c r="A549">
        <f t="shared" si="48"/>
        <v>0</v>
      </c>
      <c r="B549">
        <f t="shared" si="46"/>
        <v>0</v>
      </c>
      <c r="C549">
        <f t="shared" si="49"/>
        <v>0</v>
      </c>
      <c r="D549">
        <f t="shared" si="47"/>
        <v>0</v>
      </c>
    </row>
    <row r="550" spans="1:4" x14ac:dyDescent="0.3">
      <c r="A550">
        <f t="shared" si="48"/>
        <v>0</v>
      </c>
      <c r="B550">
        <f t="shared" si="46"/>
        <v>0</v>
      </c>
      <c r="C550">
        <f t="shared" si="49"/>
        <v>0</v>
      </c>
      <c r="D550">
        <f t="shared" si="47"/>
        <v>0</v>
      </c>
    </row>
    <row r="551" spans="1:4" x14ac:dyDescent="0.3">
      <c r="A551">
        <f t="shared" si="48"/>
        <v>0</v>
      </c>
      <c r="B551">
        <f t="shared" si="46"/>
        <v>0</v>
      </c>
      <c r="C551">
        <f t="shared" si="49"/>
        <v>0</v>
      </c>
      <c r="D551">
        <f t="shared" si="47"/>
        <v>0</v>
      </c>
    </row>
    <row r="552" spans="1:4" x14ac:dyDescent="0.3">
      <c r="A552">
        <f t="shared" si="48"/>
        <v>0</v>
      </c>
      <c r="B552">
        <f t="shared" si="46"/>
        <v>0</v>
      </c>
      <c r="C552">
        <f t="shared" si="49"/>
        <v>0</v>
      </c>
      <c r="D552">
        <f t="shared" si="47"/>
        <v>0</v>
      </c>
    </row>
    <row r="553" spans="1:4" x14ac:dyDescent="0.3">
      <c r="A553">
        <f t="shared" si="48"/>
        <v>0</v>
      </c>
      <c r="B553">
        <f t="shared" si="46"/>
        <v>0</v>
      </c>
      <c r="C553">
        <f t="shared" si="49"/>
        <v>0</v>
      </c>
      <c r="D553">
        <f t="shared" si="47"/>
        <v>0</v>
      </c>
    </row>
    <row r="554" spans="1:4" x14ac:dyDescent="0.3">
      <c r="A554">
        <f t="shared" si="48"/>
        <v>0</v>
      </c>
      <c r="B554">
        <f t="shared" si="46"/>
        <v>0</v>
      </c>
      <c r="C554">
        <f t="shared" si="49"/>
        <v>0</v>
      </c>
      <c r="D554">
        <f t="shared" si="47"/>
        <v>0</v>
      </c>
    </row>
    <row r="555" spans="1:4" x14ac:dyDescent="0.3">
      <c r="A555">
        <f t="shared" si="48"/>
        <v>0</v>
      </c>
      <c r="B555">
        <f t="shared" si="46"/>
        <v>0</v>
      </c>
      <c r="C555">
        <f t="shared" si="49"/>
        <v>0</v>
      </c>
      <c r="D555">
        <f t="shared" si="47"/>
        <v>0</v>
      </c>
    </row>
    <row r="556" spans="1:4" x14ac:dyDescent="0.3">
      <c r="A556">
        <f t="shared" si="48"/>
        <v>0</v>
      </c>
      <c r="B556">
        <f t="shared" si="46"/>
        <v>0</v>
      </c>
      <c r="C556">
        <f t="shared" si="49"/>
        <v>0</v>
      </c>
      <c r="D556">
        <f t="shared" si="47"/>
        <v>0</v>
      </c>
    </row>
    <row r="557" spans="1:4" x14ac:dyDescent="0.3">
      <c r="A557">
        <f t="shared" si="48"/>
        <v>0</v>
      </c>
      <c r="B557">
        <f t="shared" si="46"/>
        <v>0</v>
      </c>
      <c r="C557">
        <f t="shared" si="49"/>
        <v>0</v>
      </c>
      <c r="D557">
        <f t="shared" si="47"/>
        <v>0</v>
      </c>
    </row>
    <row r="558" spans="1:4" x14ac:dyDescent="0.3">
      <c r="A558">
        <f t="shared" si="48"/>
        <v>0</v>
      </c>
      <c r="B558">
        <f t="shared" si="46"/>
        <v>0</v>
      </c>
      <c r="C558">
        <f t="shared" si="49"/>
        <v>0</v>
      </c>
      <c r="D558">
        <f t="shared" si="47"/>
        <v>0</v>
      </c>
    </row>
    <row r="559" spans="1:4" x14ac:dyDescent="0.3">
      <c r="A559">
        <f t="shared" si="48"/>
        <v>0</v>
      </c>
      <c r="B559">
        <f t="shared" si="46"/>
        <v>0</v>
      </c>
      <c r="C559">
        <f t="shared" si="49"/>
        <v>0</v>
      </c>
      <c r="D559">
        <f t="shared" si="47"/>
        <v>0</v>
      </c>
    </row>
    <row r="560" spans="1:4" x14ac:dyDescent="0.3">
      <c r="A560">
        <f t="shared" si="48"/>
        <v>0</v>
      </c>
      <c r="B560">
        <f t="shared" si="46"/>
        <v>0</v>
      </c>
      <c r="C560">
        <f t="shared" si="49"/>
        <v>0</v>
      </c>
      <c r="D560">
        <f t="shared" si="47"/>
        <v>0</v>
      </c>
    </row>
    <row r="561" spans="1:4" x14ac:dyDescent="0.3">
      <c r="A561">
        <f t="shared" si="48"/>
        <v>0</v>
      </c>
      <c r="B561">
        <f t="shared" si="46"/>
        <v>0</v>
      </c>
      <c r="C561">
        <f t="shared" si="49"/>
        <v>0</v>
      </c>
      <c r="D561">
        <f t="shared" si="47"/>
        <v>0</v>
      </c>
    </row>
    <row r="562" spans="1:4" x14ac:dyDescent="0.3">
      <c r="A562">
        <f t="shared" si="48"/>
        <v>0</v>
      </c>
      <c r="B562">
        <f t="shared" si="46"/>
        <v>0</v>
      </c>
      <c r="C562">
        <f t="shared" si="49"/>
        <v>0</v>
      </c>
      <c r="D562">
        <f t="shared" si="47"/>
        <v>0</v>
      </c>
    </row>
    <row r="563" spans="1:4" x14ac:dyDescent="0.3">
      <c r="A563">
        <f t="shared" si="48"/>
        <v>0</v>
      </c>
      <c r="B563">
        <f t="shared" si="46"/>
        <v>0</v>
      </c>
      <c r="C563">
        <f t="shared" si="49"/>
        <v>0</v>
      </c>
      <c r="D563">
        <f t="shared" si="47"/>
        <v>0</v>
      </c>
    </row>
    <row r="564" spans="1:4" x14ac:dyDescent="0.3">
      <c r="A564">
        <f t="shared" si="48"/>
        <v>0</v>
      </c>
      <c r="B564">
        <f t="shared" si="46"/>
        <v>0</v>
      </c>
      <c r="C564">
        <f t="shared" si="49"/>
        <v>0</v>
      </c>
      <c r="D564">
        <f t="shared" si="47"/>
        <v>0</v>
      </c>
    </row>
    <row r="565" spans="1:4" x14ac:dyDescent="0.3">
      <c r="A565">
        <f t="shared" si="48"/>
        <v>0</v>
      </c>
      <c r="B565">
        <f t="shared" si="46"/>
        <v>0</v>
      </c>
      <c r="C565">
        <f t="shared" si="49"/>
        <v>0</v>
      </c>
      <c r="D565">
        <f t="shared" si="47"/>
        <v>0</v>
      </c>
    </row>
    <row r="566" spans="1:4" x14ac:dyDescent="0.3">
      <c r="A566">
        <f t="shared" si="48"/>
        <v>0</v>
      </c>
      <c r="B566">
        <f t="shared" si="46"/>
        <v>0</v>
      </c>
      <c r="C566">
        <f t="shared" si="49"/>
        <v>0</v>
      </c>
      <c r="D566">
        <f t="shared" si="47"/>
        <v>0</v>
      </c>
    </row>
    <row r="567" spans="1:4" x14ac:dyDescent="0.3">
      <c r="A567">
        <f t="shared" si="48"/>
        <v>0</v>
      </c>
      <c r="B567">
        <f t="shared" si="46"/>
        <v>0</v>
      </c>
      <c r="C567">
        <f t="shared" si="49"/>
        <v>0</v>
      </c>
      <c r="D567">
        <f t="shared" si="47"/>
        <v>0</v>
      </c>
    </row>
    <row r="568" spans="1:4" x14ac:dyDescent="0.3">
      <c r="A568">
        <f t="shared" si="48"/>
        <v>0</v>
      </c>
      <c r="B568">
        <f t="shared" si="46"/>
        <v>0</v>
      </c>
      <c r="C568">
        <f t="shared" si="49"/>
        <v>0</v>
      </c>
      <c r="D568">
        <f t="shared" si="47"/>
        <v>0</v>
      </c>
    </row>
    <row r="569" spans="1:4" x14ac:dyDescent="0.3">
      <c r="A569">
        <f>((113*(1/3.6))*(3.6))*(1/3.6)</f>
        <v>31.388888888888889</v>
      </c>
      <c r="B569">
        <f>326*(1/3.6)</f>
        <v>90.555555555555557</v>
      </c>
      <c r="C569">
        <v>0</v>
      </c>
      <c r="D569">
        <f t="shared" si="47"/>
        <v>0</v>
      </c>
    </row>
    <row r="570" spans="1:4" x14ac:dyDescent="0.3">
      <c r="A570">
        <f t="shared" ref="A570:C589" si="50">((0*(1/3.6))*(3.6))*(1/3.6)</f>
        <v>0</v>
      </c>
      <c r="B570">
        <f t="shared" si="50"/>
        <v>0</v>
      </c>
      <c r="C570">
        <f t="shared" si="50"/>
        <v>0</v>
      </c>
      <c r="D570">
        <f t="shared" si="47"/>
        <v>0</v>
      </c>
    </row>
    <row r="571" spans="1:4" x14ac:dyDescent="0.3">
      <c r="A571">
        <f t="shared" si="50"/>
        <v>0</v>
      </c>
      <c r="B571">
        <f t="shared" si="50"/>
        <v>0</v>
      </c>
      <c r="C571">
        <f t="shared" si="50"/>
        <v>0</v>
      </c>
      <c r="D571">
        <f t="shared" si="47"/>
        <v>0</v>
      </c>
    </row>
    <row r="572" spans="1:4" x14ac:dyDescent="0.3">
      <c r="A572">
        <f t="shared" si="50"/>
        <v>0</v>
      </c>
      <c r="B572">
        <f t="shared" si="50"/>
        <v>0</v>
      </c>
      <c r="C572">
        <f t="shared" si="50"/>
        <v>0</v>
      </c>
      <c r="D572">
        <f t="shared" si="47"/>
        <v>0</v>
      </c>
    </row>
    <row r="573" spans="1:4" x14ac:dyDescent="0.3">
      <c r="A573">
        <f t="shared" si="50"/>
        <v>0</v>
      </c>
      <c r="B573">
        <f t="shared" si="50"/>
        <v>0</v>
      </c>
      <c r="C573">
        <f t="shared" si="50"/>
        <v>0</v>
      </c>
      <c r="D573">
        <f t="shared" si="47"/>
        <v>0</v>
      </c>
    </row>
    <row r="574" spans="1:4" x14ac:dyDescent="0.3">
      <c r="A574">
        <f t="shared" si="50"/>
        <v>0</v>
      </c>
      <c r="B574">
        <f t="shared" si="50"/>
        <v>0</v>
      </c>
      <c r="C574">
        <f t="shared" si="50"/>
        <v>0</v>
      </c>
      <c r="D574">
        <f t="shared" si="47"/>
        <v>0</v>
      </c>
    </row>
    <row r="575" spans="1:4" x14ac:dyDescent="0.3">
      <c r="A575">
        <f t="shared" si="50"/>
        <v>0</v>
      </c>
      <c r="B575">
        <f t="shared" si="50"/>
        <v>0</v>
      </c>
      <c r="C575">
        <f t="shared" si="50"/>
        <v>0</v>
      </c>
      <c r="D575">
        <f t="shared" si="47"/>
        <v>0</v>
      </c>
    </row>
    <row r="576" spans="1:4" x14ac:dyDescent="0.3">
      <c r="A576">
        <f t="shared" si="50"/>
        <v>0</v>
      </c>
      <c r="B576">
        <f t="shared" si="50"/>
        <v>0</v>
      </c>
      <c r="C576">
        <f t="shared" si="50"/>
        <v>0</v>
      </c>
      <c r="D576">
        <f t="shared" si="47"/>
        <v>0</v>
      </c>
    </row>
    <row r="577" spans="1:4" x14ac:dyDescent="0.3">
      <c r="A577">
        <f t="shared" si="50"/>
        <v>0</v>
      </c>
      <c r="B577">
        <f t="shared" si="50"/>
        <v>0</v>
      </c>
      <c r="C577">
        <f t="shared" si="50"/>
        <v>0</v>
      </c>
      <c r="D577">
        <f t="shared" si="47"/>
        <v>0</v>
      </c>
    </row>
    <row r="578" spans="1:4" x14ac:dyDescent="0.3">
      <c r="A578">
        <f t="shared" si="50"/>
        <v>0</v>
      </c>
      <c r="B578">
        <f t="shared" si="50"/>
        <v>0</v>
      </c>
      <c r="C578">
        <f t="shared" si="50"/>
        <v>0</v>
      </c>
      <c r="D578">
        <f t="shared" si="47"/>
        <v>0</v>
      </c>
    </row>
    <row r="579" spans="1:4" x14ac:dyDescent="0.3">
      <c r="A579">
        <f t="shared" si="50"/>
        <v>0</v>
      </c>
      <c r="B579">
        <f t="shared" si="50"/>
        <v>0</v>
      </c>
      <c r="C579">
        <f t="shared" si="50"/>
        <v>0</v>
      </c>
      <c r="D579">
        <f t="shared" si="47"/>
        <v>0</v>
      </c>
    </row>
    <row r="580" spans="1:4" x14ac:dyDescent="0.3">
      <c r="A580">
        <f t="shared" si="50"/>
        <v>0</v>
      </c>
      <c r="B580">
        <f t="shared" si="50"/>
        <v>0</v>
      </c>
      <c r="C580">
        <f t="shared" si="50"/>
        <v>0</v>
      </c>
      <c r="D580">
        <f t="shared" si="47"/>
        <v>0</v>
      </c>
    </row>
    <row r="581" spans="1:4" x14ac:dyDescent="0.3">
      <c r="A581">
        <f t="shared" si="50"/>
        <v>0</v>
      </c>
      <c r="B581">
        <f t="shared" si="50"/>
        <v>0</v>
      </c>
      <c r="C581">
        <f t="shared" si="50"/>
        <v>0</v>
      </c>
      <c r="D581">
        <f t="shared" si="47"/>
        <v>0</v>
      </c>
    </row>
    <row r="582" spans="1:4" x14ac:dyDescent="0.3">
      <c r="A582">
        <f t="shared" si="50"/>
        <v>0</v>
      </c>
      <c r="B582">
        <f t="shared" si="50"/>
        <v>0</v>
      </c>
      <c r="C582">
        <f t="shared" si="50"/>
        <v>0</v>
      </c>
      <c r="D582">
        <f t="shared" si="47"/>
        <v>0</v>
      </c>
    </row>
    <row r="583" spans="1:4" x14ac:dyDescent="0.3">
      <c r="A583">
        <f t="shared" si="50"/>
        <v>0</v>
      </c>
      <c r="B583">
        <f t="shared" si="50"/>
        <v>0</v>
      </c>
      <c r="C583">
        <f t="shared" si="50"/>
        <v>0</v>
      </c>
      <c r="D583">
        <f t="shared" si="47"/>
        <v>0</v>
      </c>
    </row>
    <row r="584" spans="1:4" x14ac:dyDescent="0.3">
      <c r="A584">
        <f t="shared" si="50"/>
        <v>0</v>
      </c>
      <c r="B584">
        <f t="shared" si="50"/>
        <v>0</v>
      </c>
      <c r="C584">
        <f t="shared" si="50"/>
        <v>0</v>
      </c>
      <c r="D584">
        <f t="shared" si="47"/>
        <v>0</v>
      </c>
    </row>
    <row r="585" spans="1:4" x14ac:dyDescent="0.3">
      <c r="A585">
        <f t="shared" si="50"/>
        <v>0</v>
      </c>
      <c r="B585">
        <f t="shared" si="50"/>
        <v>0</v>
      </c>
      <c r="C585">
        <f t="shared" si="50"/>
        <v>0</v>
      </c>
      <c r="D585">
        <f t="shared" si="47"/>
        <v>0</v>
      </c>
    </row>
    <row r="586" spans="1:4" x14ac:dyDescent="0.3">
      <c r="A586">
        <f t="shared" si="50"/>
        <v>0</v>
      </c>
      <c r="B586">
        <f t="shared" si="50"/>
        <v>0</v>
      </c>
      <c r="C586">
        <f t="shared" si="50"/>
        <v>0</v>
      </c>
      <c r="D586">
        <f t="shared" si="47"/>
        <v>0</v>
      </c>
    </row>
    <row r="587" spans="1:4" x14ac:dyDescent="0.3">
      <c r="A587">
        <f t="shared" si="50"/>
        <v>0</v>
      </c>
      <c r="B587">
        <f t="shared" si="50"/>
        <v>0</v>
      </c>
      <c r="C587">
        <f t="shared" si="50"/>
        <v>0</v>
      </c>
      <c r="D587">
        <f t="shared" si="47"/>
        <v>0</v>
      </c>
    </row>
    <row r="588" spans="1:4" x14ac:dyDescent="0.3">
      <c r="A588">
        <f t="shared" si="50"/>
        <v>0</v>
      </c>
      <c r="B588">
        <f t="shared" si="50"/>
        <v>0</v>
      </c>
      <c r="C588">
        <f t="shared" si="50"/>
        <v>0</v>
      </c>
      <c r="D588">
        <f t="shared" si="47"/>
        <v>0</v>
      </c>
    </row>
    <row r="589" spans="1:4" x14ac:dyDescent="0.3">
      <c r="A589">
        <f t="shared" si="50"/>
        <v>0</v>
      </c>
      <c r="B589">
        <f t="shared" si="50"/>
        <v>0</v>
      </c>
      <c r="C589">
        <f t="shared" si="50"/>
        <v>0</v>
      </c>
      <c r="D589">
        <f t="shared" si="47"/>
        <v>0</v>
      </c>
    </row>
    <row r="590" spans="1:4" x14ac:dyDescent="0.3">
      <c r="A590">
        <f t="shared" ref="A590:C609" si="51">((0*(1/3.6))*(3.6))*(1/3.6)</f>
        <v>0</v>
      </c>
      <c r="B590">
        <f t="shared" si="51"/>
        <v>0</v>
      </c>
      <c r="C590">
        <f t="shared" si="51"/>
        <v>0</v>
      </c>
      <c r="D590">
        <f t="shared" si="47"/>
        <v>0</v>
      </c>
    </row>
    <row r="591" spans="1:4" x14ac:dyDescent="0.3">
      <c r="A591">
        <f t="shared" si="51"/>
        <v>0</v>
      </c>
      <c r="B591">
        <f t="shared" si="51"/>
        <v>0</v>
      </c>
      <c r="C591">
        <f t="shared" si="51"/>
        <v>0</v>
      </c>
      <c r="D591">
        <f t="shared" si="47"/>
        <v>0</v>
      </c>
    </row>
    <row r="592" spans="1:4" x14ac:dyDescent="0.3">
      <c r="A592">
        <f t="shared" si="51"/>
        <v>0</v>
      </c>
      <c r="B592">
        <f t="shared" si="51"/>
        <v>0</v>
      </c>
      <c r="C592">
        <f t="shared" si="51"/>
        <v>0</v>
      </c>
      <c r="D592">
        <f t="shared" si="47"/>
        <v>0</v>
      </c>
    </row>
    <row r="593" spans="1:4" x14ac:dyDescent="0.3">
      <c r="A593">
        <f t="shared" si="51"/>
        <v>0</v>
      </c>
      <c r="B593">
        <f t="shared" si="51"/>
        <v>0</v>
      </c>
      <c r="C593">
        <f t="shared" si="51"/>
        <v>0</v>
      </c>
      <c r="D593">
        <f t="shared" si="47"/>
        <v>0</v>
      </c>
    </row>
    <row r="594" spans="1:4" x14ac:dyDescent="0.3">
      <c r="A594">
        <f t="shared" si="51"/>
        <v>0</v>
      </c>
      <c r="B594">
        <f t="shared" si="51"/>
        <v>0</v>
      </c>
      <c r="C594">
        <f t="shared" si="51"/>
        <v>0</v>
      </c>
      <c r="D594">
        <f t="shared" si="47"/>
        <v>0</v>
      </c>
    </row>
    <row r="595" spans="1:4" x14ac:dyDescent="0.3">
      <c r="A595">
        <f t="shared" si="51"/>
        <v>0</v>
      </c>
      <c r="B595">
        <f t="shared" si="51"/>
        <v>0</v>
      </c>
      <c r="C595">
        <f t="shared" si="51"/>
        <v>0</v>
      </c>
      <c r="D595">
        <f t="shared" ref="D595:D658" si="52">((0*(1/3.6))*(3.6))*(1/3.6)</f>
        <v>0</v>
      </c>
    </row>
    <row r="596" spans="1:4" x14ac:dyDescent="0.3">
      <c r="A596">
        <f t="shared" si="51"/>
        <v>0</v>
      </c>
      <c r="B596">
        <f t="shared" si="51"/>
        <v>0</v>
      </c>
      <c r="C596">
        <f t="shared" si="51"/>
        <v>0</v>
      </c>
      <c r="D596">
        <f t="shared" si="52"/>
        <v>0</v>
      </c>
    </row>
    <row r="597" spans="1:4" x14ac:dyDescent="0.3">
      <c r="A597">
        <f t="shared" si="51"/>
        <v>0</v>
      </c>
      <c r="B597">
        <f t="shared" si="51"/>
        <v>0</v>
      </c>
      <c r="C597">
        <f t="shared" si="51"/>
        <v>0</v>
      </c>
      <c r="D597">
        <f t="shared" si="52"/>
        <v>0</v>
      </c>
    </row>
    <row r="598" spans="1:4" x14ac:dyDescent="0.3">
      <c r="A598">
        <f t="shared" si="51"/>
        <v>0</v>
      </c>
      <c r="B598">
        <f t="shared" si="51"/>
        <v>0</v>
      </c>
      <c r="C598">
        <f t="shared" si="51"/>
        <v>0</v>
      </c>
      <c r="D598">
        <f t="shared" si="52"/>
        <v>0</v>
      </c>
    </row>
    <row r="599" spans="1:4" x14ac:dyDescent="0.3">
      <c r="A599">
        <f t="shared" si="51"/>
        <v>0</v>
      </c>
      <c r="B599">
        <f t="shared" si="51"/>
        <v>0</v>
      </c>
      <c r="C599">
        <f t="shared" si="51"/>
        <v>0</v>
      </c>
      <c r="D599">
        <f t="shared" si="52"/>
        <v>0</v>
      </c>
    </row>
    <row r="600" spans="1:4" x14ac:dyDescent="0.3">
      <c r="A600">
        <f t="shared" si="51"/>
        <v>0</v>
      </c>
      <c r="B600">
        <f t="shared" si="51"/>
        <v>0</v>
      </c>
      <c r="C600">
        <f t="shared" si="51"/>
        <v>0</v>
      </c>
      <c r="D600">
        <f t="shared" si="52"/>
        <v>0</v>
      </c>
    </row>
    <row r="601" spans="1:4" x14ac:dyDescent="0.3">
      <c r="A601">
        <f t="shared" si="51"/>
        <v>0</v>
      </c>
      <c r="B601">
        <f t="shared" si="51"/>
        <v>0</v>
      </c>
      <c r="C601">
        <f t="shared" si="51"/>
        <v>0</v>
      </c>
      <c r="D601">
        <f t="shared" si="52"/>
        <v>0</v>
      </c>
    </row>
    <row r="602" spans="1:4" x14ac:dyDescent="0.3">
      <c r="A602">
        <f t="shared" si="51"/>
        <v>0</v>
      </c>
      <c r="B602">
        <f t="shared" si="51"/>
        <v>0</v>
      </c>
      <c r="C602">
        <f t="shared" si="51"/>
        <v>0</v>
      </c>
      <c r="D602">
        <f t="shared" si="52"/>
        <v>0</v>
      </c>
    </row>
    <row r="603" spans="1:4" x14ac:dyDescent="0.3">
      <c r="A603">
        <f t="shared" si="51"/>
        <v>0</v>
      </c>
      <c r="B603">
        <f t="shared" si="51"/>
        <v>0</v>
      </c>
      <c r="C603">
        <f t="shared" si="51"/>
        <v>0</v>
      </c>
      <c r="D603">
        <f t="shared" si="52"/>
        <v>0</v>
      </c>
    </row>
    <row r="604" spans="1:4" x14ac:dyDescent="0.3">
      <c r="A604">
        <f t="shared" si="51"/>
        <v>0</v>
      </c>
      <c r="B604">
        <f t="shared" si="51"/>
        <v>0</v>
      </c>
      <c r="C604">
        <f t="shared" si="51"/>
        <v>0</v>
      </c>
      <c r="D604">
        <f t="shared" si="52"/>
        <v>0</v>
      </c>
    </row>
    <row r="605" spans="1:4" x14ac:dyDescent="0.3">
      <c r="A605">
        <f t="shared" si="51"/>
        <v>0</v>
      </c>
      <c r="B605">
        <f t="shared" si="51"/>
        <v>0</v>
      </c>
      <c r="C605">
        <f t="shared" si="51"/>
        <v>0</v>
      </c>
      <c r="D605">
        <f t="shared" si="52"/>
        <v>0</v>
      </c>
    </row>
    <row r="606" spans="1:4" x14ac:dyDescent="0.3">
      <c r="A606">
        <f t="shared" si="51"/>
        <v>0</v>
      </c>
      <c r="B606">
        <f t="shared" si="51"/>
        <v>0</v>
      </c>
      <c r="C606">
        <f t="shared" si="51"/>
        <v>0</v>
      </c>
      <c r="D606">
        <f t="shared" si="52"/>
        <v>0</v>
      </c>
    </row>
    <row r="607" spans="1:4" x14ac:dyDescent="0.3">
      <c r="A607">
        <f t="shared" si="51"/>
        <v>0</v>
      </c>
      <c r="B607">
        <f t="shared" si="51"/>
        <v>0</v>
      </c>
      <c r="C607">
        <f t="shared" si="51"/>
        <v>0</v>
      </c>
      <c r="D607">
        <f t="shared" si="52"/>
        <v>0</v>
      </c>
    </row>
    <row r="608" spans="1:4" x14ac:dyDescent="0.3">
      <c r="A608">
        <f t="shared" si="51"/>
        <v>0</v>
      </c>
      <c r="B608">
        <f t="shared" si="51"/>
        <v>0</v>
      </c>
      <c r="C608">
        <f t="shared" si="51"/>
        <v>0</v>
      </c>
      <c r="D608">
        <f t="shared" si="52"/>
        <v>0</v>
      </c>
    </row>
    <row r="609" spans="1:4" x14ac:dyDescent="0.3">
      <c r="A609">
        <f t="shared" si="51"/>
        <v>0</v>
      </c>
      <c r="B609">
        <f t="shared" si="51"/>
        <v>0</v>
      </c>
      <c r="C609">
        <f t="shared" si="51"/>
        <v>0</v>
      </c>
      <c r="D609">
        <f t="shared" si="52"/>
        <v>0</v>
      </c>
    </row>
    <row r="610" spans="1:4" x14ac:dyDescent="0.3">
      <c r="A610">
        <f t="shared" ref="A610:C629" si="53">((0*(1/3.6))*(3.6))*(1/3.6)</f>
        <v>0</v>
      </c>
      <c r="B610">
        <f t="shared" si="53"/>
        <v>0</v>
      </c>
      <c r="C610">
        <f t="shared" si="53"/>
        <v>0</v>
      </c>
      <c r="D610">
        <f t="shared" si="52"/>
        <v>0</v>
      </c>
    </row>
    <row r="611" spans="1:4" x14ac:dyDescent="0.3">
      <c r="A611">
        <f t="shared" si="53"/>
        <v>0</v>
      </c>
      <c r="B611">
        <f t="shared" si="53"/>
        <v>0</v>
      </c>
      <c r="C611">
        <f t="shared" si="53"/>
        <v>0</v>
      </c>
      <c r="D611">
        <f t="shared" si="52"/>
        <v>0</v>
      </c>
    </row>
    <row r="612" spans="1:4" x14ac:dyDescent="0.3">
      <c r="A612">
        <f t="shared" si="53"/>
        <v>0</v>
      </c>
      <c r="B612">
        <f t="shared" si="53"/>
        <v>0</v>
      </c>
      <c r="C612">
        <f t="shared" si="53"/>
        <v>0</v>
      </c>
      <c r="D612">
        <f t="shared" si="52"/>
        <v>0</v>
      </c>
    </row>
    <row r="613" spans="1:4" x14ac:dyDescent="0.3">
      <c r="A613">
        <f t="shared" si="53"/>
        <v>0</v>
      </c>
      <c r="B613">
        <f t="shared" si="53"/>
        <v>0</v>
      </c>
      <c r="C613">
        <f t="shared" si="53"/>
        <v>0</v>
      </c>
      <c r="D613">
        <f t="shared" si="52"/>
        <v>0</v>
      </c>
    </row>
    <row r="614" spans="1:4" x14ac:dyDescent="0.3">
      <c r="A614">
        <f t="shared" si="53"/>
        <v>0</v>
      </c>
      <c r="B614">
        <f t="shared" si="53"/>
        <v>0</v>
      </c>
      <c r="C614">
        <f t="shared" si="53"/>
        <v>0</v>
      </c>
      <c r="D614">
        <f t="shared" si="52"/>
        <v>0</v>
      </c>
    </row>
    <row r="615" spans="1:4" x14ac:dyDescent="0.3">
      <c r="A615">
        <f t="shared" si="53"/>
        <v>0</v>
      </c>
      <c r="B615">
        <f t="shared" si="53"/>
        <v>0</v>
      </c>
      <c r="C615">
        <f t="shared" si="53"/>
        <v>0</v>
      </c>
      <c r="D615">
        <f t="shared" si="52"/>
        <v>0</v>
      </c>
    </row>
    <row r="616" spans="1:4" x14ac:dyDescent="0.3">
      <c r="A616">
        <f t="shared" si="53"/>
        <v>0</v>
      </c>
      <c r="B616">
        <f t="shared" si="53"/>
        <v>0</v>
      </c>
      <c r="C616">
        <f t="shared" si="53"/>
        <v>0</v>
      </c>
      <c r="D616">
        <f t="shared" si="52"/>
        <v>0</v>
      </c>
    </row>
    <row r="617" spans="1:4" x14ac:dyDescent="0.3">
      <c r="A617">
        <f t="shared" si="53"/>
        <v>0</v>
      </c>
      <c r="B617">
        <f t="shared" si="53"/>
        <v>0</v>
      </c>
      <c r="C617">
        <f t="shared" si="53"/>
        <v>0</v>
      </c>
      <c r="D617">
        <f t="shared" si="52"/>
        <v>0</v>
      </c>
    </row>
    <row r="618" spans="1:4" x14ac:dyDescent="0.3">
      <c r="A618">
        <f t="shared" si="53"/>
        <v>0</v>
      </c>
      <c r="B618">
        <f t="shared" si="53"/>
        <v>0</v>
      </c>
      <c r="C618">
        <f t="shared" si="53"/>
        <v>0</v>
      </c>
      <c r="D618">
        <f t="shared" si="52"/>
        <v>0</v>
      </c>
    </row>
    <row r="619" spans="1:4" x14ac:dyDescent="0.3">
      <c r="A619">
        <f t="shared" si="53"/>
        <v>0</v>
      </c>
      <c r="B619">
        <f t="shared" si="53"/>
        <v>0</v>
      </c>
      <c r="C619">
        <f t="shared" si="53"/>
        <v>0</v>
      </c>
      <c r="D619">
        <f t="shared" si="52"/>
        <v>0</v>
      </c>
    </row>
    <row r="620" spans="1:4" x14ac:dyDescent="0.3">
      <c r="A620">
        <f t="shared" si="53"/>
        <v>0</v>
      </c>
      <c r="B620">
        <f t="shared" si="53"/>
        <v>0</v>
      </c>
      <c r="C620">
        <f t="shared" si="53"/>
        <v>0</v>
      </c>
      <c r="D620">
        <f t="shared" si="52"/>
        <v>0</v>
      </c>
    </row>
    <row r="621" spans="1:4" x14ac:dyDescent="0.3">
      <c r="A621">
        <f t="shared" si="53"/>
        <v>0</v>
      </c>
      <c r="B621">
        <f t="shared" si="53"/>
        <v>0</v>
      </c>
      <c r="C621">
        <f t="shared" si="53"/>
        <v>0</v>
      </c>
      <c r="D621">
        <f t="shared" si="52"/>
        <v>0</v>
      </c>
    </row>
    <row r="622" spans="1:4" x14ac:dyDescent="0.3">
      <c r="A622">
        <f t="shared" si="53"/>
        <v>0</v>
      </c>
      <c r="B622">
        <f t="shared" si="53"/>
        <v>0</v>
      </c>
      <c r="C622">
        <f t="shared" si="53"/>
        <v>0</v>
      </c>
      <c r="D622">
        <f t="shared" si="52"/>
        <v>0</v>
      </c>
    </row>
    <row r="623" spans="1:4" x14ac:dyDescent="0.3">
      <c r="A623">
        <f t="shared" si="53"/>
        <v>0</v>
      </c>
      <c r="B623">
        <f t="shared" si="53"/>
        <v>0</v>
      </c>
      <c r="C623">
        <f t="shared" si="53"/>
        <v>0</v>
      </c>
      <c r="D623">
        <f t="shared" si="52"/>
        <v>0</v>
      </c>
    </row>
    <row r="624" spans="1:4" x14ac:dyDescent="0.3">
      <c r="A624">
        <f t="shared" si="53"/>
        <v>0</v>
      </c>
      <c r="B624">
        <f t="shared" si="53"/>
        <v>0</v>
      </c>
      <c r="C624">
        <f t="shared" si="53"/>
        <v>0</v>
      </c>
      <c r="D624">
        <f t="shared" si="52"/>
        <v>0</v>
      </c>
    </row>
    <row r="625" spans="1:4" x14ac:dyDescent="0.3">
      <c r="A625">
        <f t="shared" si="53"/>
        <v>0</v>
      </c>
      <c r="B625">
        <f t="shared" si="53"/>
        <v>0</v>
      </c>
      <c r="C625">
        <f t="shared" si="53"/>
        <v>0</v>
      </c>
      <c r="D625">
        <f t="shared" si="52"/>
        <v>0</v>
      </c>
    </row>
    <row r="626" spans="1:4" x14ac:dyDescent="0.3">
      <c r="A626">
        <f t="shared" si="53"/>
        <v>0</v>
      </c>
      <c r="B626">
        <f t="shared" si="53"/>
        <v>0</v>
      </c>
      <c r="C626">
        <f t="shared" si="53"/>
        <v>0</v>
      </c>
      <c r="D626">
        <f t="shared" si="52"/>
        <v>0</v>
      </c>
    </row>
    <row r="627" spans="1:4" x14ac:dyDescent="0.3">
      <c r="A627">
        <f t="shared" si="53"/>
        <v>0</v>
      </c>
      <c r="B627">
        <f t="shared" si="53"/>
        <v>0</v>
      </c>
      <c r="C627">
        <f t="shared" si="53"/>
        <v>0</v>
      </c>
      <c r="D627">
        <f t="shared" si="52"/>
        <v>0</v>
      </c>
    </row>
    <row r="628" spans="1:4" x14ac:dyDescent="0.3">
      <c r="A628">
        <f t="shared" si="53"/>
        <v>0</v>
      </c>
      <c r="B628">
        <f t="shared" si="53"/>
        <v>0</v>
      </c>
      <c r="C628">
        <f t="shared" si="53"/>
        <v>0</v>
      </c>
      <c r="D628">
        <f t="shared" si="52"/>
        <v>0</v>
      </c>
    </row>
    <row r="629" spans="1:4" x14ac:dyDescent="0.3">
      <c r="A629">
        <f t="shared" si="53"/>
        <v>0</v>
      </c>
      <c r="B629">
        <f t="shared" si="53"/>
        <v>0</v>
      </c>
      <c r="C629">
        <f t="shared" si="53"/>
        <v>0</v>
      </c>
      <c r="D629">
        <f t="shared" si="52"/>
        <v>0</v>
      </c>
    </row>
    <row r="630" spans="1:4" x14ac:dyDescent="0.3">
      <c r="A630">
        <f t="shared" ref="A630:C649" si="54">((0*(1/3.6))*(3.6))*(1/3.6)</f>
        <v>0</v>
      </c>
      <c r="B630">
        <f t="shared" si="54"/>
        <v>0</v>
      </c>
      <c r="C630">
        <f t="shared" si="54"/>
        <v>0</v>
      </c>
      <c r="D630">
        <f t="shared" si="52"/>
        <v>0</v>
      </c>
    </row>
    <row r="631" spans="1:4" x14ac:dyDescent="0.3">
      <c r="A631">
        <f t="shared" si="54"/>
        <v>0</v>
      </c>
      <c r="B631">
        <f t="shared" si="54"/>
        <v>0</v>
      </c>
      <c r="C631">
        <f t="shared" si="54"/>
        <v>0</v>
      </c>
      <c r="D631">
        <f t="shared" si="52"/>
        <v>0</v>
      </c>
    </row>
    <row r="632" spans="1:4" x14ac:dyDescent="0.3">
      <c r="A632">
        <f t="shared" si="54"/>
        <v>0</v>
      </c>
      <c r="B632">
        <f t="shared" si="54"/>
        <v>0</v>
      </c>
      <c r="C632">
        <f t="shared" si="54"/>
        <v>0</v>
      </c>
      <c r="D632">
        <f t="shared" si="52"/>
        <v>0</v>
      </c>
    </row>
    <row r="633" spans="1:4" x14ac:dyDescent="0.3">
      <c r="A633">
        <f t="shared" si="54"/>
        <v>0</v>
      </c>
      <c r="B633">
        <f t="shared" si="54"/>
        <v>0</v>
      </c>
      <c r="C633">
        <f t="shared" si="54"/>
        <v>0</v>
      </c>
      <c r="D633">
        <f t="shared" si="52"/>
        <v>0</v>
      </c>
    </row>
    <row r="634" spans="1:4" x14ac:dyDescent="0.3">
      <c r="A634">
        <f t="shared" si="54"/>
        <v>0</v>
      </c>
      <c r="B634">
        <f t="shared" si="54"/>
        <v>0</v>
      </c>
      <c r="C634">
        <f t="shared" si="54"/>
        <v>0</v>
      </c>
      <c r="D634">
        <f t="shared" si="52"/>
        <v>0</v>
      </c>
    </row>
    <row r="635" spans="1:4" x14ac:dyDescent="0.3">
      <c r="A635">
        <f t="shared" si="54"/>
        <v>0</v>
      </c>
      <c r="B635">
        <f t="shared" si="54"/>
        <v>0</v>
      </c>
      <c r="C635">
        <f t="shared" si="54"/>
        <v>0</v>
      </c>
      <c r="D635">
        <f t="shared" si="52"/>
        <v>0</v>
      </c>
    </row>
    <row r="636" spans="1:4" x14ac:dyDescent="0.3">
      <c r="A636">
        <f t="shared" si="54"/>
        <v>0</v>
      </c>
      <c r="B636">
        <f t="shared" si="54"/>
        <v>0</v>
      </c>
      <c r="C636">
        <f t="shared" si="54"/>
        <v>0</v>
      </c>
      <c r="D636">
        <f t="shared" si="52"/>
        <v>0</v>
      </c>
    </row>
    <row r="637" spans="1:4" x14ac:dyDescent="0.3">
      <c r="A637">
        <f t="shared" si="54"/>
        <v>0</v>
      </c>
      <c r="B637">
        <f t="shared" si="54"/>
        <v>0</v>
      </c>
      <c r="C637">
        <f t="shared" si="54"/>
        <v>0</v>
      </c>
      <c r="D637">
        <f t="shared" si="52"/>
        <v>0</v>
      </c>
    </row>
    <row r="638" spans="1:4" x14ac:dyDescent="0.3">
      <c r="A638">
        <f t="shared" si="54"/>
        <v>0</v>
      </c>
      <c r="B638">
        <f t="shared" si="54"/>
        <v>0</v>
      </c>
      <c r="C638">
        <f t="shared" si="54"/>
        <v>0</v>
      </c>
      <c r="D638">
        <f t="shared" si="52"/>
        <v>0</v>
      </c>
    </row>
    <row r="639" spans="1:4" x14ac:dyDescent="0.3">
      <c r="A639">
        <f t="shared" si="54"/>
        <v>0</v>
      </c>
      <c r="B639">
        <f t="shared" si="54"/>
        <v>0</v>
      </c>
      <c r="C639">
        <f t="shared" si="54"/>
        <v>0</v>
      </c>
      <c r="D639">
        <f t="shared" si="52"/>
        <v>0</v>
      </c>
    </row>
    <row r="640" spans="1:4" x14ac:dyDescent="0.3">
      <c r="A640">
        <f t="shared" si="54"/>
        <v>0</v>
      </c>
      <c r="B640">
        <f t="shared" si="54"/>
        <v>0</v>
      </c>
      <c r="C640">
        <f t="shared" si="54"/>
        <v>0</v>
      </c>
      <c r="D640">
        <f t="shared" si="52"/>
        <v>0</v>
      </c>
    </row>
    <row r="641" spans="1:4" x14ac:dyDescent="0.3">
      <c r="A641">
        <f t="shared" si="54"/>
        <v>0</v>
      </c>
      <c r="B641">
        <f t="shared" si="54"/>
        <v>0</v>
      </c>
      <c r="C641">
        <f t="shared" si="54"/>
        <v>0</v>
      </c>
      <c r="D641">
        <f t="shared" si="52"/>
        <v>0</v>
      </c>
    </row>
    <row r="642" spans="1:4" x14ac:dyDescent="0.3">
      <c r="A642">
        <f t="shared" si="54"/>
        <v>0</v>
      </c>
      <c r="B642">
        <f t="shared" si="54"/>
        <v>0</v>
      </c>
      <c r="C642">
        <f t="shared" si="54"/>
        <v>0</v>
      </c>
      <c r="D642">
        <f t="shared" si="52"/>
        <v>0</v>
      </c>
    </row>
    <row r="643" spans="1:4" x14ac:dyDescent="0.3">
      <c r="A643">
        <f t="shared" si="54"/>
        <v>0</v>
      </c>
      <c r="B643">
        <f t="shared" si="54"/>
        <v>0</v>
      </c>
      <c r="C643">
        <f t="shared" si="54"/>
        <v>0</v>
      </c>
      <c r="D643">
        <f t="shared" si="52"/>
        <v>0</v>
      </c>
    </row>
    <row r="644" spans="1:4" x14ac:dyDescent="0.3">
      <c r="A644">
        <f t="shared" si="54"/>
        <v>0</v>
      </c>
      <c r="B644">
        <f t="shared" si="54"/>
        <v>0</v>
      </c>
      <c r="C644">
        <f t="shared" si="54"/>
        <v>0</v>
      </c>
      <c r="D644">
        <f t="shared" si="52"/>
        <v>0</v>
      </c>
    </row>
    <row r="645" spans="1:4" x14ac:dyDescent="0.3">
      <c r="A645">
        <f t="shared" si="54"/>
        <v>0</v>
      </c>
      <c r="B645">
        <f t="shared" si="54"/>
        <v>0</v>
      </c>
      <c r="C645">
        <f t="shared" si="54"/>
        <v>0</v>
      </c>
      <c r="D645">
        <f t="shared" si="52"/>
        <v>0</v>
      </c>
    </row>
    <row r="646" spans="1:4" x14ac:dyDescent="0.3">
      <c r="A646">
        <f t="shared" si="54"/>
        <v>0</v>
      </c>
      <c r="B646">
        <f t="shared" si="54"/>
        <v>0</v>
      </c>
      <c r="C646">
        <f t="shared" si="54"/>
        <v>0</v>
      </c>
      <c r="D646">
        <f t="shared" si="52"/>
        <v>0</v>
      </c>
    </row>
    <row r="647" spans="1:4" x14ac:dyDescent="0.3">
      <c r="A647">
        <f t="shared" si="54"/>
        <v>0</v>
      </c>
      <c r="B647">
        <f t="shared" si="54"/>
        <v>0</v>
      </c>
      <c r="C647">
        <f t="shared" si="54"/>
        <v>0</v>
      </c>
      <c r="D647">
        <f t="shared" si="52"/>
        <v>0</v>
      </c>
    </row>
    <row r="648" spans="1:4" x14ac:dyDescent="0.3">
      <c r="A648">
        <f t="shared" si="54"/>
        <v>0</v>
      </c>
      <c r="B648">
        <f t="shared" si="54"/>
        <v>0</v>
      </c>
      <c r="C648">
        <f t="shared" si="54"/>
        <v>0</v>
      </c>
      <c r="D648">
        <f t="shared" si="52"/>
        <v>0</v>
      </c>
    </row>
    <row r="649" spans="1:4" x14ac:dyDescent="0.3">
      <c r="A649">
        <f t="shared" si="54"/>
        <v>0</v>
      </c>
      <c r="B649">
        <f t="shared" si="54"/>
        <v>0</v>
      </c>
      <c r="C649">
        <f t="shared" si="54"/>
        <v>0</v>
      </c>
      <c r="D649">
        <f t="shared" si="52"/>
        <v>0</v>
      </c>
    </row>
    <row r="650" spans="1:4" x14ac:dyDescent="0.3">
      <c r="A650">
        <f t="shared" ref="A650:C655" si="55">((0*(1/3.6))*(3.6))*(1/3.6)</f>
        <v>0</v>
      </c>
      <c r="B650">
        <f t="shared" si="55"/>
        <v>0</v>
      </c>
      <c r="C650">
        <f t="shared" si="55"/>
        <v>0</v>
      </c>
      <c r="D650">
        <f t="shared" si="52"/>
        <v>0</v>
      </c>
    </row>
    <row r="651" spans="1:4" x14ac:dyDescent="0.3">
      <c r="A651">
        <f t="shared" si="55"/>
        <v>0</v>
      </c>
      <c r="B651">
        <f t="shared" si="55"/>
        <v>0</v>
      </c>
      <c r="C651">
        <f t="shared" si="55"/>
        <v>0</v>
      </c>
      <c r="D651">
        <f t="shared" si="52"/>
        <v>0</v>
      </c>
    </row>
    <row r="652" spans="1:4" x14ac:dyDescent="0.3">
      <c r="A652">
        <f t="shared" si="55"/>
        <v>0</v>
      </c>
      <c r="B652">
        <f t="shared" si="55"/>
        <v>0</v>
      </c>
      <c r="C652">
        <f t="shared" si="55"/>
        <v>0</v>
      </c>
      <c r="D652">
        <f t="shared" si="52"/>
        <v>0</v>
      </c>
    </row>
    <row r="653" spans="1:4" x14ac:dyDescent="0.3">
      <c r="A653">
        <f t="shared" si="55"/>
        <v>0</v>
      </c>
      <c r="B653">
        <f t="shared" si="55"/>
        <v>0</v>
      </c>
      <c r="C653">
        <f t="shared" si="55"/>
        <v>0</v>
      </c>
      <c r="D653">
        <f t="shared" si="52"/>
        <v>0</v>
      </c>
    </row>
    <row r="654" spans="1:4" x14ac:dyDescent="0.3">
      <c r="A654">
        <f t="shared" si="55"/>
        <v>0</v>
      </c>
      <c r="B654">
        <f t="shared" si="55"/>
        <v>0</v>
      </c>
      <c r="C654">
        <f t="shared" si="55"/>
        <v>0</v>
      </c>
      <c r="D654">
        <f t="shared" si="52"/>
        <v>0</v>
      </c>
    </row>
    <row r="655" spans="1:4" x14ac:dyDescent="0.3">
      <c r="A655">
        <f t="shared" si="55"/>
        <v>0</v>
      </c>
      <c r="B655">
        <f t="shared" si="55"/>
        <v>0</v>
      </c>
      <c r="C655">
        <f t="shared" si="55"/>
        <v>0</v>
      </c>
      <c r="D655">
        <f t="shared" si="52"/>
        <v>0</v>
      </c>
    </row>
    <row r="656" spans="1:4" x14ac:dyDescent="0.3">
      <c r="A656">
        <v>0</v>
      </c>
      <c r="B656">
        <f>111*(1/3.6)</f>
        <v>30.833333333333336</v>
      </c>
      <c r="C656">
        <f>143*(1/3.6)</f>
        <v>39.722222222222221</v>
      </c>
      <c r="D656">
        <f t="shared" si="52"/>
        <v>0</v>
      </c>
    </row>
    <row r="657" spans="1:4" x14ac:dyDescent="0.3">
      <c r="A657">
        <f t="shared" ref="A657:C676" si="56">((0*(1/3.6))*(3.6))*(1/3.6)</f>
        <v>0</v>
      </c>
      <c r="B657">
        <f t="shared" si="56"/>
        <v>0</v>
      </c>
      <c r="C657">
        <f t="shared" si="56"/>
        <v>0</v>
      </c>
      <c r="D657">
        <f t="shared" si="52"/>
        <v>0</v>
      </c>
    </row>
    <row r="658" spans="1:4" x14ac:dyDescent="0.3">
      <c r="A658">
        <f t="shared" si="56"/>
        <v>0</v>
      </c>
      <c r="B658">
        <f t="shared" si="56"/>
        <v>0</v>
      </c>
      <c r="C658">
        <f t="shared" si="56"/>
        <v>0</v>
      </c>
      <c r="D658">
        <f t="shared" si="52"/>
        <v>0</v>
      </c>
    </row>
    <row r="659" spans="1:4" x14ac:dyDescent="0.3">
      <c r="A659">
        <f t="shared" si="56"/>
        <v>0</v>
      </c>
      <c r="B659">
        <f t="shared" si="56"/>
        <v>0</v>
      </c>
      <c r="C659">
        <f t="shared" si="56"/>
        <v>0</v>
      </c>
      <c r="D659">
        <f t="shared" ref="D659:D722" si="57">((0*(1/3.6))*(3.6))*(1/3.6)</f>
        <v>0</v>
      </c>
    </row>
    <row r="660" spans="1:4" x14ac:dyDescent="0.3">
      <c r="A660">
        <f t="shared" si="56"/>
        <v>0</v>
      </c>
      <c r="B660">
        <f t="shared" si="56"/>
        <v>0</v>
      </c>
      <c r="C660">
        <f t="shared" si="56"/>
        <v>0</v>
      </c>
      <c r="D660">
        <f t="shared" si="57"/>
        <v>0</v>
      </c>
    </row>
    <row r="661" spans="1:4" x14ac:dyDescent="0.3">
      <c r="A661">
        <f t="shared" si="56"/>
        <v>0</v>
      </c>
      <c r="B661">
        <f t="shared" si="56"/>
        <v>0</v>
      </c>
      <c r="C661">
        <f t="shared" si="56"/>
        <v>0</v>
      </c>
      <c r="D661">
        <f t="shared" si="57"/>
        <v>0</v>
      </c>
    </row>
    <row r="662" spans="1:4" x14ac:dyDescent="0.3">
      <c r="A662">
        <f t="shared" si="56"/>
        <v>0</v>
      </c>
      <c r="B662">
        <f t="shared" si="56"/>
        <v>0</v>
      </c>
      <c r="C662">
        <f t="shared" si="56"/>
        <v>0</v>
      </c>
      <c r="D662">
        <f t="shared" si="57"/>
        <v>0</v>
      </c>
    </row>
    <row r="663" spans="1:4" x14ac:dyDescent="0.3">
      <c r="A663">
        <f t="shared" si="56"/>
        <v>0</v>
      </c>
      <c r="B663">
        <f t="shared" si="56"/>
        <v>0</v>
      </c>
      <c r="C663">
        <f t="shared" si="56"/>
        <v>0</v>
      </c>
      <c r="D663">
        <f t="shared" si="57"/>
        <v>0</v>
      </c>
    </row>
    <row r="664" spans="1:4" x14ac:dyDescent="0.3">
      <c r="A664">
        <f t="shared" si="56"/>
        <v>0</v>
      </c>
      <c r="B664">
        <f t="shared" si="56"/>
        <v>0</v>
      </c>
      <c r="C664">
        <f t="shared" si="56"/>
        <v>0</v>
      </c>
      <c r="D664">
        <f t="shared" si="57"/>
        <v>0</v>
      </c>
    </row>
    <row r="665" spans="1:4" x14ac:dyDescent="0.3">
      <c r="A665">
        <f t="shared" si="56"/>
        <v>0</v>
      </c>
      <c r="B665">
        <f t="shared" si="56"/>
        <v>0</v>
      </c>
      <c r="C665">
        <f t="shared" si="56"/>
        <v>0</v>
      </c>
      <c r="D665">
        <f t="shared" si="57"/>
        <v>0</v>
      </c>
    </row>
    <row r="666" spans="1:4" x14ac:dyDescent="0.3">
      <c r="A666">
        <f t="shared" si="56"/>
        <v>0</v>
      </c>
      <c r="B666">
        <f t="shared" si="56"/>
        <v>0</v>
      </c>
      <c r="C666">
        <f t="shared" si="56"/>
        <v>0</v>
      </c>
      <c r="D666">
        <f t="shared" si="57"/>
        <v>0</v>
      </c>
    </row>
    <row r="667" spans="1:4" x14ac:dyDescent="0.3">
      <c r="A667">
        <f t="shared" si="56"/>
        <v>0</v>
      </c>
      <c r="B667">
        <f t="shared" si="56"/>
        <v>0</v>
      </c>
      <c r="C667">
        <f t="shared" si="56"/>
        <v>0</v>
      </c>
      <c r="D667">
        <f t="shared" si="57"/>
        <v>0</v>
      </c>
    </row>
    <row r="668" spans="1:4" x14ac:dyDescent="0.3">
      <c r="A668">
        <f t="shared" si="56"/>
        <v>0</v>
      </c>
      <c r="B668">
        <f t="shared" si="56"/>
        <v>0</v>
      </c>
      <c r="C668">
        <f t="shared" si="56"/>
        <v>0</v>
      </c>
      <c r="D668">
        <f t="shared" si="57"/>
        <v>0</v>
      </c>
    </row>
    <row r="669" spans="1:4" x14ac:dyDescent="0.3">
      <c r="A669">
        <f t="shared" si="56"/>
        <v>0</v>
      </c>
      <c r="B669">
        <f t="shared" si="56"/>
        <v>0</v>
      </c>
      <c r="C669">
        <f t="shared" si="56"/>
        <v>0</v>
      </c>
      <c r="D669">
        <f t="shared" si="57"/>
        <v>0</v>
      </c>
    </row>
    <row r="670" spans="1:4" x14ac:dyDescent="0.3">
      <c r="A670">
        <f t="shared" si="56"/>
        <v>0</v>
      </c>
      <c r="B670">
        <f t="shared" si="56"/>
        <v>0</v>
      </c>
      <c r="C670">
        <f t="shared" si="56"/>
        <v>0</v>
      </c>
      <c r="D670">
        <f t="shared" si="57"/>
        <v>0</v>
      </c>
    </row>
    <row r="671" spans="1:4" x14ac:dyDescent="0.3">
      <c r="A671">
        <f t="shared" si="56"/>
        <v>0</v>
      </c>
      <c r="B671">
        <f t="shared" si="56"/>
        <v>0</v>
      </c>
      <c r="C671">
        <f t="shared" si="56"/>
        <v>0</v>
      </c>
      <c r="D671">
        <f t="shared" si="57"/>
        <v>0</v>
      </c>
    </row>
    <row r="672" spans="1:4" x14ac:dyDescent="0.3">
      <c r="A672">
        <f t="shared" si="56"/>
        <v>0</v>
      </c>
      <c r="B672">
        <f t="shared" si="56"/>
        <v>0</v>
      </c>
      <c r="C672">
        <f t="shared" si="56"/>
        <v>0</v>
      </c>
      <c r="D672">
        <f t="shared" si="57"/>
        <v>0</v>
      </c>
    </row>
    <row r="673" spans="1:4" x14ac:dyDescent="0.3">
      <c r="A673">
        <f t="shared" si="56"/>
        <v>0</v>
      </c>
      <c r="B673">
        <f t="shared" si="56"/>
        <v>0</v>
      </c>
      <c r="C673">
        <f t="shared" si="56"/>
        <v>0</v>
      </c>
      <c r="D673">
        <f t="shared" si="57"/>
        <v>0</v>
      </c>
    </row>
    <row r="674" spans="1:4" x14ac:dyDescent="0.3">
      <c r="A674">
        <f t="shared" si="56"/>
        <v>0</v>
      </c>
      <c r="B674">
        <f t="shared" si="56"/>
        <v>0</v>
      </c>
      <c r="C674">
        <f t="shared" si="56"/>
        <v>0</v>
      </c>
      <c r="D674">
        <f t="shared" si="57"/>
        <v>0</v>
      </c>
    </row>
    <row r="675" spans="1:4" x14ac:dyDescent="0.3">
      <c r="A675">
        <f t="shared" si="56"/>
        <v>0</v>
      </c>
      <c r="B675">
        <f t="shared" si="56"/>
        <v>0</v>
      </c>
      <c r="C675">
        <f t="shared" si="56"/>
        <v>0</v>
      </c>
      <c r="D675">
        <f t="shared" si="57"/>
        <v>0</v>
      </c>
    </row>
    <row r="676" spans="1:4" x14ac:dyDescent="0.3">
      <c r="A676">
        <f t="shared" si="56"/>
        <v>0</v>
      </c>
      <c r="B676">
        <f t="shared" si="56"/>
        <v>0</v>
      </c>
      <c r="C676">
        <f t="shared" si="56"/>
        <v>0</v>
      </c>
      <c r="D676">
        <f t="shared" si="57"/>
        <v>0</v>
      </c>
    </row>
    <row r="677" spans="1:4" x14ac:dyDescent="0.3">
      <c r="A677">
        <f t="shared" ref="A677:C696" si="58">((0*(1/3.6))*(3.6))*(1/3.6)</f>
        <v>0</v>
      </c>
      <c r="B677">
        <f t="shared" si="58"/>
        <v>0</v>
      </c>
      <c r="C677">
        <f t="shared" si="58"/>
        <v>0</v>
      </c>
      <c r="D677">
        <f t="shared" si="57"/>
        <v>0</v>
      </c>
    </row>
    <row r="678" spans="1:4" x14ac:dyDescent="0.3">
      <c r="A678">
        <f t="shared" si="58"/>
        <v>0</v>
      </c>
      <c r="B678">
        <f t="shared" si="58"/>
        <v>0</v>
      </c>
      <c r="C678">
        <f t="shared" si="58"/>
        <v>0</v>
      </c>
      <c r="D678">
        <f t="shared" si="57"/>
        <v>0</v>
      </c>
    </row>
    <row r="679" spans="1:4" x14ac:dyDescent="0.3">
      <c r="A679">
        <f t="shared" si="58"/>
        <v>0</v>
      </c>
      <c r="B679">
        <f t="shared" si="58"/>
        <v>0</v>
      </c>
      <c r="C679">
        <f t="shared" si="58"/>
        <v>0</v>
      </c>
      <c r="D679">
        <f t="shared" si="57"/>
        <v>0</v>
      </c>
    </row>
    <row r="680" spans="1:4" x14ac:dyDescent="0.3">
      <c r="A680">
        <f t="shared" si="58"/>
        <v>0</v>
      </c>
      <c r="B680">
        <f t="shared" si="58"/>
        <v>0</v>
      </c>
      <c r="C680">
        <f t="shared" si="58"/>
        <v>0</v>
      </c>
      <c r="D680">
        <f t="shared" si="57"/>
        <v>0</v>
      </c>
    </row>
    <row r="681" spans="1:4" x14ac:dyDescent="0.3">
      <c r="A681">
        <f t="shared" si="58"/>
        <v>0</v>
      </c>
      <c r="B681">
        <f t="shared" si="58"/>
        <v>0</v>
      </c>
      <c r="C681">
        <f t="shared" si="58"/>
        <v>0</v>
      </c>
      <c r="D681">
        <f t="shared" si="57"/>
        <v>0</v>
      </c>
    </row>
    <row r="682" spans="1:4" x14ac:dyDescent="0.3">
      <c r="A682">
        <f t="shared" si="58"/>
        <v>0</v>
      </c>
      <c r="B682">
        <f t="shared" si="58"/>
        <v>0</v>
      </c>
      <c r="C682">
        <f t="shared" si="58"/>
        <v>0</v>
      </c>
      <c r="D682">
        <f t="shared" si="57"/>
        <v>0</v>
      </c>
    </row>
    <row r="683" spans="1:4" x14ac:dyDescent="0.3">
      <c r="A683">
        <f t="shared" si="58"/>
        <v>0</v>
      </c>
      <c r="B683">
        <f t="shared" si="58"/>
        <v>0</v>
      </c>
      <c r="C683">
        <f t="shared" si="58"/>
        <v>0</v>
      </c>
      <c r="D683">
        <f t="shared" si="57"/>
        <v>0</v>
      </c>
    </row>
    <row r="684" spans="1:4" x14ac:dyDescent="0.3">
      <c r="A684">
        <f t="shared" si="58"/>
        <v>0</v>
      </c>
      <c r="B684">
        <f t="shared" si="58"/>
        <v>0</v>
      </c>
      <c r="C684">
        <f t="shared" si="58"/>
        <v>0</v>
      </c>
      <c r="D684">
        <f t="shared" si="57"/>
        <v>0</v>
      </c>
    </row>
    <row r="685" spans="1:4" x14ac:dyDescent="0.3">
      <c r="A685">
        <f t="shared" si="58"/>
        <v>0</v>
      </c>
      <c r="B685">
        <f t="shared" si="58"/>
        <v>0</v>
      </c>
      <c r="C685">
        <f t="shared" si="58"/>
        <v>0</v>
      </c>
      <c r="D685">
        <f t="shared" si="57"/>
        <v>0</v>
      </c>
    </row>
    <row r="686" spans="1:4" x14ac:dyDescent="0.3">
      <c r="A686">
        <f t="shared" si="58"/>
        <v>0</v>
      </c>
      <c r="B686">
        <f t="shared" si="58"/>
        <v>0</v>
      </c>
      <c r="C686">
        <f t="shared" si="58"/>
        <v>0</v>
      </c>
      <c r="D686">
        <f t="shared" si="57"/>
        <v>0</v>
      </c>
    </row>
    <row r="687" spans="1:4" x14ac:dyDescent="0.3">
      <c r="A687">
        <f t="shared" si="58"/>
        <v>0</v>
      </c>
      <c r="B687">
        <f t="shared" si="58"/>
        <v>0</v>
      </c>
      <c r="C687">
        <f t="shared" si="58"/>
        <v>0</v>
      </c>
      <c r="D687">
        <f t="shared" si="57"/>
        <v>0</v>
      </c>
    </row>
    <row r="688" spans="1:4" x14ac:dyDescent="0.3">
      <c r="A688">
        <f t="shared" si="58"/>
        <v>0</v>
      </c>
      <c r="B688">
        <f t="shared" si="58"/>
        <v>0</v>
      </c>
      <c r="C688">
        <f t="shared" si="58"/>
        <v>0</v>
      </c>
      <c r="D688">
        <f t="shared" si="57"/>
        <v>0</v>
      </c>
    </row>
    <row r="689" spans="1:4" x14ac:dyDescent="0.3">
      <c r="A689">
        <f t="shared" si="58"/>
        <v>0</v>
      </c>
      <c r="B689">
        <f t="shared" si="58"/>
        <v>0</v>
      </c>
      <c r="C689">
        <f t="shared" si="58"/>
        <v>0</v>
      </c>
      <c r="D689">
        <f t="shared" si="57"/>
        <v>0</v>
      </c>
    </row>
    <row r="690" spans="1:4" x14ac:dyDescent="0.3">
      <c r="A690">
        <f t="shared" si="58"/>
        <v>0</v>
      </c>
      <c r="B690">
        <f t="shared" si="58"/>
        <v>0</v>
      </c>
      <c r="C690">
        <f t="shared" si="58"/>
        <v>0</v>
      </c>
      <c r="D690">
        <f t="shared" si="57"/>
        <v>0</v>
      </c>
    </row>
    <row r="691" spans="1:4" x14ac:dyDescent="0.3">
      <c r="A691">
        <f t="shared" si="58"/>
        <v>0</v>
      </c>
      <c r="B691">
        <f t="shared" si="58"/>
        <v>0</v>
      </c>
      <c r="C691">
        <f t="shared" si="58"/>
        <v>0</v>
      </c>
      <c r="D691">
        <f t="shared" si="57"/>
        <v>0</v>
      </c>
    </row>
    <row r="692" spans="1:4" x14ac:dyDescent="0.3">
      <c r="A692">
        <f t="shared" si="58"/>
        <v>0</v>
      </c>
      <c r="B692">
        <f t="shared" si="58"/>
        <v>0</v>
      </c>
      <c r="C692">
        <f t="shared" si="58"/>
        <v>0</v>
      </c>
      <c r="D692">
        <f t="shared" si="57"/>
        <v>0</v>
      </c>
    </row>
    <row r="693" spans="1:4" x14ac:dyDescent="0.3">
      <c r="A693">
        <f t="shared" si="58"/>
        <v>0</v>
      </c>
      <c r="B693">
        <f t="shared" si="58"/>
        <v>0</v>
      </c>
      <c r="C693">
        <f t="shared" si="58"/>
        <v>0</v>
      </c>
      <c r="D693">
        <f t="shared" si="57"/>
        <v>0</v>
      </c>
    </row>
    <row r="694" spans="1:4" x14ac:dyDescent="0.3">
      <c r="A694">
        <f t="shared" si="58"/>
        <v>0</v>
      </c>
      <c r="B694">
        <f t="shared" si="58"/>
        <v>0</v>
      </c>
      <c r="C694">
        <f t="shared" si="58"/>
        <v>0</v>
      </c>
      <c r="D694">
        <f t="shared" si="57"/>
        <v>0</v>
      </c>
    </row>
    <row r="695" spans="1:4" x14ac:dyDescent="0.3">
      <c r="A695">
        <f t="shared" si="58"/>
        <v>0</v>
      </c>
      <c r="B695">
        <f t="shared" si="58"/>
        <v>0</v>
      </c>
      <c r="C695">
        <f t="shared" si="58"/>
        <v>0</v>
      </c>
      <c r="D695">
        <f t="shared" si="57"/>
        <v>0</v>
      </c>
    </row>
    <row r="696" spans="1:4" x14ac:dyDescent="0.3">
      <c r="A696">
        <f t="shared" si="58"/>
        <v>0</v>
      </c>
      <c r="B696">
        <f t="shared" si="58"/>
        <v>0</v>
      </c>
      <c r="C696">
        <f t="shared" si="58"/>
        <v>0</v>
      </c>
      <c r="D696">
        <f t="shared" si="57"/>
        <v>0</v>
      </c>
    </row>
    <row r="697" spans="1:4" x14ac:dyDescent="0.3">
      <c r="A697">
        <f t="shared" ref="A697:C716" si="59">((0*(1/3.6))*(3.6))*(1/3.6)</f>
        <v>0</v>
      </c>
      <c r="B697">
        <f t="shared" si="59"/>
        <v>0</v>
      </c>
      <c r="C697">
        <f t="shared" si="59"/>
        <v>0</v>
      </c>
      <c r="D697">
        <f t="shared" si="57"/>
        <v>0</v>
      </c>
    </row>
    <row r="698" spans="1:4" x14ac:dyDescent="0.3">
      <c r="A698">
        <f t="shared" si="59"/>
        <v>0</v>
      </c>
      <c r="B698">
        <f t="shared" si="59"/>
        <v>0</v>
      </c>
      <c r="C698">
        <f t="shared" si="59"/>
        <v>0</v>
      </c>
      <c r="D698">
        <f t="shared" si="57"/>
        <v>0</v>
      </c>
    </row>
    <row r="699" spans="1:4" x14ac:dyDescent="0.3">
      <c r="A699">
        <f t="shared" si="59"/>
        <v>0</v>
      </c>
      <c r="B699">
        <f t="shared" si="59"/>
        <v>0</v>
      </c>
      <c r="C699">
        <f t="shared" si="59"/>
        <v>0</v>
      </c>
      <c r="D699">
        <f t="shared" si="57"/>
        <v>0</v>
      </c>
    </row>
    <row r="700" spans="1:4" x14ac:dyDescent="0.3">
      <c r="A700">
        <f t="shared" si="59"/>
        <v>0</v>
      </c>
      <c r="B700">
        <f t="shared" si="59"/>
        <v>0</v>
      </c>
      <c r="C700">
        <f t="shared" si="59"/>
        <v>0</v>
      </c>
      <c r="D700">
        <f t="shared" si="57"/>
        <v>0</v>
      </c>
    </row>
    <row r="701" spans="1:4" x14ac:dyDescent="0.3">
      <c r="A701">
        <f t="shared" si="59"/>
        <v>0</v>
      </c>
      <c r="B701">
        <f t="shared" si="59"/>
        <v>0</v>
      </c>
      <c r="C701">
        <f t="shared" si="59"/>
        <v>0</v>
      </c>
      <c r="D701">
        <f t="shared" si="57"/>
        <v>0</v>
      </c>
    </row>
    <row r="702" spans="1:4" x14ac:dyDescent="0.3">
      <c r="A702">
        <f t="shared" si="59"/>
        <v>0</v>
      </c>
      <c r="B702">
        <f t="shared" si="59"/>
        <v>0</v>
      </c>
      <c r="C702">
        <f t="shared" si="59"/>
        <v>0</v>
      </c>
      <c r="D702">
        <f t="shared" si="57"/>
        <v>0</v>
      </c>
    </row>
    <row r="703" spans="1:4" x14ac:dyDescent="0.3">
      <c r="A703">
        <f t="shared" si="59"/>
        <v>0</v>
      </c>
      <c r="B703">
        <f t="shared" si="59"/>
        <v>0</v>
      </c>
      <c r="C703">
        <f t="shared" si="59"/>
        <v>0</v>
      </c>
      <c r="D703">
        <f t="shared" si="57"/>
        <v>0</v>
      </c>
    </row>
    <row r="704" spans="1:4" x14ac:dyDescent="0.3">
      <c r="A704">
        <f t="shared" si="59"/>
        <v>0</v>
      </c>
      <c r="B704">
        <f t="shared" si="59"/>
        <v>0</v>
      </c>
      <c r="C704">
        <f t="shared" si="59"/>
        <v>0</v>
      </c>
      <c r="D704">
        <f t="shared" si="57"/>
        <v>0</v>
      </c>
    </row>
    <row r="705" spans="1:4" x14ac:dyDescent="0.3">
      <c r="A705">
        <f t="shared" si="59"/>
        <v>0</v>
      </c>
      <c r="B705">
        <f t="shared" si="59"/>
        <v>0</v>
      </c>
      <c r="C705">
        <f t="shared" si="59"/>
        <v>0</v>
      </c>
      <c r="D705">
        <f t="shared" si="57"/>
        <v>0</v>
      </c>
    </row>
    <row r="706" spans="1:4" x14ac:dyDescent="0.3">
      <c r="A706">
        <f t="shared" si="59"/>
        <v>0</v>
      </c>
      <c r="B706">
        <f t="shared" si="59"/>
        <v>0</v>
      </c>
      <c r="C706">
        <f t="shared" si="59"/>
        <v>0</v>
      </c>
      <c r="D706">
        <f t="shared" si="57"/>
        <v>0</v>
      </c>
    </row>
    <row r="707" spans="1:4" x14ac:dyDescent="0.3">
      <c r="A707">
        <f t="shared" si="59"/>
        <v>0</v>
      </c>
      <c r="B707">
        <f t="shared" si="59"/>
        <v>0</v>
      </c>
      <c r="C707">
        <f t="shared" si="59"/>
        <v>0</v>
      </c>
      <c r="D707">
        <f t="shared" si="57"/>
        <v>0</v>
      </c>
    </row>
    <row r="708" spans="1:4" x14ac:dyDescent="0.3">
      <c r="A708">
        <f t="shared" si="59"/>
        <v>0</v>
      </c>
      <c r="B708">
        <f t="shared" si="59"/>
        <v>0</v>
      </c>
      <c r="C708">
        <f t="shared" si="59"/>
        <v>0</v>
      </c>
      <c r="D708">
        <f t="shared" si="57"/>
        <v>0</v>
      </c>
    </row>
    <row r="709" spans="1:4" x14ac:dyDescent="0.3">
      <c r="A709">
        <f t="shared" si="59"/>
        <v>0</v>
      </c>
      <c r="B709">
        <f t="shared" si="59"/>
        <v>0</v>
      </c>
      <c r="C709">
        <f t="shared" si="59"/>
        <v>0</v>
      </c>
      <c r="D709">
        <f t="shared" si="57"/>
        <v>0</v>
      </c>
    </row>
    <row r="710" spans="1:4" x14ac:dyDescent="0.3">
      <c r="A710">
        <f t="shared" si="59"/>
        <v>0</v>
      </c>
      <c r="B710">
        <f t="shared" si="59"/>
        <v>0</v>
      </c>
      <c r="C710">
        <f t="shared" si="59"/>
        <v>0</v>
      </c>
      <c r="D710">
        <f t="shared" si="57"/>
        <v>0</v>
      </c>
    </row>
    <row r="711" spans="1:4" x14ac:dyDescent="0.3">
      <c r="A711">
        <f t="shared" si="59"/>
        <v>0</v>
      </c>
      <c r="B711">
        <f t="shared" si="59"/>
        <v>0</v>
      </c>
      <c r="C711">
        <f t="shared" si="59"/>
        <v>0</v>
      </c>
      <c r="D711">
        <f t="shared" si="57"/>
        <v>0</v>
      </c>
    </row>
    <row r="712" spans="1:4" x14ac:dyDescent="0.3">
      <c r="A712">
        <f t="shared" si="59"/>
        <v>0</v>
      </c>
      <c r="B712">
        <f t="shared" si="59"/>
        <v>0</v>
      </c>
      <c r="C712">
        <f t="shared" si="59"/>
        <v>0</v>
      </c>
      <c r="D712">
        <f t="shared" si="57"/>
        <v>0</v>
      </c>
    </row>
    <row r="713" spans="1:4" x14ac:dyDescent="0.3">
      <c r="A713">
        <f t="shared" si="59"/>
        <v>0</v>
      </c>
      <c r="B713">
        <f t="shared" si="59"/>
        <v>0</v>
      </c>
      <c r="C713">
        <f t="shared" si="59"/>
        <v>0</v>
      </c>
      <c r="D713">
        <f t="shared" si="57"/>
        <v>0</v>
      </c>
    </row>
    <row r="714" spans="1:4" x14ac:dyDescent="0.3">
      <c r="A714">
        <f t="shared" si="59"/>
        <v>0</v>
      </c>
      <c r="B714">
        <f t="shared" si="59"/>
        <v>0</v>
      </c>
      <c r="C714">
        <f t="shared" si="59"/>
        <v>0</v>
      </c>
      <c r="D714">
        <f t="shared" si="57"/>
        <v>0</v>
      </c>
    </row>
    <row r="715" spans="1:4" x14ac:dyDescent="0.3">
      <c r="A715">
        <f t="shared" si="59"/>
        <v>0</v>
      </c>
      <c r="B715">
        <f t="shared" si="59"/>
        <v>0</v>
      </c>
      <c r="C715">
        <f t="shared" si="59"/>
        <v>0</v>
      </c>
      <c r="D715">
        <f t="shared" si="57"/>
        <v>0</v>
      </c>
    </row>
    <row r="716" spans="1:4" x14ac:dyDescent="0.3">
      <c r="A716">
        <f t="shared" si="59"/>
        <v>0</v>
      </c>
      <c r="B716">
        <f t="shared" si="59"/>
        <v>0</v>
      </c>
      <c r="C716">
        <f t="shared" si="59"/>
        <v>0</v>
      </c>
      <c r="D716">
        <f t="shared" si="57"/>
        <v>0</v>
      </c>
    </row>
    <row r="717" spans="1:4" x14ac:dyDescent="0.3">
      <c r="A717">
        <f t="shared" ref="A717:C736" si="60">((0*(1/3.6))*(3.6))*(1/3.6)</f>
        <v>0</v>
      </c>
      <c r="B717">
        <f t="shared" si="60"/>
        <v>0</v>
      </c>
      <c r="C717">
        <f t="shared" si="60"/>
        <v>0</v>
      </c>
      <c r="D717">
        <f t="shared" si="57"/>
        <v>0</v>
      </c>
    </row>
    <row r="718" spans="1:4" x14ac:dyDescent="0.3">
      <c r="A718">
        <f t="shared" si="60"/>
        <v>0</v>
      </c>
      <c r="B718">
        <f t="shared" si="60"/>
        <v>0</v>
      </c>
      <c r="C718">
        <f t="shared" si="60"/>
        <v>0</v>
      </c>
      <c r="D718">
        <f t="shared" si="57"/>
        <v>0</v>
      </c>
    </row>
    <row r="719" spans="1:4" x14ac:dyDescent="0.3">
      <c r="A719">
        <f t="shared" si="60"/>
        <v>0</v>
      </c>
      <c r="B719">
        <f t="shared" si="60"/>
        <v>0</v>
      </c>
      <c r="C719">
        <f t="shared" si="60"/>
        <v>0</v>
      </c>
      <c r="D719">
        <f t="shared" si="57"/>
        <v>0</v>
      </c>
    </row>
    <row r="720" spans="1:4" x14ac:dyDescent="0.3">
      <c r="A720">
        <f t="shared" si="60"/>
        <v>0</v>
      </c>
      <c r="B720">
        <f t="shared" si="60"/>
        <v>0</v>
      </c>
      <c r="C720">
        <f t="shared" si="60"/>
        <v>0</v>
      </c>
      <c r="D720">
        <f t="shared" si="57"/>
        <v>0</v>
      </c>
    </row>
    <row r="721" spans="1:4" x14ac:dyDescent="0.3">
      <c r="A721">
        <f t="shared" si="60"/>
        <v>0</v>
      </c>
      <c r="B721">
        <f t="shared" si="60"/>
        <v>0</v>
      </c>
      <c r="C721">
        <f t="shared" si="60"/>
        <v>0</v>
      </c>
      <c r="D721">
        <f t="shared" si="57"/>
        <v>0</v>
      </c>
    </row>
    <row r="722" spans="1:4" x14ac:dyDescent="0.3">
      <c r="A722">
        <f t="shared" si="60"/>
        <v>0</v>
      </c>
      <c r="B722">
        <f t="shared" si="60"/>
        <v>0</v>
      </c>
      <c r="C722">
        <f t="shared" si="60"/>
        <v>0</v>
      </c>
      <c r="D722">
        <f t="shared" si="57"/>
        <v>0</v>
      </c>
    </row>
    <row r="723" spans="1:4" x14ac:dyDescent="0.3">
      <c r="A723">
        <f t="shared" si="60"/>
        <v>0</v>
      </c>
      <c r="B723">
        <f t="shared" si="60"/>
        <v>0</v>
      </c>
      <c r="C723">
        <f t="shared" si="60"/>
        <v>0</v>
      </c>
      <c r="D723">
        <f t="shared" ref="D723:D786" si="61">((0*(1/3.6))*(3.6))*(1/3.6)</f>
        <v>0</v>
      </c>
    </row>
    <row r="724" spans="1:4" x14ac:dyDescent="0.3">
      <c r="A724">
        <f t="shared" si="60"/>
        <v>0</v>
      </c>
      <c r="B724">
        <f t="shared" si="60"/>
        <v>0</v>
      </c>
      <c r="C724">
        <f t="shared" si="60"/>
        <v>0</v>
      </c>
      <c r="D724">
        <f t="shared" si="61"/>
        <v>0</v>
      </c>
    </row>
    <row r="725" spans="1:4" x14ac:dyDescent="0.3">
      <c r="A725">
        <f t="shared" si="60"/>
        <v>0</v>
      </c>
      <c r="B725">
        <f t="shared" si="60"/>
        <v>0</v>
      </c>
      <c r="C725">
        <f t="shared" si="60"/>
        <v>0</v>
      </c>
      <c r="D725">
        <f t="shared" si="61"/>
        <v>0</v>
      </c>
    </row>
    <row r="726" spans="1:4" x14ac:dyDescent="0.3">
      <c r="A726">
        <f t="shared" si="60"/>
        <v>0</v>
      </c>
      <c r="B726">
        <f t="shared" si="60"/>
        <v>0</v>
      </c>
      <c r="C726">
        <f t="shared" si="60"/>
        <v>0</v>
      </c>
      <c r="D726">
        <f t="shared" si="61"/>
        <v>0</v>
      </c>
    </row>
    <row r="727" spans="1:4" x14ac:dyDescent="0.3">
      <c r="A727">
        <f t="shared" si="60"/>
        <v>0</v>
      </c>
      <c r="B727">
        <f t="shared" si="60"/>
        <v>0</v>
      </c>
      <c r="C727">
        <f t="shared" si="60"/>
        <v>0</v>
      </c>
      <c r="D727">
        <f t="shared" si="61"/>
        <v>0</v>
      </c>
    </row>
    <row r="728" spans="1:4" x14ac:dyDescent="0.3">
      <c r="A728">
        <f t="shared" si="60"/>
        <v>0</v>
      </c>
      <c r="B728">
        <f t="shared" si="60"/>
        <v>0</v>
      </c>
      <c r="C728">
        <f t="shared" si="60"/>
        <v>0</v>
      </c>
      <c r="D728">
        <f t="shared" si="61"/>
        <v>0</v>
      </c>
    </row>
    <row r="729" spans="1:4" x14ac:dyDescent="0.3">
      <c r="A729">
        <f t="shared" si="60"/>
        <v>0</v>
      </c>
      <c r="B729">
        <f t="shared" si="60"/>
        <v>0</v>
      </c>
      <c r="C729">
        <f t="shared" si="60"/>
        <v>0</v>
      </c>
      <c r="D729">
        <f t="shared" si="61"/>
        <v>0</v>
      </c>
    </row>
    <row r="730" spans="1:4" x14ac:dyDescent="0.3">
      <c r="A730">
        <f t="shared" si="60"/>
        <v>0</v>
      </c>
      <c r="B730">
        <f t="shared" si="60"/>
        <v>0</v>
      </c>
      <c r="C730">
        <f t="shared" si="60"/>
        <v>0</v>
      </c>
      <c r="D730">
        <f t="shared" si="61"/>
        <v>0</v>
      </c>
    </row>
    <row r="731" spans="1:4" x14ac:dyDescent="0.3">
      <c r="A731">
        <f t="shared" si="60"/>
        <v>0</v>
      </c>
      <c r="B731">
        <f t="shared" si="60"/>
        <v>0</v>
      </c>
      <c r="C731">
        <f t="shared" si="60"/>
        <v>0</v>
      </c>
      <c r="D731">
        <f t="shared" si="61"/>
        <v>0</v>
      </c>
    </row>
    <row r="732" spans="1:4" x14ac:dyDescent="0.3">
      <c r="A732">
        <f t="shared" si="60"/>
        <v>0</v>
      </c>
      <c r="B732">
        <f t="shared" si="60"/>
        <v>0</v>
      </c>
      <c r="C732">
        <f t="shared" si="60"/>
        <v>0</v>
      </c>
      <c r="D732">
        <f t="shared" si="61"/>
        <v>0</v>
      </c>
    </row>
    <row r="733" spans="1:4" x14ac:dyDescent="0.3">
      <c r="A733">
        <f t="shared" si="60"/>
        <v>0</v>
      </c>
      <c r="B733">
        <f t="shared" si="60"/>
        <v>0</v>
      </c>
      <c r="C733">
        <f t="shared" si="60"/>
        <v>0</v>
      </c>
      <c r="D733">
        <f t="shared" si="61"/>
        <v>0</v>
      </c>
    </row>
    <row r="734" spans="1:4" x14ac:dyDescent="0.3">
      <c r="A734">
        <f t="shared" si="60"/>
        <v>0</v>
      </c>
      <c r="B734">
        <f t="shared" si="60"/>
        <v>0</v>
      </c>
      <c r="C734">
        <f t="shared" si="60"/>
        <v>0</v>
      </c>
      <c r="D734">
        <f t="shared" si="61"/>
        <v>0</v>
      </c>
    </row>
    <row r="735" spans="1:4" x14ac:dyDescent="0.3">
      <c r="A735">
        <f t="shared" si="60"/>
        <v>0</v>
      </c>
      <c r="B735">
        <f t="shared" si="60"/>
        <v>0</v>
      </c>
      <c r="C735">
        <f t="shared" si="60"/>
        <v>0</v>
      </c>
      <c r="D735">
        <f t="shared" si="61"/>
        <v>0</v>
      </c>
    </row>
    <row r="736" spans="1:4" x14ac:dyDescent="0.3">
      <c r="A736">
        <f t="shared" si="60"/>
        <v>0</v>
      </c>
      <c r="B736">
        <f t="shared" si="60"/>
        <v>0</v>
      </c>
      <c r="C736">
        <f t="shared" si="60"/>
        <v>0</v>
      </c>
      <c r="D736">
        <f t="shared" si="61"/>
        <v>0</v>
      </c>
    </row>
    <row r="737" spans="1:4" x14ac:dyDescent="0.3">
      <c r="A737">
        <f t="shared" ref="A737:C756" si="62">((0*(1/3.6))*(3.6))*(1/3.6)</f>
        <v>0</v>
      </c>
      <c r="B737">
        <f t="shared" si="62"/>
        <v>0</v>
      </c>
      <c r="C737">
        <f t="shared" si="62"/>
        <v>0</v>
      </c>
      <c r="D737">
        <f t="shared" si="61"/>
        <v>0</v>
      </c>
    </row>
    <row r="738" spans="1:4" x14ac:dyDescent="0.3">
      <c r="A738">
        <f t="shared" si="62"/>
        <v>0</v>
      </c>
      <c r="B738">
        <f t="shared" si="62"/>
        <v>0</v>
      </c>
      <c r="C738">
        <f t="shared" si="62"/>
        <v>0</v>
      </c>
      <c r="D738">
        <f t="shared" si="61"/>
        <v>0</v>
      </c>
    </row>
    <row r="739" spans="1:4" x14ac:dyDescent="0.3">
      <c r="A739">
        <f t="shared" si="62"/>
        <v>0</v>
      </c>
      <c r="B739">
        <f t="shared" si="62"/>
        <v>0</v>
      </c>
      <c r="C739">
        <f t="shared" si="62"/>
        <v>0</v>
      </c>
      <c r="D739">
        <f t="shared" si="61"/>
        <v>0</v>
      </c>
    </row>
    <row r="740" spans="1:4" x14ac:dyDescent="0.3">
      <c r="A740">
        <f t="shared" si="62"/>
        <v>0</v>
      </c>
      <c r="B740">
        <f t="shared" si="62"/>
        <v>0</v>
      </c>
      <c r="C740">
        <f t="shared" si="62"/>
        <v>0</v>
      </c>
      <c r="D740">
        <f t="shared" si="61"/>
        <v>0</v>
      </c>
    </row>
    <row r="741" spans="1:4" x14ac:dyDescent="0.3">
      <c r="A741">
        <f t="shared" si="62"/>
        <v>0</v>
      </c>
      <c r="B741">
        <f t="shared" si="62"/>
        <v>0</v>
      </c>
      <c r="C741">
        <f t="shared" si="62"/>
        <v>0</v>
      </c>
      <c r="D741">
        <f t="shared" si="61"/>
        <v>0</v>
      </c>
    </row>
    <row r="742" spans="1:4" x14ac:dyDescent="0.3">
      <c r="A742">
        <f t="shared" si="62"/>
        <v>0</v>
      </c>
      <c r="B742">
        <f t="shared" si="62"/>
        <v>0</v>
      </c>
      <c r="C742">
        <f t="shared" si="62"/>
        <v>0</v>
      </c>
      <c r="D742">
        <f t="shared" si="61"/>
        <v>0</v>
      </c>
    </row>
    <row r="743" spans="1:4" x14ac:dyDescent="0.3">
      <c r="A743">
        <f t="shared" si="62"/>
        <v>0</v>
      </c>
      <c r="B743">
        <f t="shared" si="62"/>
        <v>0</v>
      </c>
      <c r="C743">
        <f t="shared" si="62"/>
        <v>0</v>
      </c>
      <c r="D743">
        <f t="shared" si="61"/>
        <v>0</v>
      </c>
    </row>
    <row r="744" spans="1:4" x14ac:dyDescent="0.3">
      <c r="A744">
        <f t="shared" si="62"/>
        <v>0</v>
      </c>
      <c r="B744">
        <f t="shared" si="62"/>
        <v>0</v>
      </c>
      <c r="C744">
        <f t="shared" si="62"/>
        <v>0</v>
      </c>
      <c r="D744">
        <f t="shared" si="61"/>
        <v>0</v>
      </c>
    </row>
    <row r="745" spans="1:4" x14ac:dyDescent="0.3">
      <c r="A745">
        <f t="shared" si="62"/>
        <v>0</v>
      </c>
      <c r="B745">
        <f t="shared" si="62"/>
        <v>0</v>
      </c>
      <c r="C745">
        <f t="shared" si="62"/>
        <v>0</v>
      </c>
      <c r="D745">
        <f t="shared" si="61"/>
        <v>0</v>
      </c>
    </row>
    <row r="746" spans="1:4" x14ac:dyDescent="0.3">
      <c r="A746">
        <f t="shared" si="62"/>
        <v>0</v>
      </c>
      <c r="B746">
        <f t="shared" si="62"/>
        <v>0</v>
      </c>
      <c r="C746">
        <f t="shared" si="62"/>
        <v>0</v>
      </c>
      <c r="D746">
        <f t="shared" si="61"/>
        <v>0</v>
      </c>
    </row>
    <row r="747" spans="1:4" x14ac:dyDescent="0.3">
      <c r="A747">
        <f t="shared" si="62"/>
        <v>0</v>
      </c>
      <c r="B747">
        <f t="shared" si="62"/>
        <v>0</v>
      </c>
      <c r="C747">
        <f t="shared" si="62"/>
        <v>0</v>
      </c>
      <c r="D747">
        <f t="shared" si="61"/>
        <v>0</v>
      </c>
    </row>
    <row r="748" spans="1:4" x14ac:dyDescent="0.3">
      <c r="A748">
        <f t="shared" si="62"/>
        <v>0</v>
      </c>
      <c r="B748">
        <f t="shared" si="62"/>
        <v>0</v>
      </c>
      <c r="C748">
        <f t="shared" si="62"/>
        <v>0</v>
      </c>
      <c r="D748">
        <f t="shared" si="61"/>
        <v>0</v>
      </c>
    </row>
    <row r="749" spans="1:4" x14ac:dyDescent="0.3">
      <c r="A749">
        <f t="shared" si="62"/>
        <v>0</v>
      </c>
      <c r="B749">
        <f t="shared" si="62"/>
        <v>0</v>
      </c>
      <c r="C749">
        <f t="shared" si="62"/>
        <v>0</v>
      </c>
      <c r="D749">
        <f t="shared" si="61"/>
        <v>0</v>
      </c>
    </row>
    <row r="750" spans="1:4" x14ac:dyDescent="0.3">
      <c r="A750">
        <f t="shared" si="62"/>
        <v>0</v>
      </c>
      <c r="B750">
        <f t="shared" si="62"/>
        <v>0</v>
      </c>
      <c r="C750">
        <f t="shared" si="62"/>
        <v>0</v>
      </c>
      <c r="D750">
        <f t="shared" si="61"/>
        <v>0</v>
      </c>
    </row>
    <row r="751" spans="1:4" x14ac:dyDescent="0.3">
      <c r="A751">
        <f t="shared" si="62"/>
        <v>0</v>
      </c>
      <c r="B751">
        <f t="shared" si="62"/>
        <v>0</v>
      </c>
      <c r="C751">
        <f t="shared" si="62"/>
        <v>0</v>
      </c>
      <c r="D751">
        <f t="shared" si="61"/>
        <v>0</v>
      </c>
    </row>
    <row r="752" spans="1:4" x14ac:dyDescent="0.3">
      <c r="A752">
        <f t="shared" si="62"/>
        <v>0</v>
      </c>
      <c r="B752">
        <f t="shared" si="62"/>
        <v>0</v>
      </c>
      <c r="C752">
        <f t="shared" si="62"/>
        <v>0</v>
      </c>
      <c r="D752">
        <f t="shared" si="61"/>
        <v>0</v>
      </c>
    </row>
    <row r="753" spans="1:4" x14ac:dyDescent="0.3">
      <c r="A753">
        <f t="shared" si="62"/>
        <v>0</v>
      </c>
      <c r="B753">
        <f t="shared" si="62"/>
        <v>0</v>
      </c>
      <c r="C753">
        <f t="shared" si="62"/>
        <v>0</v>
      </c>
      <c r="D753">
        <f t="shared" si="61"/>
        <v>0</v>
      </c>
    </row>
    <row r="754" spans="1:4" x14ac:dyDescent="0.3">
      <c r="A754">
        <f t="shared" si="62"/>
        <v>0</v>
      </c>
      <c r="B754">
        <f t="shared" si="62"/>
        <v>0</v>
      </c>
      <c r="C754">
        <f t="shared" si="62"/>
        <v>0</v>
      </c>
      <c r="D754">
        <f t="shared" si="61"/>
        <v>0</v>
      </c>
    </row>
    <row r="755" spans="1:4" x14ac:dyDescent="0.3">
      <c r="A755">
        <f t="shared" si="62"/>
        <v>0</v>
      </c>
      <c r="B755">
        <f t="shared" si="62"/>
        <v>0</v>
      </c>
      <c r="C755">
        <f t="shared" si="62"/>
        <v>0</v>
      </c>
      <c r="D755">
        <f t="shared" si="61"/>
        <v>0</v>
      </c>
    </row>
    <row r="756" spans="1:4" x14ac:dyDescent="0.3">
      <c r="A756">
        <f t="shared" si="62"/>
        <v>0</v>
      </c>
      <c r="B756">
        <f t="shared" si="62"/>
        <v>0</v>
      </c>
      <c r="C756">
        <f t="shared" si="62"/>
        <v>0</v>
      </c>
      <c r="D756">
        <f t="shared" si="61"/>
        <v>0</v>
      </c>
    </row>
    <row r="757" spans="1:4" x14ac:dyDescent="0.3">
      <c r="A757">
        <f t="shared" ref="A757:C776" si="63">((0*(1/3.6))*(3.6))*(1/3.6)</f>
        <v>0</v>
      </c>
      <c r="B757">
        <f t="shared" si="63"/>
        <v>0</v>
      </c>
      <c r="C757">
        <f t="shared" si="63"/>
        <v>0</v>
      </c>
      <c r="D757">
        <f t="shared" si="61"/>
        <v>0</v>
      </c>
    </row>
    <row r="758" spans="1:4" x14ac:dyDescent="0.3">
      <c r="A758">
        <f t="shared" si="63"/>
        <v>0</v>
      </c>
      <c r="B758">
        <f t="shared" si="63"/>
        <v>0</v>
      </c>
      <c r="C758">
        <f t="shared" si="63"/>
        <v>0</v>
      </c>
      <c r="D758">
        <f t="shared" si="61"/>
        <v>0</v>
      </c>
    </row>
    <row r="759" spans="1:4" x14ac:dyDescent="0.3">
      <c r="A759">
        <f t="shared" si="63"/>
        <v>0</v>
      </c>
      <c r="B759">
        <f t="shared" si="63"/>
        <v>0</v>
      </c>
      <c r="C759">
        <f t="shared" si="63"/>
        <v>0</v>
      </c>
      <c r="D759">
        <f t="shared" si="61"/>
        <v>0</v>
      </c>
    </row>
    <row r="760" spans="1:4" x14ac:dyDescent="0.3">
      <c r="A760">
        <f t="shared" si="63"/>
        <v>0</v>
      </c>
      <c r="B760">
        <f t="shared" si="63"/>
        <v>0</v>
      </c>
      <c r="C760">
        <f t="shared" si="63"/>
        <v>0</v>
      </c>
      <c r="D760">
        <f t="shared" si="61"/>
        <v>0</v>
      </c>
    </row>
    <row r="761" spans="1:4" x14ac:dyDescent="0.3">
      <c r="A761">
        <f t="shared" si="63"/>
        <v>0</v>
      </c>
      <c r="B761">
        <f t="shared" si="63"/>
        <v>0</v>
      </c>
      <c r="C761">
        <f t="shared" si="63"/>
        <v>0</v>
      </c>
      <c r="D761">
        <f t="shared" si="61"/>
        <v>0</v>
      </c>
    </row>
    <row r="762" spans="1:4" x14ac:dyDescent="0.3">
      <c r="A762">
        <f t="shared" si="63"/>
        <v>0</v>
      </c>
      <c r="B762">
        <f t="shared" si="63"/>
        <v>0</v>
      </c>
      <c r="C762">
        <f t="shared" si="63"/>
        <v>0</v>
      </c>
      <c r="D762">
        <f t="shared" si="61"/>
        <v>0</v>
      </c>
    </row>
    <row r="763" spans="1:4" x14ac:dyDescent="0.3">
      <c r="A763">
        <f t="shared" si="63"/>
        <v>0</v>
      </c>
      <c r="B763">
        <f t="shared" si="63"/>
        <v>0</v>
      </c>
      <c r="C763">
        <f t="shared" si="63"/>
        <v>0</v>
      </c>
      <c r="D763">
        <f t="shared" si="61"/>
        <v>0</v>
      </c>
    </row>
    <row r="764" spans="1:4" x14ac:dyDescent="0.3">
      <c r="A764">
        <f t="shared" si="63"/>
        <v>0</v>
      </c>
      <c r="B764">
        <f t="shared" si="63"/>
        <v>0</v>
      </c>
      <c r="C764">
        <f t="shared" si="63"/>
        <v>0</v>
      </c>
      <c r="D764">
        <f t="shared" si="61"/>
        <v>0</v>
      </c>
    </row>
    <row r="765" spans="1:4" x14ac:dyDescent="0.3">
      <c r="A765">
        <f t="shared" si="63"/>
        <v>0</v>
      </c>
      <c r="B765">
        <f t="shared" si="63"/>
        <v>0</v>
      </c>
      <c r="C765">
        <f t="shared" si="63"/>
        <v>0</v>
      </c>
      <c r="D765">
        <f t="shared" si="61"/>
        <v>0</v>
      </c>
    </row>
    <row r="766" spans="1:4" x14ac:dyDescent="0.3">
      <c r="A766">
        <f t="shared" si="63"/>
        <v>0</v>
      </c>
      <c r="B766">
        <f t="shared" si="63"/>
        <v>0</v>
      </c>
      <c r="C766">
        <f t="shared" si="63"/>
        <v>0</v>
      </c>
      <c r="D766">
        <f t="shared" si="61"/>
        <v>0</v>
      </c>
    </row>
    <row r="767" spans="1:4" x14ac:dyDescent="0.3">
      <c r="A767">
        <f t="shared" si="63"/>
        <v>0</v>
      </c>
      <c r="B767">
        <f t="shared" si="63"/>
        <v>0</v>
      </c>
      <c r="C767">
        <f t="shared" si="63"/>
        <v>0</v>
      </c>
      <c r="D767">
        <f t="shared" si="61"/>
        <v>0</v>
      </c>
    </row>
    <row r="768" spans="1:4" x14ac:dyDescent="0.3">
      <c r="A768">
        <f t="shared" si="63"/>
        <v>0</v>
      </c>
      <c r="B768">
        <f t="shared" si="63"/>
        <v>0</v>
      </c>
      <c r="C768">
        <f t="shared" si="63"/>
        <v>0</v>
      </c>
      <c r="D768">
        <f t="shared" si="61"/>
        <v>0</v>
      </c>
    </row>
    <row r="769" spans="1:4" x14ac:dyDescent="0.3">
      <c r="A769">
        <f t="shared" si="63"/>
        <v>0</v>
      </c>
      <c r="B769">
        <f t="shared" si="63"/>
        <v>0</v>
      </c>
      <c r="C769">
        <f t="shared" si="63"/>
        <v>0</v>
      </c>
      <c r="D769">
        <f t="shared" si="61"/>
        <v>0</v>
      </c>
    </row>
    <row r="770" spans="1:4" x14ac:dyDescent="0.3">
      <c r="A770">
        <f t="shared" si="63"/>
        <v>0</v>
      </c>
      <c r="B770">
        <f t="shared" si="63"/>
        <v>0</v>
      </c>
      <c r="C770">
        <f t="shared" si="63"/>
        <v>0</v>
      </c>
      <c r="D770">
        <f t="shared" si="61"/>
        <v>0</v>
      </c>
    </row>
    <row r="771" spans="1:4" x14ac:dyDescent="0.3">
      <c r="A771">
        <f t="shared" si="63"/>
        <v>0</v>
      </c>
      <c r="B771">
        <f t="shared" si="63"/>
        <v>0</v>
      </c>
      <c r="C771">
        <f t="shared" si="63"/>
        <v>0</v>
      </c>
      <c r="D771">
        <f t="shared" si="61"/>
        <v>0</v>
      </c>
    </row>
    <row r="772" spans="1:4" x14ac:dyDescent="0.3">
      <c r="A772">
        <f t="shared" si="63"/>
        <v>0</v>
      </c>
      <c r="B772">
        <f t="shared" si="63"/>
        <v>0</v>
      </c>
      <c r="C772">
        <f t="shared" si="63"/>
        <v>0</v>
      </c>
      <c r="D772">
        <f t="shared" si="61"/>
        <v>0</v>
      </c>
    </row>
    <row r="773" spans="1:4" x14ac:dyDescent="0.3">
      <c r="A773">
        <f t="shared" si="63"/>
        <v>0</v>
      </c>
      <c r="B773">
        <f t="shared" si="63"/>
        <v>0</v>
      </c>
      <c r="C773">
        <f t="shared" si="63"/>
        <v>0</v>
      </c>
      <c r="D773">
        <f t="shared" si="61"/>
        <v>0</v>
      </c>
    </row>
    <row r="774" spans="1:4" x14ac:dyDescent="0.3">
      <c r="A774">
        <f t="shared" si="63"/>
        <v>0</v>
      </c>
      <c r="B774">
        <f t="shared" si="63"/>
        <v>0</v>
      </c>
      <c r="C774">
        <f t="shared" si="63"/>
        <v>0</v>
      </c>
      <c r="D774">
        <f t="shared" si="61"/>
        <v>0</v>
      </c>
    </row>
    <row r="775" spans="1:4" x14ac:dyDescent="0.3">
      <c r="A775">
        <f t="shared" si="63"/>
        <v>0</v>
      </c>
      <c r="B775">
        <f t="shared" si="63"/>
        <v>0</v>
      </c>
      <c r="C775">
        <f t="shared" si="63"/>
        <v>0</v>
      </c>
      <c r="D775">
        <f t="shared" si="61"/>
        <v>0</v>
      </c>
    </row>
    <row r="776" spans="1:4" x14ac:dyDescent="0.3">
      <c r="A776">
        <f t="shared" si="63"/>
        <v>0</v>
      </c>
      <c r="B776">
        <f t="shared" si="63"/>
        <v>0</v>
      </c>
      <c r="C776">
        <f t="shared" si="63"/>
        <v>0</v>
      </c>
      <c r="D776">
        <f t="shared" si="61"/>
        <v>0</v>
      </c>
    </row>
    <row r="777" spans="1:4" x14ac:dyDescent="0.3">
      <c r="A777">
        <f t="shared" ref="A777:C796" si="64">((0*(1/3.6))*(3.6))*(1/3.6)</f>
        <v>0</v>
      </c>
      <c r="B777">
        <f t="shared" si="64"/>
        <v>0</v>
      </c>
      <c r="C777">
        <f t="shared" si="64"/>
        <v>0</v>
      </c>
      <c r="D777">
        <f t="shared" si="61"/>
        <v>0</v>
      </c>
    </row>
    <row r="778" spans="1:4" x14ac:dyDescent="0.3">
      <c r="A778">
        <f t="shared" si="64"/>
        <v>0</v>
      </c>
      <c r="B778">
        <f t="shared" si="64"/>
        <v>0</v>
      </c>
      <c r="C778">
        <f t="shared" si="64"/>
        <v>0</v>
      </c>
      <c r="D778">
        <f t="shared" si="61"/>
        <v>0</v>
      </c>
    </row>
    <row r="779" spans="1:4" x14ac:dyDescent="0.3">
      <c r="A779">
        <f t="shared" si="64"/>
        <v>0</v>
      </c>
      <c r="B779">
        <f t="shared" si="64"/>
        <v>0</v>
      </c>
      <c r="C779">
        <f t="shared" si="64"/>
        <v>0</v>
      </c>
      <c r="D779">
        <f t="shared" si="61"/>
        <v>0</v>
      </c>
    </row>
    <row r="780" spans="1:4" x14ac:dyDescent="0.3">
      <c r="A780">
        <f t="shared" si="64"/>
        <v>0</v>
      </c>
      <c r="B780">
        <f t="shared" si="64"/>
        <v>0</v>
      </c>
      <c r="C780">
        <f t="shared" si="64"/>
        <v>0</v>
      </c>
      <c r="D780">
        <f t="shared" si="61"/>
        <v>0</v>
      </c>
    </row>
    <row r="781" spans="1:4" x14ac:dyDescent="0.3">
      <c r="A781">
        <f t="shared" si="64"/>
        <v>0</v>
      </c>
      <c r="B781">
        <f t="shared" si="64"/>
        <v>0</v>
      </c>
      <c r="C781">
        <f t="shared" si="64"/>
        <v>0</v>
      </c>
      <c r="D781">
        <f t="shared" si="61"/>
        <v>0</v>
      </c>
    </row>
    <row r="782" spans="1:4" x14ac:dyDescent="0.3">
      <c r="A782">
        <f t="shared" si="64"/>
        <v>0</v>
      </c>
      <c r="B782">
        <f t="shared" si="64"/>
        <v>0</v>
      </c>
      <c r="C782">
        <f t="shared" si="64"/>
        <v>0</v>
      </c>
      <c r="D782">
        <f t="shared" si="61"/>
        <v>0</v>
      </c>
    </row>
    <row r="783" spans="1:4" x14ac:dyDescent="0.3">
      <c r="A783">
        <f t="shared" si="64"/>
        <v>0</v>
      </c>
      <c r="B783">
        <f t="shared" si="64"/>
        <v>0</v>
      </c>
      <c r="C783">
        <f t="shared" si="64"/>
        <v>0</v>
      </c>
      <c r="D783">
        <f t="shared" si="61"/>
        <v>0</v>
      </c>
    </row>
    <row r="784" spans="1:4" x14ac:dyDescent="0.3">
      <c r="A784">
        <f t="shared" si="64"/>
        <v>0</v>
      </c>
      <c r="B784">
        <f t="shared" si="64"/>
        <v>0</v>
      </c>
      <c r="C784">
        <f t="shared" si="64"/>
        <v>0</v>
      </c>
      <c r="D784">
        <f t="shared" si="61"/>
        <v>0</v>
      </c>
    </row>
    <row r="785" spans="1:4" x14ac:dyDescent="0.3">
      <c r="A785">
        <f t="shared" si="64"/>
        <v>0</v>
      </c>
      <c r="B785">
        <f t="shared" si="64"/>
        <v>0</v>
      </c>
      <c r="C785">
        <f t="shared" si="64"/>
        <v>0</v>
      </c>
      <c r="D785">
        <f t="shared" si="61"/>
        <v>0</v>
      </c>
    </row>
    <row r="786" spans="1:4" x14ac:dyDescent="0.3">
      <c r="A786">
        <f t="shared" si="64"/>
        <v>0</v>
      </c>
      <c r="B786">
        <f t="shared" si="64"/>
        <v>0</v>
      </c>
      <c r="C786">
        <f t="shared" si="64"/>
        <v>0</v>
      </c>
      <c r="D786">
        <f t="shared" si="61"/>
        <v>0</v>
      </c>
    </row>
    <row r="787" spans="1:4" x14ac:dyDescent="0.3">
      <c r="A787">
        <f t="shared" si="64"/>
        <v>0</v>
      </c>
      <c r="B787">
        <f t="shared" si="64"/>
        <v>0</v>
      </c>
      <c r="C787">
        <f t="shared" si="64"/>
        <v>0</v>
      </c>
      <c r="D787">
        <f t="shared" ref="D787:D850" si="65">((0*(1/3.6))*(3.6))*(1/3.6)</f>
        <v>0</v>
      </c>
    </row>
    <row r="788" spans="1:4" x14ac:dyDescent="0.3">
      <c r="A788">
        <f t="shared" si="64"/>
        <v>0</v>
      </c>
      <c r="B788">
        <f t="shared" si="64"/>
        <v>0</v>
      </c>
      <c r="C788">
        <f t="shared" si="64"/>
        <v>0</v>
      </c>
      <c r="D788">
        <f t="shared" si="65"/>
        <v>0</v>
      </c>
    </row>
    <row r="789" spans="1:4" x14ac:dyDescent="0.3">
      <c r="A789">
        <f t="shared" si="64"/>
        <v>0</v>
      </c>
      <c r="B789">
        <f t="shared" si="64"/>
        <v>0</v>
      </c>
      <c r="C789">
        <f t="shared" si="64"/>
        <v>0</v>
      </c>
      <c r="D789">
        <f t="shared" si="65"/>
        <v>0</v>
      </c>
    </row>
    <row r="790" spans="1:4" x14ac:dyDescent="0.3">
      <c r="A790">
        <f t="shared" si="64"/>
        <v>0</v>
      </c>
      <c r="B790">
        <f t="shared" si="64"/>
        <v>0</v>
      </c>
      <c r="C790">
        <f t="shared" si="64"/>
        <v>0</v>
      </c>
      <c r="D790">
        <f t="shared" si="65"/>
        <v>0</v>
      </c>
    </row>
    <row r="791" spans="1:4" x14ac:dyDescent="0.3">
      <c r="A791">
        <f t="shared" si="64"/>
        <v>0</v>
      </c>
      <c r="B791">
        <f t="shared" si="64"/>
        <v>0</v>
      </c>
      <c r="C791">
        <f t="shared" si="64"/>
        <v>0</v>
      </c>
      <c r="D791">
        <f t="shared" si="65"/>
        <v>0</v>
      </c>
    </row>
    <row r="792" spans="1:4" x14ac:dyDescent="0.3">
      <c r="A792">
        <f t="shared" si="64"/>
        <v>0</v>
      </c>
      <c r="B792">
        <f t="shared" si="64"/>
        <v>0</v>
      </c>
      <c r="C792">
        <f t="shared" si="64"/>
        <v>0</v>
      </c>
      <c r="D792">
        <f t="shared" si="65"/>
        <v>0</v>
      </c>
    </row>
    <row r="793" spans="1:4" x14ac:dyDescent="0.3">
      <c r="A793">
        <f t="shared" si="64"/>
        <v>0</v>
      </c>
      <c r="B793">
        <f t="shared" si="64"/>
        <v>0</v>
      </c>
      <c r="C793">
        <f t="shared" si="64"/>
        <v>0</v>
      </c>
      <c r="D793">
        <f t="shared" si="65"/>
        <v>0</v>
      </c>
    </row>
    <row r="794" spans="1:4" x14ac:dyDescent="0.3">
      <c r="A794">
        <f t="shared" si="64"/>
        <v>0</v>
      </c>
      <c r="B794">
        <f t="shared" si="64"/>
        <v>0</v>
      </c>
      <c r="C794">
        <f t="shared" si="64"/>
        <v>0</v>
      </c>
      <c r="D794">
        <f t="shared" si="65"/>
        <v>0</v>
      </c>
    </row>
    <row r="795" spans="1:4" x14ac:dyDescent="0.3">
      <c r="A795">
        <f t="shared" si="64"/>
        <v>0</v>
      </c>
      <c r="B795">
        <f t="shared" si="64"/>
        <v>0</v>
      </c>
      <c r="C795">
        <f t="shared" si="64"/>
        <v>0</v>
      </c>
      <c r="D795">
        <f t="shared" si="65"/>
        <v>0</v>
      </c>
    </row>
    <row r="796" spans="1:4" x14ac:dyDescent="0.3">
      <c r="A796">
        <f t="shared" si="64"/>
        <v>0</v>
      </c>
      <c r="B796">
        <f t="shared" si="64"/>
        <v>0</v>
      </c>
      <c r="C796">
        <f t="shared" si="64"/>
        <v>0</v>
      </c>
      <c r="D796">
        <f t="shared" si="65"/>
        <v>0</v>
      </c>
    </row>
    <row r="797" spans="1:4" x14ac:dyDescent="0.3">
      <c r="A797">
        <f t="shared" ref="A797:C816" si="66">((0*(1/3.6))*(3.6))*(1/3.6)</f>
        <v>0</v>
      </c>
      <c r="B797">
        <f t="shared" si="66"/>
        <v>0</v>
      </c>
      <c r="C797">
        <f t="shared" si="66"/>
        <v>0</v>
      </c>
      <c r="D797">
        <f t="shared" si="65"/>
        <v>0</v>
      </c>
    </row>
    <row r="798" spans="1:4" x14ac:dyDescent="0.3">
      <c r="A798">
        <f t="shared" si="66"/>
        <v>0</v>
      </c>
      <c r="B798">
        <f t="shared" si="66"/>
        <v>0</v>
      </c>
      <c r="C798">
        <f t="shared" si="66"/>
        <v>0</v>
      </c>
      <c r="D798">
        <f t="shared" si="65"/>
        <v>0</v>
      </c>
    </row>
    <row r="799" spans="1:4" x14ac:dyDescent="0.3">
      <c r="A799">
        <f t="shared" si="66"/>
        <v>0</v>
      </c>
      <c r="B799">
        <f t="shared" si="66"/>
        <v>0</v>
      </c>
      <c r="C799">
        <f t="shared" si="66"/>
        <v>0</v>
      </c>
      <c r="D799">
        <f t="shared" si="65"/>
        <v>0</v>
      </c>
    </row>
    <row r="800" spans="1:4" x14ac:dyDescent="0.3">
      <c r="A800">
        <f t="shared" si="66"/>
        <v>0</v>
      </c>
      <c r="B800">
        <f t="shared" si="66"/>
        <v>0</v>
      </c>
      <c r="C800">
        <f t="shared" si="66"/>
        <v>0</v>
      </c>
      <c r="D800">
        <f t="shared" si="65"/>
        <v>0</v>
      </c>
    </row>
    <row r="801" spans="1:4" x14ac:dyDescent="0.3">
      <c r="A801">
        <f t="shared" si="66"/>
        <v>0</v>
      </c>
      <c r="B801">
        <f t="shared" si="66"/>
        <v>0</v>
      </c>
      <c r="C801">
        <f t="shared" si="66"/>
        <v>0</v>
      </c>
      <c r="D801">
        <f t="shared" si="65"/>
        <v>0</v>
      </c>
    </row>
    <row r="802" spans="1:4" x14ac:dyDescent="0.3">
      <c r="A802">
        <f t="shared" si="66"/>
        <v>0</v>
      </c>
      <c r="B802">
        <f t="shared" si="66"/>
        <v>0</v>
      </c>
      <c r="C802">
        <f t="shared" si="66"/>
        <v>0</v>
      </c>
      <c r="D802">
        <f t="shared" si="65"/>
        <v>0</v>
      </c>
    </row>
    <row r="803" spans="1:4" x14ac:dyDescent="0.3">
      <c r="A803">
        <f t="shared" si="66"/>
        <v>0</v>
      </c>
      <c r="B803">
        <f t="shared" si="66"/>
        <v>0</v>
      </c>
      <c r="C803">
        <f t="shared" si="66"/>
        <v>0</v>
      </c>
      <c r="D803">
        <f t="shared" si="65"/>
        <v>0</v>
      </c>
    </row>
    <row r="804" spans="1:4" x14ac:dyDescent="0.3">
      <c r="A804">
        <f t="shared" si="66"/>
        <v>0</v>
      </c>
      <c r="B804">
        <f t="shared" si="66"/>
        <v>0</v>
      </c>
      <c r="C804">
        <f t="shared" si="66"/>
        <v>0</v>
      </c>
      <c r="D804">
        <f t="shared" si="65"/>
        <v>0</v>
      </c>
    </row>
    <row r="805" spans="1:4" x14ac:dyDescent="0.3">
      <c r="A805">
        <f t="shared" si="66"/>
        <v>0</v>
      </c>
      <c r="B805">
        <f t="shared" si="66"/>
        <v>0</v>
      </c>
      <c r="C805">
        <f t="shared" si="66"/>
        <v>0</v>
      </c>
      <c r="D805">
        <f t="shared" si="65"/>
        <v>0</v>
      </c>
    </row>
    <row r="806" spans="1:4" x14ac:dyDescent="0.3">
      <c r="A806">
        <f t="shared" si="66"/>
        <v>0</v>
      </c>
      <c r="B806">
        <f t="shared" si="66"/>
        <v>0</v>
      </c>
      <c r="C806">
        <f t="shared" si="66"/>
        <v>0</v>
      </c>
      <c r="D806">
        <f t="shared" si="65"/>
        <v>0</v>
      </c>
    </row>
    <row r="807" spans="1:4" x14ac:dyDescent="0.3">
      <c r="A807">
        <f t="shared" si="66"/>
        <v>0</v>
      </c>
      <c r="B807">
        <f t="shared" si="66"/>
        <v>0</v>
      </c>
      <c r="C807">
        <f t="shared" si="66"/>
        <v>0</v>
      </c>
      <c r="D807">
        <f t="shared" si="65"/>
        <v>0</v>
      </c>
    </row>
    <row r="808" spans="1:4" x14ac:dyDescent="0.3">
      <c r="A808">
        <f t="shared" si="66"/>
        <v>0</v>
      </c>
      <c r="B808">
        <f t="shared" si="66"/>
        <v>0</v>
      </c>
      <c r="C808">
        <f t="shared" si="66"/>
        <v>0</v>
      </c>
      <c r="D808">
        <f t="shared" si="65"/>
        <v>0</v>
      </c>
    </row>
    <row r="809" spans="1:4" x14ac:dyDescent="0.3">
      <c r="A809">
        <f t="shared" si="66"/>
        <v>0</v>
      </c>
      <c r="B809">
        <f t="shared" si="66"/>
        <v>0</v>
      </c>
      <c r="C809">
        <f t="shared" si="66"/>
        <v>0</v>
      </c>
      <c r="D809">
        <f t="shared" si="65"/>
        <v>0</v>
      </c>
    </row>
    <row r="810" spans="1:4" x14ac:dyDescent="0.3">
      <c r="A810">
        <f t="shared" si="66"/>
        <v>0</v>
      </c>
      <c r="B810">
        <f t="shared" si="66"/>
        <v>0</v>
      </c>
      <c r="C810">
        <f t="shared" si="66"/>
        <v>0</v>
      </c>
      <c r="D810">
        <f t="shared" si="65"/>
        <v>0</v>
      </c>
    </row>
    <row r="811" spans="1:4" x14ac:dyDescent="0.3">
      <c r="A811">
        <f t="shared" si="66"/>
        <v>0</v>
      </c>
      <c r="B811">
        <f t="shared" si="66"/>
        <v>0</v>
      </c>
      <c r="C811">
        <f t="shared" si="66"/>
        <v>0</v>
      </c>
      <c r="D811">
        <f t="shared" si="65"/>
        <v>0</v>
      </c>
    </row>
    <row r="812" spans="1:4" x14ac:dyDescent="0.3">
      <c r="A812">
        <f t="shared" si="66"/>
        <v>0</v>
      </c>
      <c r="B812">
        <f t="shared" si="66"/>
        <v>0</v>
      </c>
      <c r="C812">
        <f t="shared" si="66"/>
        <v>0</v>
      </c>
      <c r="D812">
        <f t="shared" si="65"/>
        <v>0</v>
      </c>
    </row>
    <row r="813" spans="1:4" x14ac:dyDescent="0.3">
      <c r="A813">
        <f t="shared" si="66"/>
        <v>0</v>
      </c>
      <c r="B813">
        <f t="shared" si="66"/>
        <v>0</v>
      </c>
      <c r="C813">
        <f t="shared" si="66"/>
        <v>0</v>
      </c>
      <c r="D813">
        <f t="shared" si="65"/>
        <v>0</v>
      </c>
    </row>
    <row r="814" spans="1:4" x14ac:dyDescent="0.3">
      <c r="A814">
        <f t="shared" si="66"/>
        <v>0</v>
      </c>
      <c r="B814">
        <f t="shared" si="66"/>
        <v>0</v>
      </c>
      <c r="C814">
        <f t="shared" si="66"/>
        <v>0</v>
      </c>
      <c r="D814">
        <f t="shared" si="65"/>
        <v>0</v>
      </c>
    </row>
    <row r="815" spans="1:4" x14ac:dyDescent="0.3">
      <c r="A815">
        <f t="shared" si="66"/>
        <v>0</v>
      </c>
      <c r="B815">
        <f t="shared" si="66"/>
        <v>0</v>
      </c>
      <c r="C815">
        <f t="shared" si="66"/>
        <v>0</v>
      </c>
      <c r="D815">
        <f t="shared" si="65"/>
        <v>0</v>
      </c>
    </row>
    <row r="816" spans="1:4" x14ac:dyDescent="0.3">
      <c r="A816">
        <f t="shared" si="66"/>
        <v>0</v>
      </c>
      <c r="B816">
        <f t="shared" si="66"/>
        <v>0</v>
      </c>
      <c r="C816">
        <f t="shared" si="66"/>
        <v>0</v>
      </c>
      <c r="D816">
        <f t="shared" si="65"/>
        <v>0</v>
      </c>
    </row>
    <row r="817" spans="1:4" x14ac:dyDescent="0.3">
      <c r="A817">
        <f t="shared" ref="A817:C836" si="67">((0*(1/3.6))*(3.6))*(1/3.6)</f>
        <v>0</v>
      </c>
      <c r="B817">
        <f t="shared" si="67"/>
        <v>0</v>
      </c>
      <c r="C817">
        <f t="shared" si="67"/>
        <v>0</v>
      </c>
      <c r="D817">
        <f t="shared" si="65"/>
        <v>0</v>
      </c>
    </row>
    <row r="818" spans="1:4" x14ac:dyDescent="0.3">
      <c r="A818">
        <f t="shared" si="67"/>
        <v>0</v>
      </c>
      <c r="B818">
        <f t="shared" si="67"/>
        <v>0</v>
      </c>
      <c r="C818">
        <f t="shared" si="67"/>
        <v>0</v>
      </c>
      <c r="D818">
        <f t="shared" si="65"/>
        <v>0</v>
      </c>
    </row>
    <row r="819" spans="1:4" x14ac:dyDescent="0.3">
      <c r="A819">
        <f t="shared" si="67"/>
        <v>0</v>
      </c>
      <c r="B819">
        <f t="shared" si="67"/>
        <v>0</v>
      </c>
      <c r="C819">
        <f t="shared" si="67"/>
        <v>0</v>
      </c>
      <c r="D819">
        <f t="shared" si="65"/>
        <v>0</v>
      </c>
    </row>
    <row r="820" spans="1:4" x14ac:dyDescent="0.3">
      <c r="A820">
        <f t="shared" si="67"/>
        <v>0</v>
      </c>
      <c r="B820">
        <f t="shared" si="67"/>
        <v>0</v>
      </c>
      <c r="C820">
        <f t="shared" si="67"/>
        <v>0</v>
      </c>
      <c r="D820">
        <f t="shared" si="65"/>
        <v>0</v>
      </c>
    </row>
    <row r="821" spans="1:4" x14ac:dyDescent="0.3">
      <c r="A821">
        <f t="shared" si="67"/>
        <v>0</v>
      </c>
      <c r="B821">
        <f t="shared" si="67"/>
        <v>0</v>
      </c>
      <c r="C821">
        <f t="shared" si="67"/>
        <v>0</v>
      </c>
      <c r="D821">
        <f t="shared" si="65"/>
        <v>0</v>
      </c>
    </row>
    <row r="822" spans="1:4" x14ac:dyDescent="0.3">
      <c r="A822">
        <f t="shared" si="67"/>
        <v>0</v>
      </c>
      <c r="B822">
        <f t="shared" si="67"/>
        <v>0</v>
      </c>
      <c r="C822">
        <f t="shared" si="67"/>
        <v>0</v>
      </c>
      <c r="D822">
        <f t="shared" si="65"/>
        <v>0</v>
      </c>
    </row>
    <row r="823" spans="1:4" x14ac:dyDescent="0.3">
      <c r="A823">
        <f t="shared" si="67"/>
        <v>0</v>
      </c>
      <c r="B823">
        <f t="shared" si="67"/>
        <v>0</v>
      </c>
      <c r="C823">
        <f t="shared" si="67"/>
        <v>0</v>
      </c>
      <c r="D823">
        <f t="shared" si="65"/>
        <v>0</v>
      </c>
    </row>
    <row r="824" spans="1:4" x14ac:dyDescent="0.3">
      <c r="A824">
        <f t="shared" si="67"/>
        <v>0</v>
      </c>
      <c r="B824">
        <f t="shared" si="67"/>
        <v>0</v>
      </c>
      <c r="C824">
        <f t="shared" si="67"/>
        <v>0</v>
      </c>
      <c r="D824">
        <f t="shared" si="65"/>
        <v>0</v>
      </c>
    </row>
    <row r="825" spans="1:4" x14ac:dyDescent="0.3">
      <c r="A825">
        <f t="shared" si="67"/>
        <v>0</v>
      </c>
      <c r="B825">
        <f t="shared" si="67"/>
        <v>0</v>
      </c>
      <c r="C825">
        <f t="shared" si="67"/>
        <v>0</v>
      </c>
      <c r="D825">
        <f t="shared" si="65"/>
        <v>0</v>
      </c>
    </row>
    <row r="826" spans="1:4" x14ac:dyDescent="0.3">
      <c r="A826">
        <f t="shared" si="67"/>
        <v>0</v>
      </c>
      <c r="B826">
        <f t="shared" si="67"/>
        <v>0</v>
      </c>
      <c r="C826">
        <f t="shared" si="67"/>
        <v>0</v>
      </c>
      <c r="D826">
        <f t="shared" si="65"/>
        <v>0</v>
      </c>
    </row>
    <row r="827" spans="1:4" x14ac:dyDescent="0.3">
      <c r="A827">
        <f t="shared" si="67"/>
        <v>0</v>
      </c>
      <c r="B827">
        <f t="shared" si="67"/>
        <v>0</v>
      </c>
      <c r="C827">
        <f t="shared" si="67"/>
        <v>0</v>
      </c>
      <c r="D827">
        <f t="shared" si="65"/>
        <v>0</v>
      </c>
    </row>
    <row r="828" spans="1:4" x14ac:dyDescent="0.3">
      <c r="A828">
        <f t="shared" si="67"/>
        <v>0</v>
      </c>
      <c r="B828">
        <f t="shared" si="67"/>
        <v>0</v>
      </c>
      <c r="C828">
        <f t="shared" si="67"/>
        <v>0</v>
      </c>
      <c r="D828">
        <f t="shared" si="65"/>
        <v>0</v>
      </c>
    </row>
    <row r="829" spans="1:4" x14ac:dyDescent="0.3">
      <c r="A829">
        <f t="shared" si="67"/>
        <v>0</v>
      </c>
      <c r="B829">
        <f t="shared" si="67"/>
        <v>0</v>
      </c>
      <c r="C829">
        <f t="shared" si="67"/>
        <v>0</v>
      </c>
      <c r="D829">
        <f t="shared" si="65"/>
        <v>0</v>
      </c>
    </row>
    <row r="830" spans="1:4" x14ac:dyDescent="0.3">
      <c r="A830">
        <f t="shared" si="67"/>
        <v>0</v>
      </c>
      <c r="B830">
        <f t="shared" si="67"/>
        <v>0</v>
      </c>
      <c r="C830">
        <f t="shared" si="67"/>
        <v>0</v>
      </c>
      <c r="D830">
        <f t="shared" si="65"/>
        <v>0</v>
      </c>
    </row>
    <row r="831" spans="1:4" x14ac:dyDescent="0.3">
      <c r="A831">
        <f t="shared" si="67"/>
        <v>0</v>
      </c>
      <c r="B831">
        <f t="shared" si="67"/>
        <v>0</v>
      </c>
      <c r="C831">
        <f t="shared" si="67"/>
        <v>0</v>
      </c>
      <c r="D831">
        <f t="shared" si="65"/>
        <v>0</v>
      </c>
    </row>
    <row r="832" spans="1:4" x14ac:dyDescent="0.3">
      <c r="A832">
        <f t="shared" si="67"/>
        <v>0</v>
      </c>
      <c r="B832">
        <f t="shared" si="67"/>
        <v>0</v>
      </c>
      <c r="C832">
        <f t="shared" si="67"/>
        <v>0</v>
      </c>
      <c r="D832">
        <f t="shared" si="65"/>
        <v>0</v>
      </c>
    </row>
    <row r="833" spans="1:4" x14ac:dyDescent="0.3">
      <c r="A833">
        <f t="shared" si="67"/>
        <v>0</v>
      </c>
      <c r="B833">
        <f t="shared" si="67"/>
        <v>0</v>
      </c>
      <c r="C833">
        <f t="shared" si="67"/>
        <v>0</v>
      </c>
      <c r="D833">
        <f t="shared" si="65"/>
        <v>0</v>
      </c>
    </row>
    <row r="834" spans="1:4" x14ac:dyDescent="0.3">
      <c r="A834">
        <f t="shared" si="67"/>
        <v>0</v>
      </c>
      <c r="B834">
        <f t="shared" si="67"/>
        <v>0</v>
      </c>
      <c r="C834">
        <f t="shared" si="67"/>
        <v>0</v>
      </c>
      <c r="D834">
        <f t="shared" si="65"/>
        <v>0</v>
      </c>
    </row>
    <row r="835" spans="1:4" x14ac:dyDescent="0.3">
      <c r="A835">
        <f t="shared" si="67"/>
        <v>0</v>
      </c>
      <c r="B835">
        <f t="shared" si="67"/>
        <v>0</v>
      </c>
      <c r="C835">
        <f t="shared" si="67"/>
        <v>0</v>
      </c>
      <c r="D835">
        <f t="shared" si="65"/>
        <v>0</v>
      </c>
    </row>
    <row r="836" spans="1:4" x14ac:dyDescent="0.3">
      <c r="A836">
        <f t="shared" si="67"/>
        <v>0</v>
      </c>
      <c r="B836">
        <f t="shared" si="67"/>
        <v>0</v>
      </c>
      <c r="C836">
        <f t="shared" si="67"/>
        <v>0</v>
      </c>
      <c r="D836">
        <f t="shared" si="65"/>
        <v>0</v>
      </c>
    </row>
    <row r="837" spans="1:4" x14ac:dyDescent="0.3">
      <c r="A837">
        <f t="shared" ref="A837:C856" si="68">((0*(1/3.6))*(3.6))*(1/3.6)</f>
        <v>0</v>
      </c>
      <c r="B837">
        <f t="shared" si="68"/>
        <v>0</v>
      </c>
      <c r="C837">
        <f t="shared" si="68"/>
        <v>0</v>
      </c>
      <c r="D837">
        <f t="shared" si="65"/>
        <v>0</v>
      </c>
    </row>
    <row r="838" spans="1:4" x14ac:dyDescent="0.3">
      <c r="A838">
        <f t="shared" si="68"/>
        <v>0</v>
      </c>
      <c r="B838">
        <f t="shared" si="68"/>
        <v>0</v>
      </c>
      <c r="C838">
        <f t="shared" si="68"/>
        <v>0</v>
      </c>
      <c r="D838">
        <f t="shared" si="65"/>
        <v>0</v>
      </c>
    </row>
    <row r="839" spans="1:4" x14ac:dyDescent="0.3">
      <c r="A839">
        <f t="shared" si="68"/>
        <v>0</v>
      </c>
      <c r="B839">
        <f t="shared" si="68"/>
        <v>0</v>
      </c>
      <c r="C839">
        <f t="shared" si="68"/>
        <v>0</v>
      </c>
      <c r="D839">
        <f t="shared" si="65"/>
        <v>0</v>
      </c>
    </row>
    <row r="840" spans="1:4" x14ac:dyDescent="0.3">
      <c r="A840">
        <f t="shared" si="68"/>
        <v>0</v>
      </c>
      <c r="B840">
        <f t="shared" si="68"/>
        <v>0</v>
      </c>
      <c r="C840">
        <f t="shared" si="68"/>
        <v>0</v>
      </c>
      <c r="D840">
        <f t="shared" si="65"/>
        <v>0</v>
      </c>
    </row>
    <row r="841" spans="1:4" x14ac:dyDescent="0.3">
      <c r="A841">
        <f t="shared" si="68"/>
        <v>0</v>
      </c>
      <c r="B841">
        <f t="shared" si="68"/>
        <v>0</v>
      </c>
      <c r="C841">
        <f t="shared" si="68"/>
        <v>0</v>
      </c>
      <c r="D841">
        <f t="shared" si="65"/>
        <v>0</v>
      </c>
    </row>
    <row r="842" spans="1:4" x14ac:dyDescent="0.3">
      <c r="A842">
        <f t="shared" si="68"/>
        <v>0</v>
      </c>
      <c r="B842">
        <f t="shared" si="68"/>
        <v>0</v>
      </c>
      <c r="C842">
        <f t="shared" si="68"/>
        <v>0</v>
      </c>
      <c r="D842">
        <f t="shared" si="65"/>
        <v>0</v>
      </c>
    </row>
    <row r="843" spans="1:4" x14ac:dyDescent="0.3">
      <c r="A843">
        <f t="shared" si="68"/>
        <v>0</v>
      </c>
      <c r="B843">
        <f t="shared" si="68"/>
        <v>0</v>
      </c>
      <c r="C843">
        <f t="shared" si="68"/>
        <v>0</v>
      </c>
      <c r="D843">
        <f t="shared" si="65"/>
        <v>0</v>
      </c>
    </row>
    <row r="844" spans="1:4" x14ac:dyDescent="0.3">
      <c r="A844">
        <f t="shared" si="68"/>
        <v>0</v>
      </c>
      <c r="B844">
        <f t="shared" si="68"/>
        <v>0</v>
      </c>
      <c r="C844">
        <f t="shared" si="68"/>
        <v>0</v>
      </c>
      <c r="D844">
        <f t="shared" si="65"/>
        <v>0</v>
      </c>
    </row>
    <row r="845" spans="1:4" x14ac:dyDescent="0.3">
      <c r="A845">
        <f t="shared" si="68"/>
        <v>0</v>
      </c>
      <c r="B845">
        <f t="shared" si="68"/>
        <v>0</v>
      </c>
      <c r="C845">
        <f t="shared" si="68"/>
        <v>0</v>
      </c>
      <c r="D845">
        <f t="shared" si="65"/>
        <v>0</v>
      </c>
    </row>
    <row r="846" spans="1:4" x14ac:dyDescent="0.3">
      <c r="A846">
        <f t="shared" si="68"/>
        <v>0</v>
      </c>
      <c r="B846">
        <f t="shared" si="68"/>
        <v>0</v>
      </c>
      <c r="C846">
        <f t="shared" si="68"/>
        <v>0</v>
      </c>
      <c r="D846">
        <f t="shared" si="65"/>
        <v>0</v>
      </c>
    </row>
    <row r="847" spans="1:4" x14ac:dyDescent="0.3">
      <c r="A847">
        <f t="shared" si="68"/>
        <v>0</v>
      </c>
      <c r="B847">
        <f t="shared" si="68"/>
        <v>0</v>
      </c>
      <c r="C847">
        <f t="shared" si="68"/>
        <v>0</v>
      </c>
      <c r="D847">
        <f t="shared" si="65"/>
        <v>0</v>
      </c>
    </row>
    <row r="848" spans="1:4" x14ac:dyDescent="0.3">
      <c r="A848">
        <f t="shared" si="68"/>
        <v>0</v>
      </c>
      <c r="B848">
        <f t="shared" si="68"/>
        <v>0</v>
      </c>
      <c r="C848">
        <f t="shared" si="68"/>
        <v>0</v>
      </c>
      <c r="D848">
        <f t="shared" si="65"/>
        <v>0</v>
      </c>
    </row>
    <row r="849" spans="1:4" x14ac:dyDescent="0.3">
      <c r="A849">
        <f t="shared" si="68"/>
        <v>0</v>
      </c>
      <c r="B849">
        <f t="shared" si="68"/>
        <v>0</v>
      </c>
      <c r="C849">
        <f t="shared" si="68"/>
        <v>0</v>
      </c>
      <c r="D849">
        <f t="shared" si="65"/>
        <v>0</v>
      </c>
    </row>
    <row r="850" spans="1:4" x14ac:dyDescent="0.3">
      <c r="A850">
        <f t="shared" si="68"/>
        <v>0</v>
      </c>
      <c r="B850">
        <f t="shared" si="68"/>
        <v>0</v>
      </c>
      <c r="C850">
        <f t="shared" si="68"/>
        <v>0</v>
      </c>
      <c r="D850">
        <f t="shared" si="65"/>
        <v>0</v>
      </c>
    </row>
    <row r="851" spans="1:4" x14ac:dyDescent="0.3">
      <c r="A851">
        <f t="shared" si="68"/>
        <v>0</v>
      </c>
      <c r="B851">
        <f t="shared" si="68"/>
        <v>0</v>
      </c>
      <c r="C851">
        <f t="shared" si="68"/>
        <v>0</v>
      </c>
      <c r="D851">
        <f t="shared" ref="D851:D914" si="69">((0*(1/3.6))*(3.6))*(1/3.6)</f>
        <v>0</v>
      </c>
    </row>
    <row r="852" spans="1:4" x14ac:dyDescent="0.3">
      <c r="A852">
        <f t="shared" si="68"/>
        <v>0</v>
      </c>
      <c r="B852">
        <f t="shared" si="68"/>
        <v>0</v>
      </c>
      <c r="C852">
        <f t="shared" si="68"/>
        <v>0</v>
      </c>
      <c r="D852">
        <f t="shared" si="69"/>
        <v>0</v>
      </c>
    </row>
    <row r="853" spans="1:4" x14ac:dyDescent="0.3">
      <c r="A853">
        <f t="shared" si="68"/>
        <v>0</v>
      </c>
      <c r="B853">
        <f t="shared" si="68"/>
        <v>0</v>
      </c>
      <c r="C853">
        <f t="shared" si="68"/>
        <v>0</v>
      </c>
      <c r="D853">
        <f t="shared" si="69"/>
        <v>0</v>
      </c>
    </row>
    <row r="854" spans="1:4" x14ac:dyDescent="0.3">
      <c r="A854">
        <f t="shared" si="68"/>
        <v>0</v>
      </c>
      <c r="B854">
        <f t="shared" si="68"/>
        <v>0</v>
      </c>
      <c r="C854">
        <f t="shared" si="68"/>
        <v>0</v>
      </c>
      <c r="D854">
        <f t="shared" si="69"/>
        <v>0</v>
      </c>
    </row>
    <row r="855" spans="1:4" x14ac:dyDescent="0.3">
      <c r="A855">
        <f t="shared" si="68"/>
        <v>0</v>
      </c>
      <c r="B855">
        <f t="shared" si="68"/>
        <v>0</v>
      </c>
      <c r="C855">
        <f t="shared" si="68"/>
        <v>0</v>
      </c>
      <c r="D855">
        <f t="shared" si="69"/>
        <v>0</v>
      </c>
    </row>
    <row r="856" spans="1:4" x14ac:dyDescent="0.3">
      <c r="A856">
        <f t="shared" si="68"/>
        <v>0</v>
      </c>
      <c r="B856">
        <f t="shared" si="68"/>
        <v>0</v>
      </c>
      <c r="C856">
        <f t="shared" si="68"/>
        <v>0</v>
      </c>
      <c r="D856">
        <f t="shared" si="69"/>
        <v>0</v>
      </c>
    </row>
    <row r="857" spans="1:4" x14ac:dyDescent="0.3">
      <c r="A857">
        <f t="shared" ref="A857:C868" si="70">((0*(1/3.6))*(3.6))*(1/3.6)</f>
        <v>0</v>
      </c>
      <c r="B857">
        <f t="shared" si="70"/>
        <v>0</v>
      </c>
      <c r="C857">
        <f t="shared" si="70"/>
        <v>0</v>
      </c>
      <c r="D857">
        <f t="shared" si="69"/>
        <v>0</v>
      </c>
    </row>
    <row r="858" spans="1:4" x14ac:dyDescent="0.3">
      <c r="A858">
        <f t="shared" si="70"/>
        <v>0</v>
      </c>
      <c r="B858">
        <f t="shared" si="70"/>
        <v>0</v>
      </c>
      <c r="C858">
        <f t="shared" si="70"/>
        <v>0</v>
      </c>
      <c r="D858">
        <f t="shared" si="69"/>
        <v>0</v>
      </c>
    </row>
    <row r="859" spans="1:4" x14ac:dyDescent="0.3">
      <c r="A859">
        <f t="shared" si="70"/>
        <v>0</v>
      </c>
      <c r="B859">
        <f t="shared" si="70"/>
        <v>0</v>
      </c>
      <c r="C859">
        <f t="shared" si="70"/>
        <v>0</v>
      </c>
      <c r="D859">
        <f t="shared" si="69"/>
        <v>0</v>
      </c>
    </row>
    <row r="860" spans="1:4" x14ac:dyDescent="0.3">
      <c r="A860">
        <f t="shared" si="70"/>
        <v>0</v>
      </c>
      <c r="B860">
        <f t="shared" si="70"/>
        <v>0</v>
      </c>
      <c r="C860">
        <f t="shared" si="70"/>
        <v>0</v>
      </c>
      <c r="D860">
        <f t="shared" si="69"/>
        <v>0</v>
      </c>
    </row>
    <row r="861" spans="1:4" x14ac:dyDescent="0.3">
      <c r="A861">
        <f t="shared" si="70"/>
        <v>0</v>
      </c>
      <c r="B861">
        <f t="shared" si="70"/>
        <v>0</v>
      </c>
      <c r="C861">
        <f t="shared" si="70"/>
        <v>0</v>
      </c>
      <c r="D861">
        <f t="shared" si="69"/>
        <v>0</v>
      </c>
    </row>
    <row r="862" spans="1:4" x14ac:dyDescent="0.3">
      <c r="A862">
        <f t="shared" si="70"/>
        <v>0</v>
      </c>
      <c r="B862">
        <f t="shared" si="70"/>
        <v>0</v>
      </c>
      <c r="C862">
        <f t="shared" si="70"/>
        <v>0</v>
      </c>
      <c r="D862">
        <f t="shared" si="69"/>
        <v>0</v>
      </c>
    </row>
    <row r="863" spans="1:4" x14ac:dyDescent="0.3">
      <c r="A863">
        <f t="shared" si="70"/>
        <v>0</v>
      </c>
      <c r="B863">
        <f t="shared" si="70"/>
        <v>0</v>
      </c>
      <c r="C863">
        <f t="shared" si="70"/>
        <v>0</v>
      </c>
      <c r="D863">
        <f t="shared" si="69"/>
        <v>0</v>
      </c>
    </row>
    <row r="864" spans="1:4" x14ac:dyDescent="0.3">
      <c r="A864">
        <f t="shared" si="70"/>
        <v>0</v>
      </c>
      <c r="B864">
        <f t="shared" si="70"/>
        <v>0</v>
      </c>
      <c r="C864">
        <f t="shared" si="70"/>
        <v>0</v>
      </c>
      <c r="D864">
        <f t="shared" si="69"/>
        <v>0</v>
      </c>
    </row>
    <row r="865" spans="1:4" x14ac:dyDescent="0.3">
      <c r="A865">
        <f t="shared" si="70"/>
        <v>0</v>
      </c>
      <c r="B865">
        <f t="shared" si="70"/>
        <v>0</v>
      </c>
      <c r="C865">
        <f t="shared" si="70"/>
        <v>0</v>
      </c>
      <c r="D865">
        <f t="shared" si="69"/>
        <v>0</v>
      </c>
    </row>
    <row r="866" spans="1:4" x14ac:dyDescent="0.3">
      <c r="A866">
        <f t="shared" si="70"/>
        <v>0</v>
      </c>
      <c r="B866">
        <f t="shared" si="70"/>
        <v>0</v>
      </c>
      <c r="C866">
        <f t="shared" si="70"/>
        <v>0</v>
      </c>
      <c r="D866">
        <f t="shared" si="69"/>
        <v>0</v>
      </c>
    </row>
    <row r="867" spans="1:4" x14ac:dyDescent="0.3">
      <c r="A867">
        <f t="shared" si="70"/>
        <v>0</v>
      </c>
      <c r="B867">
        <f t="shared" si="70"/>
        <v>0</v>
      </c>
      <c r="C867">
        <f t="shared" si="70"/>
        <v>0</v>
      </c>
      <c r="D867">
        <f t="shared" si="69"/>
        <v>0</v>
      </c>
    </row>
    <row r="868" spans="1:4" x14ac:dyDescent="0.3">
      <c r="A868">
        <f t="shared" si="70"/>
        <v>0</v>
      </c>
      <c r="B868">
        <f t="shared" si="70"/>
        <v>0</v>
      </c>
      <c r="C868">
        <f t="shared" si="70"/>
        <v>0</v>
      </c>
      <c r="D868">
        <f t="shared" si="69"/>
        <v>0</v>
      </c>
    </row>
    <row r="869" spans="1:4" x14ac:dyDescent="0.3">
      <c r="A869">
        <f>((141.9*(1/3.6))*(3.6))*(1/3.6)</f>
        <v>39.416666666666679</v>
      </c>
      <c r="B869">
        <f t="shared" ref="B869:C888" si="71">((0*(1/3.6))*(3.6))*(1/3.6)</f>
        <v>0</v>
      </c>
      <c r="C869">
        <f t="shared" si="71"/>
        <v>0</v>
      </c>
      <c r="D869">
        <f t="shared" si="69"/>
        <v>0</v>
      </c>
    </row>
    <row r="870" spans="1:4" x14ac:dyDescent="0.3">
      <c r="A870">
        <f t="shared" ref="A870:A933" si="72">((0*(1/3.6))*(3.6))*(1/3.6)</f>
        <v>0</v>
      </c>
      <c r="B870">
        <f t="shared" si="71"/>
        <v>0</v>
      </c>
      <c r="C870">
        <f t="shared" si="71"/>
        <v>0</v>
      </c>
      <c r="D870">
        <f t="shared" si="69"/>
        <v>0</v>
      </c>
    </row>
    <row r="871" spans="1:4" x14ac:dyDescent="0.3">
      <c r="A871">
        <f t="shared" si="72"/>
        <v>0</v>
      </c>
      <c r="B871">
        <f t="shared" si="71"/>
        <v>0</v>
      </c>
      <c r="C871">
        <f t="shared" si="71"/>
        <v>0</v>
      </c>
      <c r="D871">
        <f t="shared" si="69"/>
        <v>0</v>
      </c>
    </row>
    <row r="872" spans="1:4" x14ac:dyDescent="0.3">
      <c r="A872">
        <f t="shared" si="72"/>
        <v>0</v>
      </c>
      <c r="B872">
        <f t="shared" si="71"/>
        <v>0</v>
      </c>
      <c r="C872">
        <f t="shared" si="71"/>
        <v>0</v>
      </c>
      <c r="D872">
        <f t="shared" si="69"/>
        <v>0</v>
      </c>
    </row>
    <row r="873" spans="1:4" x14ac:dyDescent="0.3">
      <c r="A873">
        <f t="shared" si="72"/>
        <v>0</v>
      </c>
      <c r="B873">
        <f t="shared" si="71"/>
        <v>0</v>
      </c>
      <c r="C873">
        <f t="shared" si="71"/>
        <v>0</v>
      </c>
      <c r="D873">
        <f t="shared" si="69"/>
        <v>0</v>
      </c>
    </row>
    <row r="874" spans="1:4" x14ac:dyDescent="0.3">
      <c r="A874">
        <f t="shared" si="72"/>
        <v>0</v>
      </c>
      <c r="B874">
        <f t="shared" si="71"/>
        <v>0</v>
      </c>
      <c r="C874">
        <f t="shared" si="71"/>
        <v>0</v>
      </c>
      <c r="D874">
        <f t="shared" si="69"/>
        <v>0</v>
      </c>
    </row>
    <row r="875" spans="1:4" x14ac:dyDescent="0.3">
      <c r="A875">
        <f t="shared" si="72"/>
        <v>0</v>
      </c>
      <c r="B875">
        <f t="shared" si="71"/>
        <v>0</v>
      </c>
      <c r="C875">
        <f t="shared" si="71"/>
        <v>0</v>
      </c>
      <c r="D875">
        <f t="shared" si="69"/>
        <v>0</v>
      </c>
    </row>
    <row r="876" spans="1:4" x14ac:dyDescent="0.3">
      <c r="A876">
        <f t="shared" si="72"/>
        <v>0</v>
      </c>
      <c r="B876">
        <f t="shared" si="71"/>
        <v>0</v>
      </c>
      <c r="C876">
        <f t="shared" si="71"/>
        <v>0</v>
      </c>
      <c r="D876">
        <f t="shared" si="69"/>
        <v>0</v>
      </c>
    </row>
    <row r="877" spans="1:4" x14ac:dyDescent="0.3">
      <c r="A877">
        <f t="shared" si="72"/>
        <v>0</v>
      </c>
      <c r="B877">
        <f t="shared" si="71"/>
        <v>0</v>
      </c>
      <c r="C877">
        <f t="shared" si="71"/>
        <v>0</v>
      </c>
      <c r="D877">
        <f t="shared" si="69"/>
        <v>0</v>
      </c>
    </row>
    <row r="878" spans="1:4" x14ac:dyDescent="0.3">
      <c r="A878">
        <f t="shared" si="72"/>
        <v>0</v>
      </c>
      <c r="B878">
        <f t="shared" si="71"/>
        <v>0</v>
      </c>
      <c r="C878">
        <f t="shared" si="71"/>
        <v>0</v>
      </c>
      <c r="D878">
        <f t="shared" si="69"/>
        <v>0</v>
      </c>
    </row>
    <row r="879" spans="1:4" x14ac:dyDescent="0.3">
      <c r="A879">
        <f t="shared" si="72"/>
        <v>0</v>
      </c>
      <c r="B879">
        <f t="shared" si="71"/>
        <v>0</v>
      </c>
      <c r="C879">
        <f t="shared" si="71"/>
        <v>0</v>
      </c>
      <c r="D879">
        <f t="shared" si="69"/>
        <v>0</v>
      </c>
    </row>
    <row r="880" spans="1:4" x14ac:dyDescent="0.3">
      <c r="A880">
        <f t="shared" si="72"/>
        <v>0</v>
      </c>
      <c r="B880">
        <f t="shared" si="71"/>
        <v>0</v>
      </c>
      <c r="C880">
        <f t="shared" si="71"/>
        <v>0</v>
      </c>
      <c r="D880">
        <f t="shared" si="69"/>
        <v>0</v>
      </c>
    </row>
    <row r="881" spans="1:4" x14ac:dyDescent="0.3">
      <c r="A881">
        <f t="shared" si="72"/>
        <v>0</v>
      </c>
      <c r="B881">
        <f t="shared" si="71"/>
        <v>0</v>
      </c>
      <c r="C881">
        <f t="shared" si="71"/>
        <v>0</v>
      </c>
      <c r="D881">
        <f t="shared" si="69"/>
        <v>0</v>
      </c>
    </row>
    <row r="882" spans="1:4" x14ac:dyDescent="0.3">
      <c r="A882">
        <f t="shared" si="72"/>
        <v>0</v>
      </c>
      <c r="B882">
        <f t="shared" si="71"/>
        <v>0</v>
      </c>
      <c r="C882">
        <f t="shared" si="71"/>
        <v>0</v>
      </c>
      <c r="D882">
        <f t="shared" si="69"/>
        <v>0</v>
      </c>
    </row>
    <row r="883" spans="1:4" x14ac:dyDescent="0.3">
      <c r="A883">
        <f t="shared" si="72"/>
        <v>0</v>
      </c>
      <c r="B883">
        <f t="shared" si="71"/>
        <v>0</v>
      </c>
      <c r="C883">
        <f t="shared" si="71"/>
        <v>0</v>
      </c>
      <c r="D883">
        <f t="shared" si="69"/>
        <v>0</v>
      </c>
    </row>
    <row r="884" spans="1:4" x14ac:dyDescent="0.3">
      <c r="A884">
        <f t="shared" si="72"/>
        <v>0</v>
      </c>
      <c r="B884">
        <f t="shared" si="71"/>
        <v>0</v>
      </c>
      <c r="C884">
        <f t="shared" si="71"/>
        <v>0</v>
      </c>
      <c r="D884">
        <f t="shared" si="69"/>
        <v>0</v>
      </c>
    </row>
    <row r="885" spans="1:4" x14ac:dyDescent="0.3">
      <c r="A885">
        <f t="shared" si="72"/>
        <v>0</v>
      </c>
      <c r="B885">
        <f t="shared" si="71"/>
        <v>0</v>
      </c>
      <c r="C885">
        <f t="shared" si="71"/>
        <v>0</v>
      </c>
      <c r="D885">
        <f t="shared" si="69"/>
        <v>0</v>
      </c>
    </row>
    <row r="886" spans="1:4" x14ac:dyDescent="0.3">
      <c r="A886">
        <f t="shared" si="72"/>
        <v>0</v>
      </c>
      <c r="B886">
        <f t="shared" si="71"/>
        <v>0</v>
      </c>
      <c r="C886">
        <f t="shared" si="71"/>
        <v>0</v>
      </c>
      <c r="D886">
        <f t="shared" si="69"/>
        <v>0</v>
      </c>
    </row>
    <row r="887" spans="1:4" x14ac:dyDescent="0.3">
      <c r="A887">
        <f t="shared" si="72"/>
        <v>0</v>
      </c>
      <c r="B887">
        <f t="shared" si="71"/>
        <v>0</v>
      </c>
      <c r="C887">
        <f t="shared" si="71"/>
        <v>0</v>
      </c>
      <c r="D887">
        <f t="shared" si="69"/>
        <v>0</v>
      </c>
    </row>
    <row r="888" spans="1:4" x14ac:dyDescent="0.3">
      <c r="A888">
        <f t="shared" si="72"/>
        <v>0</v>
      </c>
      <c r="B888">
        <f t="shared" si="71"/>
        <v>0</v>
      </c>
      <c r="C888">
        <f t="shared" si="71"/>
        <v>0</v>
      </c>
      <c r="D888">
        <f t="shared" si="69"/>
        <v>0</v>
      </c>
    </row>
    <row r="889" spans="1:4" x14ac:dyDescent="0.3">
      <c r="A889">
        <f t="shared" si="72"/>
        <v>0</v>
      </c>
      <c r="B889">
        <f t="shared" ref="B889:C901" si="73">((0*(1/3.6))*(3.6))*(1/3.6)</f>
        <v>0</v>
      </c>
      <c r="C889">
        <f t="shared" si="73"/>
        <v>0</v>
      </c>
      <c r="D889">
        <f t="shared" si="69"/>
        <v>0</v>
      </c>
    </row>
    <row r="890" spans="1:4" x14ac:dyDescent="0.3">
      <c r="A890">
        <f t="shared" si="72"/>
        <v>0</v>
      </c>
      <c r="B890">
        <f t="shared" si="73"/>
        <v>0</v>
      </c>
      <c r="C890">
        <f t="shared" si="73"/>
        <v>0</v>
      </c>
      <c r="D890">
        <f t="shared" si="69"/>
        <v>0</v>
      </c>
    </row>
    <row r="891" spans="1:4" x14ac:dyDescent="0.3">
      <c r="A891">
        <f t="shared" si="72"/>
        <v>0</v>
      </c>
      <c r="B891">
        <f t="shared" si="73"/>
        <v>0</v>
      </c>
      <c r="C891">
        <f t="shared" si="73"/>
        <v>0</v>
      </c>
      <c r="D891">
        <f t="shared" si="69"/>
        <v>0</v>
      </c>
    </row>
    <row r="892" spans="1:4" x14ac:dyDescent="0.3">
      <c r="A892">
        <f t="shared" si="72"/>
        <v>0</v>
      </c>
      <c r="B892">
        <f t="shared" si="73"/>
        <v>0</v>
      </c>
      <c r="C892">
        <f t="shared" si="73"/>
        <v>0</v>
      </c>
      <c r="D892">
        <f t="shared" si="69"/>
        <v>0</v>
      </c>
    </row>
    <row r="893" spans="1:4" x14ac:dyDescent="0.3">
      <c r="A893">
        <f t="shared" si="72"/>
        <v>0</v>
      </c>
      <c r="B893">
        <f t="shared" si="73"/>
        <v>0</v>
      </c>
      <c r="C893">
        <f t="shared" si="73"/>
        <v>0</v>
      </c>
      <c r="D893">
        <f t="shared" si="69"/>
        <v>0</v>
      </c>
    </row>
    <row r="894" spans="1:4" x14ac:dyDescent="0.3">
      <c r="A894">
        <f t="shared" si="72"/>
        <v>0</v>
      </c>
      <c r="B894">
        <f t="shared" si="73"/>
        <v>0</v>
      </c>
      <c r="C894">
        <f t="shared" si="73"/>
        <v>0</v>
      </c>
      <c r="D894">
        <f t="shared" si="69"/>
        <v>0</v>
      </c>
    </row>
    <row r="895" spans="1:4" x14ac:dyDescent="0.3">
      <c r="A895">
        <f t="shared" si="72"/>
        <v>0</v>
      </c>
      <c r="B895">
        <f t="shared" si="73"/>
        <v>0</v>
      </c>
      <c r="C895">
        <f t="shared" si="73"/>
        <v>0</v>
      </c>
      <c r="D895">
        <f t="shared" si="69"/>
        <v>0</v>
      </c>
    </row>
    <row r="896" spans="1:4" x14ac:dyDescent="0.3">
      <c r="A896">
        <f t="shared" si="72"/>
        <v>0</v>
      </c>
      <c r="B896">
        <f t="shared" si="73"/>
        <v>0</v>
      </c>
      <c r="C896">
        <f t="shared" si="73"/>
        <v>0</v>
      </c>
      <c r="D896">
        <f t="shared" si="69"/>
        <v>0</v>
      </c>
    </row>
    <row r="897" spans="1:4" x14ac:dyDescent="0.3">
      <c r="A897">
        <f t="shared" si="72"/>
        <v>0</v>
      </c>
      <c r="B897">
        <f t="shared" si="73"/>
        <v>0</v>
      </c>
      <c r="C897">
        <f t="shared" si="73"/>
        <v>0</v>
      </c>
      <c r="D897">
        <f t="shared" si="69"/>
        <v>0</v>
      </c>
    </row>
    <row r="898" spans="1:4" x14ac:dyDescent="0.3">
      <c r="A898">
        <f t="shared" si="72"/>
        <v>0</v>
      </c>
      <c r="B898">
        <f t="shared" si="73"/>
        <v>0</v>
      </c>
      <c r="C898">
        <f t="shared" si="73"/>
        <v>0</v>
      </c>
      <c r="D898">
        <f t="shared" si="69"/>
        <v>0</v>
      </c>
    </row>
    <row r="899" spans="1:4" x14ac:dyDescent="0.3">
      <c r="A899">
        <f t="shared" si="72"/>
        <v>0</v>
      </c>
      <c r="B899">
        <f t="shared" si="73"/>
        <v>0</v>
      </c>
      <c r="C899">
        <f t="shared" si="73"/>
        <v>0</v>
      </c>
      <c r="D899">
        <f t="shared" si="69"/>
        <v>0</v>
      </c>
    </row>
    <row r="900" spans="1:4" x14ac:dyDescent="0.3">
      <c r="A900">
        <f t="shared" si="72"/>
        <v>0</v>
      </c>
      <c r="B900">
        <f t="shared" si="73"/>
        <v>0</v>
      </c>
      <c r="C900">
        <f t="shared" si="73"/>
        <v>0</v>
      </c>
      <c r="D900">
        <f t="shared" si="69"/>
        <v>0</v>
      </c>
    </row>
    <row r="901" spans="1:4" x14ac:dyDescent="0.3">
      <c r="A901">
        <f t="shared" si="72"/>
        <v>0</v>
      </c>
      <c r="B901">
        <f t="shared" si="73"/>
        <v>0</v>
      </c>
      <c r="C901">
        <f t="shared" si="73"/>
        <v>0</v>
      </c>
      <c r="D901">
        <f t="shared" si="69"/>
        <v>0</v>
      </c>
    </row>
    <row r="902" spans="1:4" x14ac:dyDescent="0.3">
      <c r="A902">
        <f t="shared" si="72"/>
        <v>0</v>
      </c>
      <c r="B902">
        <f>266.9*(1/3.6)</f>
        <v>74.138888888888886</v>
      </c>
      <c r="C902">
        <f t="shared" ref="C902:C965" si="74">((0*(1/3.6))*(3.6))*(1/3.6)</f>
        <v>0</v>
      </c>
      <c r="D902">
        <f t="shared" si="69"/>
        <v>0</v>
      </c>
    </row>
    <row r="903" spans="1:4" x14ac:dyDescent="0.3">
      <c r="A903">
        <f t="shared" si="72"/>
        <v>0</v>
      </c>
      <c r="B903">
        <f t="shared" ref="B903:B966" si="75">((0*(1/3.6))*(3.6))*(1/3.6)</f>
        <v>0</v>
      </c>
      <c r="C903">
        <f t="shared" si="74"/>
        <v>0</v>
      </c>
      <c r="D903">
        <f t="shared" si="69"/>
        <v>0</v>
      </c>
    </row>
    <row r="904" spans="1:4" x14ac:dyDescent="0.3">
      <c r="A904">
        <f t="shared" si="72"/>
        <v>0</v>
      </c>
      <c r="B904">
        <f t="shared" si="75"/>
        <v>0</v>
      </c>
      <c r="C904">
        <f t="shared" si="74"/>
        <v>0</v>
      </c>
      <c r="D904">
        <f t="shared" si="69"/>
        <v>0</v>
      </c>
    </row>
    <row r="905" spans="1:4" x14ac:dyDescent="0.3">
      <c r="A905">
        <f t="shared" si="72"/>
        <v>0</v>
      </c>
      <c r="B905">
        <f t="shared" si="75"/>
        <v>0</v>
      </c>
      <c r="C905">
        <f t="shared" si="74"/>
        <v>0</v>
      </c>
      <c r="D905">
        <f t="shared" si="69"/>
        <v>0</v>
      </c>
    </row>
    <row r="906" spans="1:4" x14ac:dyDescent="0.3">
      <c r="A906">
        <f t="shared" si="72"/>
        <v>0</v>
      </c>
      <c r="B906">
        <f t="shared" si="75"/>
        <v>0</v>
      </c>
      <c r="C906">
        <f t="shared" si="74"/>
        <v>0</v>
      </c>
      <c r="D906">
        <f t="shared" si="69"/>
        <v>0</v>
      </c>
    </row>
    <row r="907" spans="1:4" x14ac:dyDescent="0.3">
      <c r="A907">
        <f t="shared" si="72"/>
        <v>0</v>
      </c>
      <c r="B907">
        <f t="shared" si="75"/>
        <v>0</v>
      </c>
      <c r="C907">
        <f t="shared" si="74"/>
        <v>0</v>
      </c>
      <c r="D907">
        <f t="shared" si="69"/>
        <v>0</v>
      </c>
    </row>
    <row r="908" spans="1:4" x14ac:dyDescent="0.3">
      <c r="A908">
        <f t="shared" si="72"/>
        <v>0</v>
      </c>
      <c r="B908">
        <f t="shared" si="75"/>
        <v>0</v>
      </c>
      <c r="C908">
        <f t="shared" si="74"/>
        <v>0</v>
      </c>
      <c r="D908">
        <f t="shared" si="69"/>
        <v>0</v>
      </c>
    </row>
    <row r="909" spans="1:4" x14ac:dyDescent="0.3">
      <c r="A909">
        <f t="shared" si="72"/>
        <v>0</v>
      </c>
      <c r="B909">
        <f t="shared" si="75"/>
        <v>0</v>
      </c>
      <c r="C909">
        <f t="shared" si="74"/>
        <v>0</v>
      </c>
      <c r="D909">
        <f t="shared" si="69"/>
        <v>0</v>
      </c>
    </row>
    <row r="910" spans="1:4" x14ac:dyDescent="0.3">
      <c r="A910">
        <f t="shared" si="72"/>
        <v>0</v>
      </c>
      <c r="B910">
        <f t="shared" si="75"/>
        <v>0</v>
      </c>
      <c r="C910">
        <f t="shared" si="74"/>
        <v>0</v>
      </c>
      <c r="D910">
        <f t="shared" si="69"/>
        <v>0</v>
      </c>
    </row>
    <row r="911" spans="1:4" x14ac:dyDescent="0.3">
      <c r="A911">
        <f t="shared" si="72"/>
        <v>0</v>
      </c>
      <c r="B911">
        <f t="shared" si="75"/>
        <v>0</v>
      </c>
      <c r="C911">
        <f t="shared" si="74"/>
        <v>0</v>
      </c>
      <c r="D911">
        <f t="shared" si="69"/>
        <v>0</v>
      </c>
    </row>
    <row r="912" spans="1:4" x14ac:dyDescent="0.3">
      <c r="A912">
        <f t="shared" si="72"/>
        <v>0</v>
      </c>
      <c r="B912">
        <f t="shared" si="75"/>
        <v>0</v>
      </c>
      <c r="C912">
        <f t="shared" si="74"/>
        <v>0</v>
      </c>
      <c r="D912">
        <f t="shared" si="69"/>
        <v>0</v>
      </c>
    </row>
    <row r="913" spans="1:4" x14ac:dyDescent="0.3">
      <c r="A913">
        <f t="shared" si="72"/>
        <v>0</v>
      </c>
      <c r="B913">
        <f t="shared" si="75"/>
        <v>0</v>
      </c>
      <c r="C913">
        <f t="shared" si="74"/>
        <v>0</v>
      </c>
      <c r="D913">
        <f t="shared" si="69"/>
        <v>0</v>
      </c>
    </row>
    <row r="914" spans="1:4" x14ac:dyDescent="0.3">
      <c r="A914">
        <f t="shared" si="72"/>
        <v>0</v>
      </c>
      <c r="B914">
        <f t="shared" si="75"/>
        <v>0</v>
      </c>
      <c r="C914">
        <f t="shared" si="74"/>
        <v>0</v>
      </c>
      <c r="D914">
        <f t="shared" si="69"/>
        <v>0</v>
      </c>
    </row>
    <row r="915" spans="1:4" x14ac:dyDescent="0.3">
      <c r="A915">
        <f t="shared" si="72"/>
        <v>0</v>
      </c>
      <c r="B915">
        <f t="shared" si="75"/>
        <v>0</v>
      </c>
      <c r="C915">
        <f t="shared" si="74"/>
        <v>0</v>
      </c>
      <c r="D915">
        <f t="shared" ref="D915:D978" si="76">((0*(1/3.6))*(3.6))*(1/3.6)</f>
        <v>0</v>
      </c>
    </row>
    <row r="916" spans="1:4" x14ac:dyDescent="0.3">
      <c r="A916">
        <f t="shared" si="72"/>
        <v>0</v>
      </c>
      <c r="B916">
        <f t="shared" si="75"/>
        <v>0</v>
      </c>
      <c r="C916">
        <f t="shared" si="74"/>
        <v>0</v>
      </c>
      <c r="D916">
        <f t="shared" si="76"/>
        <v>0</v>
      </c>
    </row>
    <row r="917" spans="1:4" x14ac:dyDescent="0.3">
      <c r="A917">
        <f t="shared" si="72"/>
        <v>0</v>
      </c>
      <c r="B917">
        <f t="shared" si="75"/>
        <v>0</v>
      </c>
      <c r="C917">
        <f t="shared" si="74"/>
        <v>0</v>
      </c>
      <c r="D917">
        <f t="shared" si="76"/>
        <v>0</v>
      </c>
    </row>
    <row r="918" spans="1:4" x14ac:dyDescent="0.3">
      <c r="A918">
        <f t="shared" si="72"/>
        <v>0</v>
      </c>
      <c r="B918">
        <f t="shared" si="75"/>
        <v>0</v>
      </c>
      <c r="C918">
        <f t="shared" si="74"/>
        <v>0</v>
      </c>
      <c r="D918">
        <f t="shared" si="76"/>
        <v>0</v>
      </c>
    </row>
    <row r="919" spans="1:4" x14ac:dyDescent="0.3">
      <c r="A919">
        <f t="shared" si="72"/>
        <v>0</v>
      </c>
      <c r="B919">
        <f t="shared" si="75"/>
        <v>0</v>
      </c>
      <c r="C919">
        <f t="shared" si="74"/>
        <v>0</v>
      </c>
      <c r="D919">
        <f t="shared" si="76"/>
        <v>0</v>
      </c>
    </row>
    <row r="920" spans="1:4" x14ac:dyDescent="0.3">
      <c r="A920">
        <f t="shared" si="72"/>
        <v>0</v>
      </c>
      <c r="B920">
        <f t="shared" si="75"/>
        <v>0</v>
      </c>
      <c r="C920">
        <f t="shared" si="74"/>
        <v>0</v>
      </c>
      <c r="D920">
        <f t="shared" si="76"/>
        <v>0</v>
      </c>
    </row>
    <row r="921" spans="1:4" x14ac:dyDescent="0.3">
      <c r="A921">
        <f t="shared" si="72"/>
        <v>0</v>
      </c>
      <c r="B921">
        <f t="shared" si="75"/>
        <v>0</v>
      </c>
      <c r="C921">
        <f t="shared" si="74"/>
        <v>0</v>
      </c>
      <c r="D921">
        <f t="shared" si="76"/>
        <v>0</v>
      </c>
    </row>
    <row r="922" spans="1:4" x14ac:dyDescent="0.3">
      <c r="A922">
        <f t="shared" si="72"/>
        <v>0</v>
      </c>
      <c r="B922">
        <f t="shared" si="75"/>
        <v>0</v>
      </c>
      <c r="C922">
        <f t="shared" si="74"/>
        <v>0</v>
      </c>
      <c r="D922">
        <f t="shared" si="76"/>
        <v>0</v>
      </c>
    </row>
    <row r="923" spans="1:4" x14ac:dyDescent="0.3">
      <c r="A923">
        <f t="shared" si="72"/>
        <v>0</v>
      </c>
      <c r="B923">
        <f t="shared" si="75"/>
        <v>0</v>
      </c>
      <c r="C923">
        <f t="shared" si="74"/>
        <v>0</v>
      </c>
      <c r="D923">
        <f t="shared" si="76"/>
        <v>0</v>
      </c>
    </row>
    <row r="924" spans="1:4" x14ac:dyDescent="0.3">
      <c r="A924">
        <f t="shared" si="72"/>
        <v>0</v>
      </c>
      <c r="B924">
        <f t="shared" si="75"/>
        <v>0</v>
      </c>
      <c r="C924">
        <f t="shared" si="74"/>
        <v>0</v>
      </c>
      <c r="D924">
        <f t="shared" si="76"/>
        <v>0</v>
      </c>
    </row>
    <row r="925" spans="1:4" x14ac:dyDescent="0.3">
      <c r="A925">
        <f t="shared" si="72"/>
        <v>0</v>
      </c>
      <c r="B925">
        <f t="shared" si="75"/>
        <v>0</v>
      </c>
      <c r="C925">
        <f t="shared" si="74"/>
        <v>0</v>
      </c>
      <c r="D925">
        <f t="shared" si="76"/>
        <v>0</v>
      </c>
    </row>
    <row r="926" spans="1:4" x14ac:dyDescent="0.3">
      <c r="A926">
        <f t="shared" si="72"/>
        <v>0</v>
      </c>
      <c r="B926">
        <f t="shared" si="75"/>
        <v>0</v>
      </c>
      <c r="C926">
        <f t="shared" si="74"/>
        <v>0</v>
      </c>
      <c r="D926">
        <f t="shared" si="76"/>
        <v>0</v>
      </c>
    </row>
    <row r="927" spans="1:4" x14ac:dyDescent="0.3">
      <c r="A927">
        <f t="shared" si="72"/>
        <v>0</v>
      </c>
      <c r="B927">
        <f t="shared" si="75"/>
        <v>0</v>
      </c>
      <c r="C927">
        <f t="shared" si="74"/>
        <v>0</v>
      </c>
      <c r="D927">
        <f t="shared" si="76"/>
        <v>0</v>
      </c>
    </row>
    <row r="928" spans="1:4" x14ac:dyDescent="0.3">
      <c r="A928">
        <f t="shared" si="72"/>
        <v>0</v>
      </c>
      <c r="B928">
        <f t="shared" si="75"/>
        <v>0</v>
      </c>
      <c r="C928">
        <f t="shared" si="74"/>
        <v>0</v>
      </c>
      <c r="D928">
        <f t="shared" si="76"/>
        <v>0</v>
      </c>
    </row>
    <row r="929" spans="1:4" x14ac:dyDescent="0.3">
      <c r="A929">
        <f t="shared" si="72"/>
        <v>0</v>
      </c>
      <c r="B929">
        <f t="shared" si="75"/>
        <v>0</v>
      </c>
      <c r="C929">
        <f t="shared" si="74"/>
        <v>0</v>
      </c>
      <c r="D929">
        <f t="shared" si="76"/>
        <v>0</v>
      </c>
    </row>
    <row r="930" spans="1:4" x14ac:dyDescent="0.3">
      <c r="A930">
        <f t="shared" si="72"/>
        <v>0</v>
      </c>
      <c r="B930">
        <f t="shared" si="75"/>
        <v>0</v>
      </c>
      <c r="C930">
        <f t="shared" si="74"/>
        <v>0</v>
      </c>
      <c r="D930">
        <f t="shared" si="76"/>
        <v>0</v>
      </c>
    </row>
    <row r="931" spans="1:4" x14ac:dyDescent="0.3">
      <c r="A931">
        <f t="shared" si="72"/>
        <v>0</v>
      </c>
      <c r="B931">
        <f t="shared" si="75"/>
        <v>0</v>
      </c>
      <c r="C931">
        <f t="shared" si="74"/>
        <v>0</v>
      </c>
      <c r="D931">
        <f t="shared" si="76"/>
        <v>0</v>
      </c>
    </row>
    <row r="932" spans="1:4" x14ac:dyDescent="0.3">
      <c r="A932">
        <f t="shared" si="72"/>
        <v>0</v>
      </c>
      <c r="B932">
        <f t="shared" si="75"/>
        <v>0</v>
      </c>
      <c r="C932">
        <f t="shared" si="74"/>
        <v>0</v>
      </c>
      <c r="D932">
        <f t="shared" si="76"/>
        <v>0</v>
      </c>
    </row>
    <row r="933" spans="1:4" x14ac:dyDescent="0.3">
      <c r="A933">
        <f t="shared" si="72"/>
        <v>0</v>
      </c>
      <c r="B933">
        <f t="shared" si="75"/>
        <v>0</v>
      </c>
      <c r="C933">
        <f t="shared" si="74"/>
        <v>0</v>
      </c>
      <c r="D933">
        <f t="shared" si="76"/>
        <v>0</v>
      </c>
    </row>
    <row r="934" spans="1:4" x14ac:dyDescent="0.3">
      <c r="A934">
        <f t="shared" ref="A934:A997" si="77">((0*(1/3.6))*(3.6))*(1/3.6)</f>
        <v>0</v>
      </c>
      <c r="B934">
        <f t="shared" si="75"/>
        <v>0</v>
      </c>
      <c r="C934">
        <f t="shared" si="74"/>
        <v>0</v>
      </c>
      <c r="D934">
        <f t="shared" si="76"/>
        <v>0</v>
      </c>
    </row>
    <row r="935" spans="1:4" x14ac:dyDescent="0.3">
      <c r="A935">
        <f t="shared" si="77"/>
        <v>0</v>
      </c>
      <c r="B935">
        <f t="shared" si="75"/>
        <v>0</v>
      </c>
      <c r="C935">
        <f t="shared" si="74"/>
        <v>0</v>
      </c>
      <c r="D935">
        <f t="shared" si="76"/>
        <v>0</v>
      </c>
    </row>
    <row r="936" spans="1:4" x14ac:dyDescent="0.3">
      <c r="A936">
        <f t="shared" si="77"/>
        <v>0</v>
      </c>
      <c r="B936">
        <f t="shared" si="75"/>
        <v>0</v>
      </c>
      <c r="C936">
        <f t="shared" si="74"/>
        <v>0</v>
      </c>
      <c r="D936">
        <f t="shared" si="76"/>
        <v>0</v>
      </c>
    </row>
    <row r="937" spans="1:4" x14ac:dyDescent="0.3">
      <c r="A937">
        <f t="shared" si="77"/>
        <v>0</v>
      </c>
      <c r="B937">
        <f t="shared" si="75"/>
        <v>0</v>
      </c>
      <c r="C937">
        <f t="shared" si="74"/>
        <v>0</v>
      </c>
      <c r="D937">
        <f t="shared" si="76"/>
        <v>0</v>
      </c>
    </row>
    <row r="938" spans="1:4" x14ac:dyDescent="0.3">
      <c r="A938">
        <f t="shared" si="77"/>
        <v>0</v>
      </c>
      <c r="B938">
        <f t="shared" si="75"/>
        <v>0</v>
      </c>
      <c r="C938">
        <f t="shared" si="74"/>
        <v>0</v>
      </c>
      <c r="D938">
        <f t="shared" si="76"/>
        <v>0</v>
      </c>
    </row>
    <row r="939" spans="1:4" x14ac:dyDescent="0.3">
      <c r="A939">
        <f t="shared" si="77"/>
        <v>0</v>
      </c>
      <c r="B939">
        <f t="shared" si="75"/>
        <v>0</v>
      </c>
      <c r="C939">
        <f t="shared" si="74"/>
        <v>0</v>
      </c>
      <c r="D939">
        <f t="shared" si="76"/>
        <v>0</v>
      </c>
    </row>
    <row r="940" spans="1:4" x14ac:dyDescent="0.3">
      <c r="A940">
        <f t="shared" si="77"/>
        <v>0</v>
      </c>
      <c r="B940">
        <f t="shared" si="75"/>
        <v>0</v>
      </c>
      <c r="C940">
        <f t="shared" si="74"/>
        <v>0</v>
      </c>
      <c r="D940">
        <f t="shared" si="76"/>
        <v>0</v>
      </c>
    </row>
    <row r="941" spans="1:4" x14ac:dyDescent="0.3">
      <c r="A941">
        <f t="shared" si="77"/>
        <v>0</v>
      </c>
      <c r="B941">
        <f t="shared" si="75"/>
        <v>0</v>
      </c>
      <c r="C941">
        <f t="shared" si="74"/>
        <v>0</v>
      </c>
      <c r="D941">
        <f t="shared" si="76"/>
        <v>0</v>
      </c>
    </row>
    <row r="942" spans="1:4" x14ac:dyDescent="0.3">
      <c r="A942">
        <f t="shared" si="77"/>
        <v>0</v>
      </c>
      <c r="B942">
        <f t="shared" si="75"/>
        <v>0</v>
      </c>
      <c r="C942">
        <f t="shared" si="74"/>
        <v>0</v>
      </c>
      <c r="D942">
        <f t="shared" si="76"/>
        <v>0</v>
      </c>
    </row>
    <row r="943" spans="1:4" x14ac:dyDescent="0.3">
      <c r="A943">
        <f t="shared" si="77"/>
        <v>0</v>
      </c>
      <c r="B943">
        <f t="shared" si="75"/>
        <v>0</v>
      </c>
      <c r="C943">
        <f t="shared" si="74"/>
        <v>0</v>
      </c>
      <c r="D943">
        <f t="shared" si="76"/>
        <v>0</v>
      </c>
    </row>
    <row r="944" spans="1:4" x14ac:dyDescent="0.3">
      <c r="A944">
        <f t="shared" si="77"/>
        <v>0</v>
      </c>
      <c r="B944">
        <f t="shared" si="75"/>
        <v>0</v>
      </c>
      <c r="C944">
        <f t="shared" si="74"/>
        <v>0</v>
      </c>
      <c r="D944">
        <f t="shared" si="76"/>
        <v>0</v>
      </c>
    </row>
    <row r="945" spans="1:4" x14ac:dyDescent="0.3">
      <c r="A945">
        <f t="shared" si="77"/>
        <v>0</v>
      </c>
      <c r="B945">
        <f t="shared" si="75"/>
        <v>0</v>
      </c>
      <c r="C945">
        <f t="shared" si="74"/>
        <v>0</v>
      </c>
      <c r="D945">
        <f t="shared" si="76"/>
        <v>0</v>
      </c>
    </row>
    <row r="946" spans="1:4" x14ac:dyDescent="0.3">
      <c r="A946">
        <f t="shared" si="77"/>
        <v>0</v>
      </c>
      <c r="B946">
        <f t="shared" si="75"/>
        <v>0</v>
      </c>
      <c r="C946">
        <f t="shared" si="74"/>
        <v>0</v>
      </c>
      <c r="D946">
        <f t="shared" si="76"/>
        <v>0</v>
      </c>
    </row>
    <row r="947" spans="1:4" x14ac:dyDescent="0.3">
      <c r="A947">
        <f t="shared" si="77"/>
        <v>0</v>
      </c>
      <c r="B947">
        <f t="shared" si="75"/>
        <v>0</v>
      </c>
      <c r="C947">
        <f t="shared" si="74"/>
        <v>0</v>
      </c>
      <c r="D947">
        <f t="shared" si="76"/>
        <v>0</v>
      </c>
    </row>
    <row r="948" spans="1:4" x14ac:dyDescent="0.3">
      <c r="A948">
        <f t="shared" si="77"/>
        <v>0</v>
      </c>
      <c r="B948">
        <f t="shared" si="75"/>
        <v>0</v>
      </c>
      <c r="C948">
        <f t="shared" si="74"/>
        <v>0</v>
      </c>
      <c r="D948">
        <f t="shared" si="76"/>
        <v>0</v>
      </c>
    </row>
    <row r="949" spans="1:4" x14ac:dyDescent="0.3">
      <c r="A949">
        <f t="shared" si="77"/>
        <v>0</v>
      </c>
      <c r="B949">
        <f t="shared" si="75"/>
        <v>0</v>
      </c>
      <c r="C949">
        <f t="shared" si="74"/>
        <v>0</v>
      </c>
      <c r="D949">
        <f t="shared" si="76"/>
        <v>0</v>
      </c>
    </row>
    <row r="950" spans="1:4" x14ac:dyDescent="0.3">
      <c r="A950">
        <f t="shared" si="77"/>
        <v>0</v>
      </c>
      <c r="B950">
        <f t="shared" si="75"/>
        <v>0</v>
      </c>
      <c r="C950">
        <f t="shared" si="74"/>
        <v>0</v>
      </c>
      <c r="D950">
        <f t="shared" si="76"/>
        <v>0</v>
      </c>
    </row>
    <row r="951" spans="1:4" x14ac:dyDescent="0.3">
      <c r="A951">
        <f t="shared" si="77"/>
        <v>0</v>
      </c>
      <c r="B951">
        <f t="shared" si="75"/>
        <v>0</v>
      </c>
      <c r="C951">
        <f t="shared" si="74"/>
        <v>0</v>
      </c>
      <c r="D951">
        <f t="shared" si="76"/>
        <v>0</v>
      </c>
    </row>
    <row r="952" spans="1:4" x14ac:dyDescent="0.3">
      <c r="A952">
        <f t="shared" si="77"/>
        <v>0</v>
      </c>
      <c r="B952">
        <f t="shared" si="75"/>
        <v>0</v>
      </c>
      <c r="C952">
        <f t="shared" si="74"/>
        <v>0</v>
      </c>
      <c r="D952">
        <f t="shared" si="76"/>
        <v>0</v>
      </c>
    </row>
    <row r="953" spans="1:4" x14ac:dyDescent="0.3">
      <c r="A953">
        <f t="shared" si="77"/>
        <v>0</v>
      </c>
      <c r="B953">
        <f t="shared" si="75"/>
        <v>0</v>
      </c>
      <c r="C953">
        <f t="shared" si="74"/>
        <v>0</v>
      </c>
      <c r="D953">
        <f t="shared" si="76"/>
        <v>0</v>
      </c>
    </row>
    <row r="954" spans="1:4" x14ac:dyDescent="0.3">
      <c r="A954">
        <f t="shared" si="77"/>
        <v>0</v>
      </c>
      <c r="B954">
        <f t="shared" si="75"/>
        <v>0</v>
      </c>
      <c r="C954">
        <f t="shared" si="74"/>
        <v>0</v>
      </c>
      <c r="D954">
        <f t="shared" si="76"/>
        <v>0</v>
      </c>
    </row>
    <row r="955" spans="1:4" x14ac:dyDescent="0.3">
      <c r="A955">
        <f t="shared" si="77"/>
        <v>0</v>
      </c>
      <c r="B955">
        <f t="shared" si="75"/>
        <v>0</v>
      </c>
      <c r="C955">
        <f t="shared" si="74"/>
        <v>0</v>
      </c>
      <c r="D955">
        <f t="shared" si="76"/>
        <v>0</v>
      </c>
    </row>
    <row r="956" spans="1:4" x14ac:dyDescent="0.3">
      <c r="A956">
        <f t="shared" si="77"/>
        <v>0</v>
      </c>
      <c r="B956">
        <f t="shared" si="75"/>
        <v>0</v>
      </c>
      <c r="C956">
        <f t="shared" si="74"/>
        <v>0</v>
      </c>
      <c r="D956">
        <f t="shared" si="76"/>
        <v>0</v>
      </c>
    </row>
    <row r="957" spans="1:4" x14ac:dyDescent="0.3">
      <c r="A957">
        <f t="shared" si="77"/>
        <v>0</v>
      </c>
      <c r="B957">
        <f t="shared" si="75"/>
        <v>0</v>
      </c>
      <c r="C957">
        <f t="shared" si="74"/>
        <v>0</v>
      </c>
      <c r="D957">
        <f t="shared" si="76"/>
        <v>0</v>
      </c>
    </row>
    <row r="958" spans="1:4" x14ac:dyDescent="0.3">
      <c r="A958">
        <f t="shared" si="77"/>
        <v>0</v>
      </c>
      <c r="B958">
        <f t="shared" si="75"/>
        <v>0</v>
      </c>
      <c r="C958">
        <f t="shared" si="74"/>
        <v>0</v>
      </c>
      <c r="D958">
        <f t="shared" si="76"/>
        <v>0</v>
      </c>
    </row>
    <row r="959" spans="1:4" x14ac:dyDescent="0.3">
      <c r="A959">
        <f t="shared" si="77"/>
        <v>0</v>
      </c>
      <c r="B959">
        <f t="shared" si="75"/>
        <v>0</v>
      </c>
      <c r="C959">
        <f t="shared" si="74"/>
        <v>0</v>
      </c>
      <c r="D959">
        <f t="shared" si="76"/>
        <v>0</v>
      </c>
    </row>
    <row r="960" spans="1:4" x14ac:dyDescent="0.3">
      <c r="A960">
        <f t="shared" si="77"/>
        <v>0</v>
      </c>
      <c r="B960">
        <f t="shared" si="75"/>
        <v>0</v>
      </c>
      <c r="C960">
        <f t="shared" si="74"/>
        <v>0</v>
      </c>
      <c r="D960">
        <f t="shared" si="76"/>
        <v>0</v>
      </c>
    </row>
    <row r="961" spans="1:4" x14ac:dyDescent="0.3">
      <c r="A961">
        <f t="shared" si="77"/>
        <v>0</v>
      </c>
      <c r="B961">
        <f t="shared" si="75"/>
        <v>0</v>
      </c>
      <c r="C961">
        <f t="shared" si="74"/>
        <v>0</v>
      </c>
      <c r="D961">
        <f t="shared" si="76"/>
        <v>0</v>
      </c>
    </row>
    <row r="962" spans="1:4" x14ac:dyDescent="0.3">
      <c r="A962">
        <f t="shared" si="77"/>
        <v>0</v>
      </c>
      <c r="B962">
        <f t="shared" si="75"/>
        <v>0</v>
      </c>
      <c r="C962">
        <f t="shared" si="74"/>
        <v>0</v>
      </c>
      <c r="D962">
        <f t="shared" si="76"/>
        <v>0</v>
      </c>
    </row>
    <row r="963" spans="1:4" x14ac:dyDescent="0.3">
      <c r="A963">
        <f t="shared" si="77"/>
        <v>0</v>
      </c>
      <c r="B963">
        <f t="shared" si="75"/>
        <v>0</v>
      </c>
      <c r="C963">
        <f t="shared" si="74"/>
        <v>0</v>
      </c>
      <c r="D963">
        <f t="shared" si="76"/>
        <v>0</v>
      </c>
    </row>
    <row r="964" spans="1:4" x14ac:dyDescent="0.3">
      <c r="A964">
        <f t="shared" si="77"/>
        <v>0</v>
      </c>
      <c r="B964">
        <f t="shared" si="75"/>
        <v>0</v>
      </c>
      <c r="C964">
        <f t="shared" si="74"/>
        <v>0</v>
      </c>
      <c r="D964">
        <f t="shared" si="76"/>
        <v>0</v>
      </c>
    </row>
    <row r="965" spans="1:4" x14ac:dyDescent="0.3">
      <c r="A965">
        <f t="shared" si="77"/>
        <v>0</v>
      </c>
      <c r="B965">
        <f t="shared" si="75"/>
        <v>0</v>
      </c>
      <c r="C965">
        <f t="shared" si="74"/>
        <v>0</v>
      </c>
      <c r="D965">
        <f t="shared" si="76"/>
        <v>0</v>
      </c>
    </row>
    <row r="966" spans="1:4" x14ac:dyDescent="0.3">
      <c r="A966">
        <f t="shared" si="77"/>
        <v>0</v>
      </c>
      <c r="B966">
        <f t="shared" si="75"/>
        <v>0</v>
      </c>
      <c r="C966">
        <f t="shared" ref="C966:C1029" si="78">((0*(1/3.6))*(3.6))*(1/3.6)</f>
        <v>0</v>
      </c>
      <c r="D966">
        <f t="shared" si="76"/>
        <v>0</v>
      </c>
    </row>
    <row r="967" spans="1:4" x14ac:dyDescent="0.3">
      <c r="A967">
        <f t="shared" si="77"/>
        <v>0</v>
      </c>
      <c r="B967">
        <f t="shared" ref="B967:B1030" si="79">((0*(1/3.6))*(3.6))*(1/3.6)</f>
        <v>0</v>
      </c>
      <c r="C967">
        <f t="shared" si="78"/>
        <v>0</v>
      </c>
      <c r="D967">
        <f t="shared" si="76"/>
        <v>0</v>
      </c>
    </row>
    <row r="968" spans="1:4" x14ac:dyDescent="0.3">
      <c r="A968">
        <f t="shared" si="77"/>
        <v>0</v>
      </c>
      <c r="B968">
        <f t="shared" si="79"/>
        <v>0</v>
      </c>
      <c r="C968">
        <f t="shared" si="78"/>
        <v>0</v>
      </c>
      <c r="D968">
        <f t="shared" si="76"/>
        <v>0</v>
      </c>
    </row>
    <row r="969" spans="1:4" x14ac:dyDescent="0.3">
      <c r="A969">
        <f t="shared" si="77"/>
        <v>0</v>
      </c>
      <c r="B969">
        <f t="shared" si="79"/>
        <v>0</v>
      </c>
      <c r="C969">
        <f t="shared" si="78"/>
        <v>0</v>
      </c>
      <c r="D969">
        <f t="shared" si="76"/>
        <v>0</v>
      </c>
    </row>
    <row r="970" spans="1:4" x14ac:dyDescent="0.3">
      <c r="A970">
        <f t="shared" si="77"/>
        <v>0</v>
      </c>
      <c r="B970">
        <f t="shared" si="79"/>
        <v>0</v>
      </c>
      <c r="C970">
        <f t="shared" si="78"/>
        <v>0</v>
      </c>
      <c r="D970">
        <f t="shared" si="76"/>
        <v>0</v>
      </c>
    </row>
    <row r="971" spans="1:4" x14ac:dyDescent="0.3">
      <c r="A971">
        <f t="shared" si="77"/>
        <v>0</v>
      </c>
      <c r="B971">
        <f t="shared" si="79"/>
        <v>0</v>
      </c>
      <c r="C971">
        <f t="shared" si="78"/>
        <v>0</v>
      </c>
      <c r="D971">
        <f t="shared" si="76"/>
        <v>0</v>
      </c>
    </row>
    <row r="972" spans="1:4" x14ac:dyDescent="0.3">
      <c r="A972">
        <f t="shared" si="77"/>
        <v>0</v>
      </c>
      <c r="B972">
        <f t="shared" si="79"/>
        <v>0</v>
      </c>
      <c r="C972">
        <f t="shared" si="78"/>
        <v>0</v>
      </c>
      <c r="D972">
        <f t="shared" si="76"/>
        <v>0</v>
      </c>
    </row>
    <row r="973" spans="1:4" x14ac:dyDescent="0.3">
      <c r="A973">
        <f t="shared" si="77"/>
        <v>0</v>
      </c>
      <c r="B973">
        <f t="shared" si="79"/>
        <v>0</v>
      </c>
      <c r="C973">
        <f t="shared" si="78"/>
        <v>0</v>
      </c>
      <c r="D973">
        <f t="shared" si="76"/>
        <v>0</v>
      </c>
    </row>
    <row r="974" spans="1:4" x14ac:dyDescent="0.3">
      <c r="A974">
        <f t="shared" si="77"/>
        <v>0</v>
      </c>
      <c r="B974">
        <f t="shared" si="79"/>
        <v>0</v>
      </c>
      <c r="C974">
        <f t="shared" si="78"/>
        <v>0</v>
      </c>
      <c r="D974">
        <f t="shared" si="76"/>
        <v>0</v>
      </c>
    </row>
    <row r="975" spans="1:4" x14ac:dyDescent="0.3">
      <c r="A975">
        <f t="shared" si="77"/>
        <v>0</v>
      </c>
      <c r="B975">
        <f t="shared" si="79"/>
        <v>0</v>
      </c>
      <c r="C975">
        <f t="shared" si="78"/>
        <v>0</v>
      </c>
      <c r="D975">
        <f t="shared" si="76"/>
        <v>0</v>
      </c>
    </row>
    <row r="976" spans="1:4" x14ac:dyDescent="0.3">
      <c r="A976">
        <f t="shared" si="77"/>
        <v>0</v>
      </c>
      <c r="B976">
        <f t="shared" si="79"/>
        <v>0</v>
      </c>
      <c r="C976">
        <f t="shared" si="78"/>
        <v>0</v>
      </c>
      <c r="D976">
        <f t="shared" si="76"/>
        <v>0</v>
      </c>
    </row>
    <row r="977" spans="1:4" x14ac:dyDescent="0.3">
      <c r="A977">
        <f t="shared" si="77"/>
        <v>0</v>
      </c>
      <c r="B977">
        <f t="shared" si="79"/>
        <v>0</v>
      </c>
      <c r="C977">
        <f t="shared" si="78"/>
        <v>0</v>
      </c>
      <c r="D977">
        <f t="shared" si="76"/>
        <v>0</v>
      </c>
    </row>
    <row r="978" spans="1:4" x14ac:dyDescent="0.3">
      <c r="A978">
        <f t="shared" si="77"/>
        <v>0</v>
      </c>
      <c r="B978">
        <f t="shared" si="79"/>
        <v>0</v>
      </c>
      <c r="C978">
        <f t="shared" si="78"/>
        <v>0</v>
      </c>
      <c r="D978">
        <f t="shared" si="76"/>
        <v>0</v>
      </c>
    </row>
    <row r="979" spans="1:4" x14ac:dyDescent="0.3">
      <c r="A979">
        <f t="shared" si="77"/>
        <v>0</v>
      </c>
      <c r="B979">
        <f t="shared" si="79"/>
        <v>0</v>
      </c>
      <c r="C979">
        <f t="shared" si="78"/>
        <v>0</v>
      </c>
      <c r="D979">
        <f t="shared" ref="D979:D1042" si="80">((0*(1/3.6))*(3.6))*(1/3.6)</f>
        <v>0</v>
      </c>
    </row>
    <row r="980" spans="1:4" x14ac:dyDescent="0.3">
      <c r="A980">
        <f t="shared" si="77"/>
        <v>0</v>
      </c>
      <c r="B980">
        <f t="shared" si="79"/>
        <v>0</v>
      </c>
      <c r="C980">
        <f t="shared" si="78"/>
        <v>0</v>
      </c>
      <c r="D980">
        <f t="shared" si="80"/>
        <v>0</v>
      </c>
    </row>
    <row r="981" spans="1:4" x14ac:dyDescent="0.3">
      <c r="A981">
        <f t="shared" si="77"/>
        <v>0</v>
      </c>
      <c r="B981">
        <f t="shared" si="79"/>
        <v>0</v>
      </c>
      <c r="C981">
        <f t="shared" si="78"/>
        <v>0</v>
      </c>
      <c r="D981">
        <f t="shared" si="80"/>
        <v>0</v>
      </c>
    </row>
    <row r="982" spans="1:4" x14ac:dyDescent="0.3">
      <c r="A982">
        <f t="shared" si="77"/>
        <v>0</v>
      </c>
      <c r="B982">
        <f t="shared" si="79"/>
        <v>0</v>
      </c>
      <c r="C982">
        <f t="shared" si="78"/>
        <v>0</v>
      </c>
      <c r="D982">
        <f t="shared" si="80"/>
        <v>0</v>
      </c>
    </row>
    <row r="983" spans="1:4" x14ac:dyDescent="0.3">
      <c r="A983">
        <f t="shared" si="77"/>
        <v>0</v>
      </c>
      <c r="B983">
        <f t="shared" si="79"/>
        <v>0</v>
      </c>
      <c r="C983">
        <f t="shared" si="78"/>
        <v>0</v>
      </c>
      <c r="D983">
        <f t="shared" si="80"/>
        <v>0</v>
      </c>
    </row>
    <row r="984" spans="1:4" x14ac:dyDescent="0.3">
      <c r="A984">
        <f t="shared" si="77"/>
        <v>0</v>
      </c>
      <c r="B984">
        <f t="shared" si="79"/>
        <v>0</v>
      </c>
      <c r="C984">
        <f t="shared" si="78"/>
        <v>0</v>
      </c>
      <c r="D984">
        <f t="shared" si="80"/>
        <v>0</v>
      </c>
    </row>
    <row r="985" spans="1:4" x14ac:dyDescent="0.3">
      <c r="A985">
        <f t="shared" si="77"/>
        <v>0</v>
      </c>
      <c r="B985">
        <f t="shared" si="79"/>
        <v>0</v>
      </c>
      <c r="C985">
        <f t="shared" si="78"/>
        <v>0</v>
      </c>
      <c r="D985">
        <f t="shared" si="80"/>
        <v>0</v>
      </c>
    </row>
    <row r="986" spans="1:4" x14ac:dyDescent="0.3">
      <c r="A986">
        <f t="shared" si="77"/>
        <v>0</v>
      </c>
      <c r="B986">
        <f t="shared" si="79"/>
        <v>0</v>
      </c>
      <c r="C986">
        <f t="shared" si="78"/>
        <v>0</v>
      </c>
      <c r="D986">
        <f t="shared" si="80"/>
        <v>0</v>
      </c>
    </row>
    <row r="987" spans="1:4" x14ac:dyDescent="0.3">
      <c r="A987">
        <f t="shared" si="77"/>
        <v>0</v>
      </c>
      <c r="B987">
        <f t="shared" si="79"/>
        <v>0</v>
      </c>
      <c r="C987">
        <f t="shared" si="78"/>
        <v>0</v>
      </c>
      <c r="D987">
        <f t="shared" si="80"/>
        <v>0</v>
      </c>
    </row>
    <row r="988" spans="1:4" x14ac:dyDescent="0.3">
      <c r="A988">
        <f t="shared" si="77"/>
        <v>0</v>
      </c>
      <c r="B988">
        <f t="shared" si="79"/>
        <v>0</v>
      </c>
      <c r="C988">
        <f t="shared" si="78"/>
        <v>0</v>
      </c>
      <c r="D988">
        <f t="shared" si="80"/>
        <v>0</v>
      </c>
    </row>
    <row r="989" spans="1:4" x14ac:dyDescent="0.3">
      <c r="A989">
        <f t="shared" si="77"/>
        <v>0</v>
      </c>
      <c r="B989">
        <f t="shared" si="79"/>
        <v>0</v>
      </c>
      <c r="C989">
        <f t="shared" si="78"/>
        <v>0</v>
      </c>
      <c r="D989">
        <f t="shared" si="80"/>
        <v>0</v>
      </c>
    </row>
    <row r="990" spans="1:4" x14ac:dyDescent="0.3">
      <c r="A990">
        <f t="shared" si="77"/>
        <v>0</v>
      </c>
      <c r="B990">
        <f t="shared" si="79"/>
        <v>0</v>
      </c>
      <c r="C990">
        <f t="shared" si="78"/>
        <v>0</v>
      </c>
      <c r="D990">
        <f t="shared" si="80"/>
        <v>0</v>
      </c>
    </row>
    <row r="991" spans="1:4" x14ac:dyDescent="0.3">
      <c r="A991">
        <f t="shared" si="77"/>
        <v>0</v>
      </c>
      <c r="B991">
        <f t="shared" si="79"/>
        <v>0</v>
      </c>
      <c r="C991">
        <f t="shared" si="78"/>
        <v>0</v>
      </c>
      <c r="D991">
        <f t="shared" si="80"/>
        <v>0</v>
      </c>
    </row>
    <row r="992" spans="1:4" x14ac:dyDescent="0.3">
      <c r="A992">
        <f t="shared" si="77"/>
        <v>0</v>
      </c>
      <c r="B992">
        <f t="shared" si="79"/>
        <v>0</v>
      </c>
      <c r="C992">
        <f t="shared" si="78"/>
        <v>0</v>
      </c>
      <c r="D992">
        <f t="shared" si="80"/>
        <v>0</v>
      </c>
    </row>
    <row r="993" spans="1:4" x14ac:dyDescent="0.3">
      <c r="A993">
        <f t="shared" si="77"/>
        <v>0</v>
      </c>
      <c r="B993">
        <f t="shared" si="79"/>
        <v>0</v>
      </c>
      <c r="C993">
        <f t="shared" si="78"/>
        <v>0</v>
      </c>
      <c r="D993">
        <f t="shared" si="80"/>
        <v>0</v>
      </c>
    </row>
    <row r="994" spans="1:4" x14ac:dyDescent="0.3">
      <c r="A994">
        <f t="shared" si="77"/>
        <v>0</v>
      </c>
      <c r="B994">
        <f t="shared" si="79"/>
        <v>0</v>
      </c>
      <c r="C994">
        <f t="shared" si="78"/>
        <v>0</v>
      </c>
      <c r="D994">
        <f t="shared" si="80"/>
        <v>0</v>
      </c>
    </row>
    <row r="995" spans="1:4" x14ac:dyDescent="0.3">
      <c r="A995">
        <f t="shared" si="77"/>
        <v>0</v>
      </c>
      <c r="B995">
        <f t="shared" si="79"/>
        <v>0</v>
      </c>
      <c r="C995">
        <f t="shared" si="78"/>
        <v>0</v>
      </c>
      <c r="D995">
        <f t="shared" si="80"/>
        <v>0</v>
      </c>
    </row>
    <row r="996" spans="1:4" x14ac:dyDescent="0.3">
      <c r="A996">
        <f t="shared" si="77"/>
        <v>0</v>
      </c>
      <c r="B996">
        <f t="shared" si="79"/>
        <v>0</v>
      </c>
      <c r="C996">
        <f t="shared" si="78"/>
        <v>0</v>
      </c>
      <c r="D996">
        <f t="shared" si="80"/>
        <v>0</v>
      </c>
    </row>
    <row r="997" spans="1:4" x14ac:dyDescent="0.3">
      <c r="A997">
        <f t="shared" si="77"/>
        <v>0</v>
      </c>
      <c r="B997">
        <f t="shared" si="79"/>
        <v>0</v>
      </c>
      <c r="C997">
        <f t="shared" si="78"/>
        <v>0</v>
      </c>
      <c r="D997">
        <f t="shared" si="80"/>
        <v>0</v>
      </c>
    </row>
    <row r="998" spans="1:4" x14ac:dyDescent="0.3">
      <c r="A998">
        <f t="shared" ref="A998:A1061" si="81">((0*(1/3.6))*(3.6))*(1/3.6)</f>
        <v>0</v>
      </c>
      <c r="B998">
        <f t="shared" si="79"/>
        <v>0</v>
      </c>
      <c r="C998">
        <f t="shared" si="78"/>
        <v>0</v>
      </c>
      <c r="D998">
        <f t="shared" si="80"/>
        <v>0</v>
      </c>
    </row>
    <row r="999" spans="1:4" x14ac:dyDescent="0.3">
      <c r="A999">
        <f t="shared" si="81"/>
        <v>0</v>
      </c>
      <c r="B999">
        <f t="shared" si="79"/>
        <v>0</v>
      </c>
      <c r="C999">
        <f t="shared" si="78"/>
        <v>0</v>
      </c>
      <c r="D999">
        <f t="shared" si="80"/>
        <v>0</v>
      </c>
    </row>
    <row r="1000" spans="1:4" x14ac:dyDescent="0.3">
      <c r="A1000">
        <f t="shared" si="81"/>
        <v>0</v>
      </c>
      <c r="B1000">
        <f t="shared" si="79"/>
        <v>0</v>
      </c>
      <c r="C1000">
        <f t="shared" si="78"/>
        <v>0</v>
      </c>
      <c r="D1000">
        <f t="shared" si="80"/>
        <v>0</v>
      </c>
    </row>
    <row r="1001" spans="1:4" x14ac:dyDescent="0.3">
      <c r="A1001">
        <f t="shared" si="81"/>
        <v>0</v>
      </c>
      <c r="B1001">
        <f t="shared" si="79"/>
        <v>0</v>
      </c>
      <c r="C1001">
        <f t="shared" si="78"/>
        <v>0</v>
      </c>
      <c r="D1001">
        <f t="shared" si="80"/>
        <v>0</v>
      </c>
    </row>
    <row r="1002" spans="1:4" x14ac:dyDescent="0.3">
      <c r="A1002">
        <f t="shared" si="81"/>
        <v>0</v>
      </c>
      <c r="B1002">
        <f t="shared" si="79"/>
        <v>0</v>
      </c>
      <c r="C1002">
        <f t="shared" si="78"/>
        <v>0</v>
      </c>
      <c r="D1002">
        <f t="shared" si="80"/>
        <v>0</v>
      </c>
    </row>
    <row r="1003" spans="1:4" x14ac:dyDescent="0.3">
      <c r="A1003">
        <f t="shared" si="81"/>
        <v>0</v>
      </c>
      <c r="B1003">
        <f t="shared" si="79"/>
        <v>0</v>
      </c>
      <c r="C1003">
        <f t="shared" si="78"/>
        <v>0</v>
      </c>
      <c r="D1003">
        <f t="shared" si="80"/>
        <v>0</v>
      </c>
    </row>
    <row r="1004" spans="1:4" x14ac:dyDescent="0.3">
      <c r="A1004">
        <f t="shared" si="81"/>
        <v>0</v>
      </c>
      <c r="B1004">
        <f t="shared" si="79"/>
        <v>0</v>
      </c>
      <c r="C1004">
        <f t="shared" si="78"/>
        <v>0</v>
      </c>
      <c r="D1004">
        <f t="shared" si="80"/>
        <v>0</v>
      </c>
    </row>
    <row r="1005" spans="1:4" x14ac:dyDescent="0.3">
      <c r="A1005">
        <f t="shared" si="81"/>
        <v>0</v>
      </c>
      <c r="B1005">
        <f t="shared" si="79"/>
        <v>0</v>
      </c>
      <c r="C1005">
        <f t="shared" si="78"/>
        <v>0</v>
      </c>
      <c r="D1005">
        <f t="shared" si="80"/>
        <v>0</v>
      </c>
    </row>
    <row r="1006" spans="1:4" x14ac:dyDescent="0.3">
      <c r="A1006">
        <f t="shared" si="81"/>
        <v>0</v>
      </c>
      <c r="B1006">
        <f t="shared" si="79"/>
        <v>0</v>
      </c>
      <c r="C1006">
        <f t="shared" si="78"/>
        <v>0</v>
      </c>
      <c r="D1006">
        <f t="shared" si="80"/>
        <v>0</v>
      </c>
    </row>
    <row r="1007" spans="1:4" x14ac:dyDescent="0.3">
      <c r="A1007">
        <f t="shared" si="81"/>
        <v>0</v>
      </c>
      <c r="B1007">
        <f t="shared" si="79"/>
        <v>0</v>
      </c>
      <c r="C1007">
        <f t="shared" si="78"/>
        <v>0</v>
      </c>
      <c r="D1007">
        <f t="shared" si="80"/>
        <v>0</v>
      </c>
    </row>
    <row r="1008" spans="1:4" x14ac:dyDescent="0.3">
      <c r="A1008">
        <f t="shared" si="81"/>
        <v>0</v>
      </c>
      <c r="B1008">
        <f t="shared" si="79"/>
        <v>0</v>
      </c>
      <c r="C1008">
        <f t="shared" si="78"/>
        <v>0</v>
      </c>
      <c r="D1008">
        <f t="shared" si="80"/>
        <v>0</v>
      </c>
    </row>
    <row r="1009" spans="1:4" x14ac:dyDescent="0.3">
      <c r="A1009">
        <f t="shared" si="81"/>
        <v>0</v>
      </c>
      <c r="B1009">
        <f t="shared" si="79"/>
        <v>0</v>
      </c>
      <c r="C1009">
        <f t="shared" si="78"/>
        <v>0</v>
      </c>
      <c r="D1009">
        <f t="shared" si="80"/>
        <v>0</v>
      </c>
    </row>
    <row r="1010" spans="1:4" x14ac:dyDescent="0.3">
      <c r="A1010">
        <f t="shared" si="81"/>
        <v>0</v>
      </c>
      <c r="B1010">
        <f t="shared" si="79"/>
        <v>0</v>
      </c>
      <c r="C1010">
        <f t="shared" si="78"/>
        <v>0</v>
      </c>
      <c r="D1010">
        <f t="shared" si="80"/>
        <v>0</v>
      </c>
    </row>
    <row r="1011" spans="1:4" x14ac:dyDescent="0.3">
      <c r="A1011">
        <f t="shared" si="81"/>
        <v>0</v>
      </c>
      <c r="B1011">
        <f t="shared" si="79"/>
        <v>0</v>
      </c>
      <c r="C1011">
        <f t="shared" si="78"/>
        <v>0</v>
      </c>
      <c r="D1011">
        <f t="shared" si="80"/>
        <v>0</v>
      </c>
    </row>
    <row r="1012" spans="1:4" x14ac:dyDescent="0.3">
      <c r="A1012">
        <f t="shared" si="81"/>
        <v>0</v>
      </c>
      <c r="B1012">
        <f t="shared" si="79"/>
        <v>0</v>
      </c>
      <c r="C1012">
        <f t="shared" si="78"/>
        <v>0</v>
      </c>
      <c r="D1012">
        <f t="shared" si="80"/>
        <v>0</v>
      </c>
    </row>
    <row r="1013" spans="1:4" x14ac:dyDescent="0.3">
      <c r="A1013">
        <f t="shared" si="81"/>
        <v>0</v>
      </c>
      <c r="B1013">
        <f t="shared" si="79"/>
        <v>0</v>
      </c>
      <c r="C1013">
        <f t="shared" si="78"/>
        <v>0</v>
      </c>
      <c r="D1013">
        <f t="shared" si="80"/>
        <v>0</v>
      </c>
    </row>
    <row r="1014" spans="1:4" x14ac:dyDescent="0.3">
      <c r="A1014">
        <f t="shared" si="81"/>
        <v>0</v>
      </c>
      <c r="B1014">
        <f t="shared" si="79"/>
        <v>0</v>
      </c>
      <c r="C1014">
        <f t="shared" si="78"/>
        <v>0</v>
      </c>
      <c r="D1014">
        <f t="shared" si="80"/>
        <v>0</v>
      </c>
    </row>
    <row r="1015" spans="1:4" x14ac:dyDescent="0.3">
      <c r="A1015">
        <f t="shared" si="81"/>
        <v>0</v>
      </c>
      <c r="B1015">
        <f t="shared" si="79"/>
        <v>0</v>
      </c>
      <c r="C1015">
        <f t="shared" si="78"/>
        <v>0</v>
      </c>
      <c r="D1015">
        <f t="shared" si="80"/>
        <v>0</v>
      </c>
    </row>
    <row r="1016" spans="1:4" x14ac:dyDescent="0.3">
      <c r="A1016">
        <f t="shared" si="81"/>
        <v>0</v>
      </c>
      <c r="B1016">
        <f t="shared" si="79"/>
        <v>0</v>
      </c>
      <c r="C1016">
        <f t="shared" si="78"/>
        <v>0</v>
      </c>
      <c r="D1016">
        <f t="shared" si="80"/>
        <v>0</v>
      </c>
    </row>
    <row r="1017" spans="1:4" x14ac:dyDescent="0.3">
      <c r="A1017">
        <f t="shared" si="81"/>
        <v>0</v>
      </c>
      <c r="B1017">
        <f t="shared" si="79"/>
        <v>0</v>
      </c>
      <c r="C1017">
        <f t="shared" si="78"/>
        <v>0</v>
      </c>
      <c r="D1017">
        <f t="shared" si="80"/>
        <v>0</v>
      </c>
    </row>
    <row r="1018" spans="1:4" x14ac:dyDescent="0.3">
      <c r="A1018">
        <f t="shared" si="81"/>
        <v>0</v>
      </c>
      <c r="B1018">
        <f t="shared" si="79"/>
        <v>0</v>
      </c>
      <c r="C1018">
        <f t="shared" si="78"/>
        <v>0</v>
      </c>
      <c r="D1018">
        <f t="shared" si="80"/>
        <v>0</v>
      </c>
    </row>
    <row r="1019" spans="1:4" x14ac:dyDescent="0.3">
      <c r="A1019">
        <f t="shared" si="81"/>
        <v>0</v>
      </c>
      <c r="B1019">
        <f t="shared" si="79"/>
        <v>0</v>
      </c>
      <c r="C1019">
        <f t="shared" si="78"/>
        <v>0</v>
      </c>
      <c r="D1019">
        <f t="shared" si="80"/>
        <v>0</v>
      </c>
    </row>
    <row r="1020" spans="1:4" x14ac:dyDescent="0.3">
      <c r="A1020">
        <f t="shared" si="81"/>
        <v>0</v>
      </c>
      <c r="B1020">
        <f t="shared" si="79"/>
        <v>0</v>
      </c>
      <c r="C1020">
        <f t="shared" si="78"/>
        <v>0</v>
      </c>
      <c r="D1020">
        <f t="shared" si="80"/>
        <v>0</v>
      </c>
    </row>
    <row r="1021" spans="1:4" x14ac:dyDescent="0.3">
      <c r="A1021">
        <f t="shared" si="81"/>
        <v>0</v>
      </c>
      <c r="B1021">
        <f t="shared" si="79"/>
        <v>0</v>
      </c>
      <c r="C1021">
        <f t="shared" si="78"/>
        <v>0</v>
      </c>
      <c r="D1021">
        <f t="shared" si="80"/>
        <v>0</v>
      </c>
    </row>
    <row r="1022" spans="1:4" x14ac:dyDescent="0.3">
      <c r="A1022">
        <f t="shared" si="81"/>
        <v>0</v>
      </c>
      <c r="B1022">
        <f t="shared" si="79"/>
        <v>0</v>
      </c>
      <c r="C1022">
        <f t="shared" si="78"/>
        <v>0</v>
      </c>
      <c r="D1022">
        <f t="shared" si="80"/>
        <v>0</v>
      </c>
    </row>
    <row r="1023" spans="1:4" x14ac:dyDescent="0.3">
      <c r="A1023">
        <f t="shared" si="81"/>
        <v>0</v>
      </c>
      <c r="B1023">
        <f t="shared" si="79"/>
        <v>0</v>
      </c>
      <c r="C1023">
        <f t="shared" si="78"/>
        <v>0</v>
      </c>
      <c r="D1023">
        <f t="shared" si="80"/>
        <v>0</v>
      </c>
    </row>
    <row r="1024" spans="1:4" x14ac:dyDescent="0.3">
      <c r="A1024">
        <f t="shared" si="81"/>
        <v>0</v>
      </c>
      <c r="B1024">
        <f t="shared" si="79"/>
        <v>0</v>
      </c>
      <c r="C1024">
        <f t="shared" si="78"/>
        <v>0</v>
      </c>
      <c r="D1024">
        <f t="shared" si="80"/>
        <v>0</v>
      </c>
    </row>
    <row r="1025" spans="1:4" x14ac:dyDescent="0.3">
      <c r="A1025">
        <f t="shared" si="81"/>
        <v>0</v>
      </c>
      <c r="B1025">
        <f t="shared" si="79"/>
        <v>0</v>
      </c>
      <c r="C1025">
        <f t="shared" si="78"/>
        <v>0</v>
      </c>
      <c r="D1025">
        <f t="shared" si="80"/>
        <v>0</v>
      </c>
    </row>
    <row r="1026" spans="1:4" x14ac:dyDescent="0.3">
      <c r="A1026">
        <f t="shared" si="81"/>
        <v>0</v>
      </c>
      <c r="B1026">
        <f t="shared" si="79"/>
        <v>0</v>
      </c>
      <c r="C1026">
        <f t="shared" si="78"/>
        <v>0</v>
      </c>
      <c r="D1026">
        <f t="shared" si="80"/>
        <v>0</v>
      </c>
    </row>
    <row r="1027" spans="1:4" x14ac:dyDescent="0.3">
      <c r="A1027">
        <f t="shared" si="81"/>
        <v>0</v>
      </c>
      <c r="B1027">
        <f t="shared" si="79"/>
        <v>0</v>
      </c>
      <c r="C1027">
        <f t="shared" si="78"/>
        <v>0</v>
      </c>
      <c r="D1027">
        <f t="shared" si="80"/>
        <v>0</v>
      </c>
    </row>
    <row r="1028" spans="1:4" x14ac:dyDescent="0.3">
      <c r="A1028">
        <f t="shared" si="81"/>
        <v>0</v>
      </c>
      <c r="B1028">
        <f t="shared" si="79"/>
        <v>0</v>
      </c>
      <c r="C1028">
        <f t="shared" si="78"/>
        <v>0</v>
      </c>
      <c r="D1028">
        <f t="shared" si="80"/>
        <v>0</v>
      </c>
    </row>
    <row r="1029" spans="1:4" x14ac:dyDescent="0.3">
      <c r="A1029">
        <f t="shared" si="81"/>
        <v>0</v>
      </c>
      <c r="B1029">
        <f t="shared" si="79"/>
        <v>0</v>
      </c>
      <c r="C1029">
        <f t="shared" si="78"/>
        <v>0</v>
      </c>
      <c r="D1029">
        <f t="shared" si="80"/>
        <v>0</v>
      </c>
    </row>
    <row r="1030" spans="1:4" x14ac:dyDescent="0.3">
      <c r="A1030">
        <f t="shared" si="81"/>
        <v>0</v>
      </c>
      <c r="B1030">
        <f t="shared" si="79"/>
        <v>0</v>
      </c>
      <c r="C1030">
        <f t="shared" ref="C1030:C1093" si="82">((0*(1/3.6))*(3.6))*(1/3.6)</f>
        <v>0</v>
      </c>
      <c r="D1030">
        <f t="shared" si="80"/>
        <v>0</v>
      </c>
    </row>
    <row r="1031" spans="1:4" x14ac:dyDescent="0.3">
      <c r="A1031">
        <f t="shared" si="81"/>
        <v>0</v>
      </c>
      <c r="B1031">
        <f t="shared" ref="B1031:B1094" si="83">((0*(1/3.6))*(3.6))*(1/3.6)</f>
        <v>0</v>
      </c>
      <c r="C1031">
        <f t="shared" si="82"/>
        <v>0</v>
      </c>
      <c r="D1031">
        <f t="shared" si="80"/>
        <v>0</v>
      </c>
    </row>
    <row r="1032" spans="1:4" x14ac:dyDescent="0.3">
      <c r="A1032">
        <f t="shared" si="81"/>
        <v>0</v>
      </c>
      <c r="B1032">
        <f t="shared" si="83"/>
        <v>0</v>
      </c>
      <c r="C1032">
        <f t="shared" si="82"/>
        <v>0</v>
      </c>
      <c r="D1032">
        <f t="shared" si="80"/>
        <v>0</v>
      </c>
    </row>
    <row r="1033" spans="1:4" x14ac:dyDescent="0.3">
      <c r="A1033">
        <f t="shared" si="81"/>
        <v>0</v>
      </c>
      <c r="B1033">
        <f t="shared" si="83"/>
        <v>0</v>
      </c>
      <c r="C1033">
        <f t="shared" si="82"/>
        <v>0</v>
      </c>
      <c r="D1033">
        <f t="shared" si="80"/>
        <v>0</v>
      </c>
    </row>
    <row r="1034" spans="1:4" x14ac:dyDescent="0.3">
      <c r="A1034">
        <f t="shared" si="81"/>
        <v>0</v>
      </c>
      <c r="B1034">
        <f t="shared" si="83"/>
        <v>0</v>
      </c>
      <c r="C1034">
        <f t="shared" si="82"/>
        <v>0</v>
      </c>
      <c r="D1034">
        <f t="shared" si="80"/>
        <v>0</v>
      </c>
    </row>
    <row r="1035" spans="1:4" x14ac:dyDescent="0.3">
      <c r="A1035">
        <f t="shared" si="81"/>
        <v>0</v>
      </c>
      <c r="B1035">
        <f t="shared" si="83"/>
        <v>0</v>
      </c>
      <c r="C1035">
        <f t="shared" si="82"/>
        <v>0</v>
      </c>
      <c r="D1035">
        <f t="shared" si="80"/>
        <v>0</v>
      </c>
    </row>
    <row r="1036" spans="1:4" x14ac:dyDescent="0.3">
      <c r="A1036">
        <f t="shared" si="81"/>
        <v>0</v>
      </c>
      <c r="B1036">
        <f t="shared" si="83"/>
        <v>0</v>
      </c>
      <c r="C1036">
        <f t="shared" si="82"/>
        <v>0</v>
      </c>
      <c r="D1036">
        <f t="shared" si="80"/>
        <v>0</v>
      </c>
    </row>
    <row r="1037" spans="1:4" x14ac:dyDescent="0.3">
      <c r="A1037">
        <f t="shared" si="81"/>
        <v>0</v>
      </c>
      <c r="B1037">
        <f t="shared" si="83"/>
        <v>0</v>
      </c>
      <c r="C1037">
        <f t="shared" si="82"/>
        <v>0</v>
      </c>
      <c r="D1037">
        <f t="shared" si="80"/>
        <v>0</v>
      </c>
    </row>
    <row r="1038" spans="1:4" x14ac:dyDescent="0.3">
      <c r="A1038">
        <f t="shared" si="81"/>
        <v>0</v>
      </c>
      <c r="B1038">
        <f t="shared" si="83"/>
        <v>0</v>
      </c>
      <c r="C1038">
        <f t="shared" si="82"/>
        <v>0</v>
      </c>
      <c r="D1038">
        <f t="shared" si="80"/>
        <v>0</v>
      </c>
    </row>
    <row r="1039" spans="1:4" x14ac:dyDescent="0.3">
      <c r="A1039">
        <f t="shared" si="81"/>
        <v>0</v>
      </c>
      <c r="B1039">
        <f t="shared" si="83"/>
        <v>0</v>
      </c>
      <c r="C1039">
        <f t="shared" si="82"/>
        <v>0</v>
      </c>
      <c r="D1039">
        <f t="shared" si="80"/>
        <v>0</v>
      </c>
    </row>
    <row r="1040" spans="1:4" x14ac:dyDescent="0.3">
      <c r="A1040">
        <f t="shared" si="81"/>
        <v>0</v>
      </c>
      <c r="B1040">
        <f t="shared" si="83"/>
        <v>0</v>
      </c>
      <c r="C1040">
        <f t="shared" si="82"/>
        <v>0</v>
      </c>
      <c r="D1040">
        <f t="shared" si="80"/>
        <v>0</v>
      </c>
    </row>
    <row r="1041" spans="1:4" x14ac:dyDescent="0.3">
      <c r="A1041">
        <f t="shared" si="81"/>
        <v>0</v>
      </c>
      <c r="B1041">
        <f t="shared" si="83"/>
        <v>0</v>
      </c>
      <c r="C1041">
        <f t="shared" si="82"/>
        <v>0</v>
      </c>
      <c r="D1041">
        <f t="shared" si="80"/>
        <v>0</v>
      </c>
    </row>
    <row r="1042" spans="1:4" x14ac:dyDescent="0.3">
      <c r="A1042">
        <f t="shared" si="81"/>
        <v>0</v>
      </c>
      <c r="B1042">
        <f t="shared" si="83"/>
        <v>0</v>
      </c>
      <c r="C1042">
        <f t="shared" si="82"/>
        <v>0</v>
      </c>
      <c r="D1042">
        <f t="shared" si="80"/>
        <v>0</v>
      </c>
    </row>
    <row r="1043" spans="1:4" x14ac:dyDescent="0.3">
      <c r="A1043">
        <f t="shared" si="81"/>
        <v>0</v>
      </c>
      <c r="B1043">
        <f t="shared" si="83"/>
        <v>0</v>
      </c>
      <c r="C1043">
        <f t="shared" si="82"/>
        <v>0</v>
      </c>
      <c r="D1043">
        <f t="shared" ref="D1043:D1106" si="84">((0*(1/3.6))*(3.6))*(1/3.6)</f>
        <v>0</v>
      </c>
    </row>
    <row r="1044" spans="1:4" x14ac:dyDescent="0.3">
      <c r="A1044">
        <f t="shared" si="81"/>
        <v>0</v>
      </c>
      <c r="B1044">
        <f t="shared" si="83"/>
        <v>0</v>
      </c>
      <c r="C1044">
        <f t="shared" si="82"/>
        <v>0</v>
      </c>
      <c r="D1044">
        <f t="shared" si="84"/>
        <v>0</v>
      </c>
    </row>
    <row r="1045" spans="1:4" x14ac:dyDescent="0.3">
      <c r="A1045">
        <f t="shared" si="81"/>
        <v>0</v>
      </c>
      <c r="B1045">
        <f t="shared" si="83"/>
        <v>0</v>
      </c>
      <c r="C1045">
        <f t="shared" si="82"/>
        <v>0</v>
      </c>
      <c r="D1045">
        <f t="shared" si="84"/>
        <v>0</v>
      </c>
    </row>
    <row r="1046" spans="1:4" x14ac:dyDescent="0.3">
      <c r="A1046">
        <f t="shared" si="81"/>
        <v>0</v>
      </c>
      <c r="B1046">
        <f t="shared" si="83"/>
        <v>0</v>
      </c>
      <c r="C1046">
        <f t="shared" si="82"/>
        <v>0</v>
      </c>
      <c r="D1046">
        <f t="shared" si="84"/>
        <v>0</v>
      </c>
    </row>
    <row r="1047" spans="1:4" x14ac:dyDescent="0.3">
      <c r="A1047">
        <f t="shared" si="81"/>
        <v>0</v>
      </c>
      <c r="B1047">
        <f t="shared" si="83"/>
        <v>0</v>
      </c>
      <c r="C1047">
        <f t="shared" si="82"/>
        <v>0</v>
      </c>
      <c r="D1047">
        <f t="shared" si="84"/>
        <v>0</v>
      </c>
    </row>
    <row r="1048" spans="1:4" x14ac:dyDescent="0.3">
      <c r="A1048">
        <f t="shared" si="81"/>
        <v>0</v>
      </c>
      <c r="B1048">
        <f t="shared" si="83"/>
        <v>0</v>
      </c>
      <c r="C1048">
        <f t="shared" si="82"/>
        <v>0</v>
      </c>
      <c r="D1048">
        <f t="shared" si="84"/>
        <v>0</v>
      </c>
    </row>
    <row r="1049" spans="1:4" x14ac:dyDescent="0.3">
      <c r="A1049">
        <f t="shared" si="81"/>
        <v>0</v>
      </c>
      <c r="B1049">
        <f t="shared" si="83"/>
        <v>0</v>
      </c>
      <c r="C1049">
        <f t="shared" si="82"/>
        <v>0</v>
      </c>
      <c r="D1049">
        <f t="shared" si="84"/>
        <v>0</v>
      </c>
    </row>
    <row r="1050" spans="1:4" x14ac:dyDescent="0.3">
      <c r="A1050">
        <f t="shared" si="81"/>
        <v>0</v>
      </c>
      <c r="B1050">
        <f t="shared" si="83"/>
        <v>0</v>
      </c>
      <c r="C1050">
        <f t="shared" si="82"/>
        <v>0</v>
      </c>
      <c r="D1050">
        <f t="shared" si="84"/>
        <v>0</v>
      </c>
    </row>
    <row r="1051" spans="1:4" x14ac:dyDescent="0.3">
      <c r="A1051">
        <f t="shared" si="81"/>
        <v>0</v>
      </c>
      <c r="B1051">
        <f t="shared" si="83"/>
        <v>0</v>
      </c>
      <c r="C1051">
        <f t="shared" si="82"/>
        <v>0</v>
      </c>
      <c r="D1051">
        <f t="shared" si="84"/>
        <v>0</v>
      </c>
    </row>
    <row r="1052" spans="1:4" x14ac:dyDescent="0.3">
      <c r="A1052">
        <f t="shared" si="81"/>
        <v>0</v>
      </c>
      <c r="B1052">
        <f t="shared" si="83"/>
        <v>0</v>
      </c>
      <c r="C1052">
        <f t="shared" si="82"/>
        <v>0</v>
      </c>
      <c r="D1052">
        <f t="shared" si="84"/>
        <v>0</v>
      </c>
    </row>
    <row r="1053" spans="1:4" x14ac:dyDescent="0.3">
      <c r="A1053">
        <f t="shared" si="81"/>
        <v>0</v>
      </c>
      <c r="B1053">
        <f t="shared" si="83"/>
        <v>0</v>
      </c>
      <c r="C1053">
        <f t="shared" si="82"/>
        <v>0</v>
      </c>
      <c r="D1053">
        <f t="shared" si="84"/>
        <v>0</v>
      </c>
    </row>
    <row r="1054" spans="1:4" x14ac:dyDescent="0.3">
      <c r="A1054">
        <f t="shared" si="81"/>
        <v>0</v>
      </c>
      <c r="B1054">
        <f t="shared" si="83"/>
        <v>0</v>
      </c>
      <c r="C1054">
        <f t="shared" si="82"/>
        <v>0</v>
      </c>
      <c r="D1054">
        <f t="shared" si="84"/>
        <v>0</v>
      </c>
    </row>
    <row r="1055" spans="1:4" x14ac:dyDescent="0.3">
      <c r="A1055">
        <f t="shared" si="81"/>
        <v>0</v>
      </c>
      <c r="B1055">
        <f t="shared" si="83"/>
        <v>0</v>
      </c>
      <c r="C1055">
        <f t="shared" si="82"/>
        <v>0</v>
      </c>
      <c r="D1055">
        <f t="shared" si="84"/>
        <v>0</v>
      </c>
    </row>
    <row r="1056" spans="1:4" x14ac:dyDescent="0.3">
      <c r="A1056">
        <f t="shared" si="81"/>
        <v>0</v>
      </c>
      <c r="B1056">
        <f t="shared" si="83"/>
        <v>0</v>
      </c>
      <c r="C1056">
        <f t="shared" si="82"/>
        <v>0</v>
      </c>
      <c r="D1056">
        <f t="shared" si="84"/>
        <v>0</v>
      </c>
    </row>
    <row r="1057" spans="1:4" x14ac:dyDescent="0.3">
      <c r="A1057">
        <f t="shared" si="81"/>
        <v>0</v>
      </c>
      <c r="B1057">
        <f t="shared" si="83"/>
        <v>0</v>
      </c>
      <c r="C1057">
        <f t="shared" si="82"/>
        <v>0</v>
      </c>
      <c r="D1057">
        <f t="shared" si="84"/>
        <v>0</v>
      </c>
    </row>
    <row r="1058" spans="1:4" x14ac:dyDescent="0.3">
      <c r="A1058">
        <f t="shared" si="81"/>
        <v>0</v>
      </c>
      <c r="B1058">
        <f t="shared" si="83"/>
        <v>0</v>
      </c>
      <c r="C1058">
        <f t="shared" si="82"/>
        <v>0</v>
      </c>
      <c r="D1058">
        <f t="shared" si="84"/>
        <v>0</v>
      </c>
    </row>
    <row r="1059" spans="1:4" x14ac:dyDescent="0.3">
      <c r="A1059">
        <f t="shared" si="81"/>
        <v>0</v>
      </c>
      <c r="B1059">
        <f t="shared" si="83"/>
        <v>0</v>
      </c>
      <c r="C1059">
        <f t="shared" si="82"/>
        <v>0</v>
      </c>
      <c r="D1059">
        <f t="shared" si="84"/>
        <v>0</v>
      </c>
    </row>
    <row r="1060" spans="1:4" x14ac:dyDescent="0.3">
      <c r="A1060">
        <f t="shared" si="81"/>
        <v>0</v>
      </c>
      <c r="B1060">
        <f t="shared" si="83"/>
        <v>0</v>
      </c>
      <c r="C1060">
        <f t="shared" si="82"/>
        <v>0</v>
      </c>
      <c r="D1060">
        <f t="shared" si="84"/>
        <v>0</v>
      </c>
    </row>
    <row r="1061" spans="1:4" x14ac:dyDescent="0.3">
      <c r="A1061">
        <f t="shared" si="81"/>
        <v>0</v>
      </c>
      <c r="B1061">
        <f t="shared" si="83"/>
        <v>0</v>
      </c>
      <c r="C1061">
        <f t="shared" si="82"/>
        <v>0</v>
      </c>
      <c r="D1061">
        <f t="shared" si="84"/>
        <v>0</v>
      </c>
    </row>
    <row r="1062" spans="1:4" x14ac:dyDescent="0.3">
      <c r="A1062">
        <f t="shared" ref="A1062:A1125" si="85">((0*(1/3.6))*(3.6))*(1/3.6)</f>
        <v>0</v>
      </c>
      <c r="B1062">
        <f t="shared" si="83"/>
        <v>0</v>
      </c>
      <c r="C1062">
        <f t="shared" si="82"/>
        <v>0</v>
      </c>
      <c r="D1062">
        <f t="shared" si="84"/>
        <v>0</v>
      </c>
    </row>
    <row r="1063" spans="1:4" x14ac:dyDescent="0.3">
      <c r="A1063">
        <f t="shared" si="85"/>
        <v>0</v>
      </c>
      <c r="B1063">
        <f t="shared" si="83"/>
        <v>0</v>
      </c>
      <c r="C1063">
        <f t="shared" si="82"/>
        <v>0</v>
      </c>
      <c r="D1063">
        <f t="shared" si="84"/>
        <v>0</v>
      </c>
    </row>
    <row r="1064" spans="1:4" x14ac:dyDescent="0.3">
      <c r="A1064">
        <f t="shared" si="85"/>
        <v>0</v>
      </c>
      <c r="B1064">
        <f t="shared" si="83"/>
        <v>0</v>
      </c>
      <c r="C1064">
        <f t="shared" si="82"/>
        <v>0</v>
      </c>
      <c r="D1064">
        <f t="shared" si="84"/>
        <v>0</v>
      </c>
    </row>
    <row r="1065" spans="1:4" x14ac:dyDescent="0.3">
      <c r="A1065">
        <f t="shared" si="85"/>
        <v>0</v>
      </c>
      <c r="B1065">
        <f t="shared" si="83"/>
        <v>0</v>
      </c>
      <c r="C1065">
        <f t="shared" si="82"/>
        <v>0</v>
      </c>
      <c r="D1065">
        <f t="shared" si="84"/>
        <v>0</v>
      </c>
    </row>
    <row r="1066" spans="1:4" x14ac:dyDescent="0.3">
      <c r="A1066">
        <f t="shared" si="85"/>
        <v>0</v>
      </c>
      <c r="B1066">
        <f t="shared" si="83"/>
        <v>0</v>
      </c>
      <c r="C1066">
        <f t="shared" si="82"/>
        <v>0</v>
      </c>
      <c r="D1066">
        <f t="shared" si="84"/>
        <v>0</v>
      </c>
    </row>
    <row r="1067" spans="1:4" x14ac:dyDescent="0.3">
      <c r="A1067">
        <f t="shared" si="85"/>
        <v>0</v>
      </c>
      <c r="B1067">
        <f t="shared" si="83"/>
        <v>0</v>
      </c>
      <c r="C1067">
        <f t="shared" si="82"/>
        <v>0</v>
      </c>
      <c r="D1067">
        <f t="shared" si="84"/>
        <v>0</v>
      </c>
    </row>
    <row r="1068" spans="1:4" x14ac:dyDescent="0.3">
      <c r="A1068">
        <f t="shared" si="85"/>
        <v>0</v>
      </c>
      <c r="B1068">
        <f t="shared" si="83"/>
        <v>0</v>
      </c>
      <c r="C1068">
        <f t="shared" si="82"/>
        <v>0</v>
      </c>
      <c r="D1068">
        <f t="shared" si="84"/>
        <v>0</v>
      </c>
    </row>
    <row r="1069" spans="1:4" x14ac:dyDescent="0.3">
      <c r="A1069">
        <f t="shared" si="85"/>
        <v>0</v>
      </c>
      <c r="B1069">
        <f t="shared" si="83"/>
        <v>0</v>
      </c>
      <c r="C1069">
        <f t="shared" si="82"/>
        <v>0</v>
      </c>
      <c r="D1069">
        <f t="shared" si="84"/>
        <v>0</v>
      </c>
    </row>
    <row r="1070" spans="1:4" x14ac:dyDescent="0.3">
      <c r="A1070">
        <f t="shared" si="85"/>
        <v>0</v>
      </c>
      <c r="B1070">
        <f t="shared" si="83"/>
        <v>0</v>
      </c>
      <c r="C1070">
        <f t="shared" si="82"/>
        <v>0</v>
      </c>
      <c r="D1070">
        <f t="shared" si="84"/>
        <v>0</v>
      </c>
    </row>
    <row r="1071" spans="1:4" x14ac:dyDescent="0.3">
      <c r="A1071">
        <f t="shared" si="85"/>
        <v>0</v>
      </c>
      <c r="B1071">
        <f t="shared" si="83"/>
        <v>0</v>
      </c>
      <c r="C1071">
        <f t="shared" si="82"/>
        <v>0</v>
      </c>
      <c r="D1071">
        <f t="shared" si="84"/>
        <v>0</v>
      </c>
    </row>
    <row r="1072" spans="1:4" x14ac:dyDescent="0.3">
      <c r="A1072">
        <f t="shared" si="85"/>
        <v>0</v>
      </c>
      <c r="B1072">
        <f t="shared" si="83"/>
        <v>0</v>
      </c>
      <c r="C1072">
        <f t="shared" si="82"/>
        <v>0</v>
      </c>
      <c r="D1072">
        <f t="shared" si="84"/>
        <v>0</v>
      </c>
    </row>
    <row r="1073" spans="1:4" x14ac:dyDescent="0.3">
      <c r="A1073">
        <f t="shared" si="85"/>
        <v>0</v>
      </c>
      <c r="B1073">
        <f t="shared" si="83"/>
        <v>0</v>
      </c>
      <c r="C1073">
        <f t="shared" si="82"/>
        <v>0</v>
      </c>
      <c r="D1073">
        <f t="shared" si="84"/>
        <v>0</v>
      </c>
    </row>
    <row r="1074" spans="1:4" x14ac:dyDescent="0.3">
      <c r="A1074">
        <f t="shared" si="85"/>
        <v>0</v>
      </c>
      <c r="B1074">
        <f t="shared" si="83"/>
        <v>0</v>
      </c>
      <c r="C1074">
        <f t="shared" si="82"/>
        <v>0</v>
      </c>
      <c r="D1074">
        <f t="shared" si="84"/>
        <v>0</v>
      </c>
    </row>
    <row r="1075" spans="1:4" x14ac:dyDescent="0.3">
      <c r="A1075">
        <f t="shared" si="85"/>
        <v>0</v>
      </c>
      <c r="B1075">
        <f t="shared" si="83"/>
        <v>0</v>
      </c>
      <c r="C1075">
        <f t="shared" si="82"/>
        <v>0</v>
      </c>
      <c r="D1075">
        <f t="shared" si="84"/>
        <v>0</v>
      </c>
    </row>
    <row r="1076" spans="1:4" x14ac:dyDescent="0.3">
      <c r="A1076">
        <f t="shared" si="85"/>
        <v>0</v>
      </c>
      <c r="B1076">
        <f t="shared" si="83"/>
        <v>0</v>
      </c>
      <c r="C1076">
        <f t="shared" si="82"/>
        <v>0</v>
      </c>
      <c r="D1076">
        <f t="shared" si="84"/>
        <v>0</v>
      </c>
    </row>
    <row r="1077" spans="1:4" x14ac:dyDescent="0.3">
      <c r="A1077">
        <f t="shared" si="85"/>
        <v>0</v>
      </c>
      <c r="B1077">
        <f t="shared" si="83"/>
        <v>0</v>
      </c>
      <c r="C1077">
        <f t="shared" si="82"/>
        <v>0</v>
      </c>
      <c r="D1077">
        <f t="shared" si="84"/>
        <v>0</v>
      </c>
    </row>
    <row r="1078" spans="1:4" x14ac:dyDescent="0.3">
      <c r="A1078">
        <f t="shared" si="85"/>
        <v>0</v>
      </c>
      <c r="B1078">
        <f t="shared" si="83"/>
        <v>0</v>
      </c>
      <c r="C1078">
        <f t="shared" si="82"/>
        <v>0</v>
      </c>
      <c r="D1078">
        <f t="shared" si="84"/>
        <v>0</v>
      </c>
    </row>
    <row r="1079" spans="1:4" x14ac:dyDescent="0.3">
      <c r="A1079">
        <f t="shared" si="85"/>
        <v>0</v>
      </c>
      <c r="B1079">
        <f t="shared" si="83"/>
        <v>0</v>
      </c>
      <c r="C1079">
        <f t="shared" si="82"/>
        <v>0</v>
      </c>
      <c r="D1079">
        <f t="shared" si="84"/>
        <v>0</v>
      </c>
    </row>
    <row r="1080" spans="1:4" x14ac:dyDescent="0.3">
      <c r="A1080">
        <f t="shared" si="85"/>
        <v>0</v>
      </c>
      <c r="B1080">
        <f t="shared" si="83"/>
        <v>0</v>
      </c>
      <c r="C1080">
        <f t="shared" si="82"/>
        <v>0</v>
      </c>
      <c r="D1080">
        <f t="shared" si="84"/>
        <v>0</v>
      </c>
    </row>
    <row r="1081" spans="1:4" x14ac:dyDescent="0.3">
      <c r="A1081">
        <f t="shared" si="85"/>
        <v>0</v>
      </c>
      <c r="B1081">
        <f t="shared" si="83"/>
        <v>0</v>
      </c>
      <c r="C1081">
        <f t="shared" si="82"/>
        <v>0</v>
      </c>
      <c r="D1081">
        <f t="shared" si="84"/>
        <v>0</v>
      </c>
    </row>
    <row r="1082" spans="1:4" x14ac:dyDescent="0.3">
      <c r="A1082">
        <f t="shared" si="85"/>
        <v>0</v>
      </c>
      <c r="B1082">
        <f t="shared" si="83"/>
        <v>0</v>
      </c>
      <c r="C1082">
        <f t="shared" si="82"/>
        <v>0</v>
      </c>
      <c r="D1082">
        <f t="shared" si="84"/>
        <v>0</v>
      </c>
    </row>
    <row r="1083" spans="1:4" x14ac:dyDescent="0.3">
      <c r="A1083">
        <f t="shared" si="85"/>
        <v>0</v>
      </c>
      <c r="B1083">
        <f t="shared" si="83"/>
        <v>0</v>
      </c>
      <c r="C1083">
        <f t="shared" si="82"/>
        <v>0</v>
      </c>
      <c r="D1083">
        <f t="shared" si="84"/>
        <v>0</v>
      </c>
    </row>
    <row r="1084" spans="1:4" x14ac:dyDescent="0.3">
      <c r="A1084">
        <f t="shared" si="85"/>
        <v>0</v>
      </c>
      <c r="B1084">
        <f t="shared" si="83"/>
        <v>0</v>
      </c>
      <c r="C1084">
        <f t="shared" si="82"/>
        <v>0</v>
      </c>
      <c r="D1084">
        <f t="shared" si="84"/>
        <v>0</v>
      </c>
    </row>
    <row r="1085" spans="1:4" x14ac:dyDescent="0.3">
      <c r="A1085">
        <f t="shared" si="85"/>
        <v>0</v>
      </c>
      <c r="B1085">
        <f t="shared" si="83"/>
        <v>0</v>
      </c>
      <c r="C1085">
        <f t="shared" si="82"/>
        <v>0</v>
      </c>
      <c r="D1085">
        <f t="shared" si="84"/>
        <v>0</v>
      </c>
    </row>
    <row r="1086" spans="1:4" x14ac:dyDescent="0.3">
      <c r="A1086">
        <f t="shared" si="85"/>
        <v>0</v>
      </c>
      <c r="B1086">
        <f t="shared" si="83"/>
        <v>0</v>
      </c>
      <c r="C1086">
        <f t="shared" si="82"/>
        <v>0</v>
      </c>
      <c r="D1086">
        <f t="shared" si="84"/>
        <v>0</v>
      </c>
    </row>
    <row r="1087" spans="1:4" x14ac:dyDescent="0.3">
      <c r="A1087">
        <f t="shared" si="85"/>
        <v>0</v>
      </c>
      <c r="B1087">
        <f t="shared" si="83"/>
        <v>0</v>
      </c>
      <c r="C1087">
        <f t="shared" si="82"/>
        <v>0</v>
      </c>
      <c r="D1087">
        <f t="shared" si="84"/>
        <v>0</v>
      </c>
    </row>
    <row r="1088" spans="1:4" x14ac:dyDescent="0.3">
      <c r="A1088">
        <f t="shared" si="85"/>
        <v>0</v>
      </c>
      <c r="B1088">
        <f t="shared" si="83"/>
        <v>0</v>
      </c>
      <c r="C1088">
        <f t="shared" si="82"/>
        <v>0</v>
      </c>
      <c r="D1088">
        <f t="shared" si="84"/>
        <v>0</v>
      </c>
    </row>
    <row r="1089" spans="1:4" x14ac:dyDescent="0.3">
      <c r="A1089">
        <f t="shared" si="85"/>
        <v>0</v>
      </c>
      <c r="B1089">
        <f t="shared" si="83"/>
        <v>0</v>
      </c>
      <c r="C1089">
        <f t="shared" si="82"/>
        <v>0</v>
      </c>
      <c r="D1089">
        <f t="shared" si="84"/>
        <v>0</v>
      </c>
    </row>
    <row r="1090" spans="1:4" x14ac:dyDescent="0.3">
      <c r="A1090">
        <f t="shared" si="85"/>
        <v>0</v>
      </c>
      <c r="B1090">
        <f t="shared" si="83"/>
        <v>0</v>
      </c>
      <c r="C1090">
        <f t="shared" si="82"/>
        <v>0</v>
      </c>
      <c r="D1090">
        <f t="shared" si="84"/>
        <v>0</v>
      </c>
    </row>
    <row r="1091" spans="1:4" x14ac:dyDescent="0.3">
      <c r="A1091">
        <f t="shared" si="85"/>
        <v>0</v>
      </c>
      <c r="B1091">
        <f t="shared" si="83"/>
        <v>0</v>
      </c>
      <c r="C1091">
        <f t="shared" si="82"/>
        <v>0</v>
      </c>
      <c r="D1091">
        <f t="shared" si="84"/>
        <v>0</v>
      </c>
    </row>
    <row r="1092" spans="1:4" x14ac:dyDescent="0.3">
      <c r="A1092">
        <f t="shared" si="85"/>
        <v>0</v>
      </c>
      <c r="B1092">
        <f t="shared" si="83"/>
        <v>0</v>
      </c>
      <c r="C1092">
        <f t="shared" si="82"/>
        <v>0</v>
      </c>
      <c r="D1092">
        <f t="shared" si="84"/>
        <v>0</v>
      </c>
    </row>
    <row r="1093" spans="1:4" x14ac:dyDescent="0.3">
      <c r="A1093">
        <f t="shared" si="85"/>
        <v>0</v>
      </c>
      <c r="B1093">
        <f t="shared" si="83"/>
        <v>0</v>
      </c>
      <c r="C1093">
        <f t="shared" si="82"/>
        <v>0</v>
      </c>
      <c r="D1093">
        <f t="shared" si="84"/>
        <v>0</v>
      </c>
    </row>
    <row r="1094" spans="1:4" x14ac:dyDescent="0.3">
      <c r="A1094">
        <f t="shared" si="85"/>
        <v>0</v>
      </c>
      <c r="B1094">
        <f t="shared" si="83"/>
        <v>0</v>
      </c>
      <c r="C1094">
        <f t="shared" ref="C1094:C1157" si="86">((0*(1/3.6))*(3.6))*(1/3.6)</f>
        <v>0</v>
      </c>
      <c r="D1094">
        <f t="shared" si="84"/>
        <v>0</v>
      </c>
    </row>
    <row r="1095" spans="1:4" x14ac:dyDescent="0.3">
      <c r="A1095">
        <f t="shared" si="85"/>
        <v>0</v>
      </c>
      <c r="B1095">
        <f t="shared" ref="B1095:B1158" si="87">((0*(1/3.6))*(3.6))*(1/3.6)</f>
        <v>0</v>
      </c>
      <c r="C1095">
        <f t="shared" si="86"/>
        <v>0</v>
      </c>
      <c r="D1095">
        <f t="shared" si="84"/>
        <v>0</v>
      </c>
    </row>
    <row r="1096" spans="1:4" x14ac:dyDescent="0.3">
      <c r="A1096">
        <f t="shared" si="85"/>
        <v>0</v>
      </c>
      <c r="B1096">
        <f t="shared" si="87"/>
        <v>0</v>
      </c>
      <c r="C1096">
        <f t="shared" si="86"/>
        <v>0</v>
      </c>
      <c r="D1096">
        <f t="shared" si="84"/>
        <v>0</v>
      </c>
    </row>
    <row r="1097" spans="1:4" x14ac:dyDescent="0.3">
      <c r="A1097">
        <f t="shared" si="85"/>
        <v>0</v>
      </c>
      <c r="B1097">
        <f t="shared" si="87"/>
        <v>0</v>
      </c>
      <c r="C1097">
        <f t="shared" si="86"/>
        <v>0</v>
      </c>
      <c r="D1097">
        <f t="shared" si="84"/>
        <v>0</v>
      </c>
    </row>
    <row r="1098" spans="1:4" x14ac:dyDescent="0.3">
      <c r="A1098">
        <f t="shared" si="85"/>
        <v>0</v>
      </c>
      <c r="B1098">
        <f t="shared" si="87"/>
        <v>0</v>
      </c>
      <c r="C1098">
        <f t="shared" si="86"/>
        <v>0</v>
      </c>
      <c r="D1098">
        <f t="shared" si="84"/>
        <v>0</v>
      </c>
    </row>
    <row r="1099" spans="1:4" x14ac:dyDescent="0.3">
      <c r="A1099">
        <f t="shared" si="85"/>
        <v>0</v>
      </c>
      <c r="B1099">
        <f t="shared" si="87"/>
        <v>0</v>
      </c>
      <c r="C1099">
        <f t="shared" si="86"/>
        <v>0</v>
      </c>
      <c r="D1099">
        <f t="shared" si="84"/>
        <v>0</v>
      </c>
    </row>
    <row r="1100" spans="1:4" x14ac:dyDescent="0.3">
      <c r="A1100">
        <f t="shared" si="85"/>
        <v>0</v>
      </c>
      <c r="B1100">
        <f t="shared" si="87"/>
        <v>0</v>
      </c>
      <c r="C1100">
        <f t="shared" si="86"/>
        <v>0</v>
      </c>
      <c r="D1100">
        <f t="shared" si="84"/>
        <v>0</v>
      </c>
    </row>
    <row r="1101" spans="1:4" x14ac:dyDescent="0.3">
      <c r="A1101">
        <f t="shared" si="85"/>
        <v>0</v>
      </c>
      <c r="B1101">
        <f t="shared" si="87"/>
        <v>0</v>
      </c>
      <c r="C1101">
        <f t="shared" si="86"/>
        <v>0</v>
      </c>
      <c r="D1101">
        <f t="shared" si="84"/>
        <v>0</v>
      </c>
    </row>
    <row r="1102" spans="1:4" x14ac:dyDescent="0.3">
      <c r="A1102">
        <f t="shared" si="85"/>
        <v>0</v>
      </c>
      <c r="B1102">
        <f t="shared" si="87"/>
        <v>0</v>
      </c>
      <c r="C1102">
        <f t="shared" si="86"/>
        <v>0</v>
      </c>
      <c r="D1102">
        <f t="shared" si="84"/>
        <v>0</v>
      </c>
    </row>
    <row r="1103" spans="1:4" x14ac:dyDescent="0.3">
      <c r="A1103">
        <f t="shared" si="85"/>
        <v>0</v>
      </c>
      <c r="B1103">
        <f t="shared" si="87"/>
        <v>0</v>
      </c>
      <c r="C1103">
        <f t="shared" si="86"/>
        <v>0</v>
      </c>
      <c r="D1103">
        <f t="shared" si="84"/>
        <v>0</v>
      </c>
    </row>
    <row r="1104" spans="1:4" x14ac:dyDescent="0.3">
      <c r="A1104">
        <f t="shared" si="85"/>
        <v>0</v>
      </c>
      <c r="B1104">
        <f t="shared" si="87"/>
        <v>0</v>
      </c>
      <c r="C1104">
        <f t="shared" si="86"/>
        <v>0</v>
      </c>
      <c r="D1104">
        <f t="shared" si="84"/>
        <v>0</v>
      </c>
    </row>
    <row r="1105" spans="1:4" x14ac:dyDescent="0.3">
      <c r="A1105">
        <f t="shared" si="85"/>
        <v>0</v>
      </c>
      <c r="B1105">
        <f t="shared" si="87"/>
        <v>0</v>
      </c>
      <c r="C1105">
        <f t="shared" si="86"/>
        <v>0</v>
      </c>
      <c r="D1105">
        <f t="shared" si="84"/>
        <v>0</v>
      </c>
    </row>
    <row r="1106" spans="1:4" x14ac:dyDescent="0.3">
      <c r="A1106">
        <f t="shared" si="85"/>
        <v>0</v>
      </c>
      <c r="B1106">
        <f t="shared" si="87"/>
        <v>0</v>
      </c>
      <c r="C1106">
        <f t="shared" si="86"/>
        <v>0</v>
      </c>
      <c r="D1106">
        <f t="shared" si="84"/>
        <v>0</v>
      </c>
    </row>
    <row r="1107" spans="1:4" x14ac:dyDescent="0.3">
      <c r="A1107">
        <f t="shared" si="85"/>
        <v>0</v>
      </c>
      <c r="B1107">
        <f t="shared" si="87"/>
        <v>0</v>
      </c>
      <c r="C1107">
        <f t="shared" si="86"/>
        <v>0</v>
      </c>
      <c r="D1107">
        <f t="shared" ref="D1107:D1170" si="88">((0*(1/3.6))*(3.6))*(1/3.6)</f>
        <v>0</v>
      </c>
    </row>
    <row r="1108" spans="1:4" x14ac:dyDescent="0.3">
      <c r="A1108">
        <f t="shared" si="85"/>
        <v>0</v>
      </c>
      <c r="B1108">
        <f t="shared" si="87"/>
        <v>0</v>
      </c>
      <c r="C1108">
        <f t="shared" si="86"/>
        <v>0</v>
      </c>
      <c r="D1108">
        <f t="shared" si="88"/>
        <v>0</v>
      </c>
    </row>
    <row r="1109" spans="1:4" x14ac:dyDescent="0.3">
      <c r="A1109">
        <f t="shared" si="85"/>
        <v>0</v>
      </c>
      <c r="B1109">
        <f t="shared" si="87"/>
        <v>0</v>
      </c>
      <c r="C1109">
        <f t="shared" si="86"/>
        <v>0</v>
      </c>
      <c r="D1109">
        <f t="shared" si="88"/>
        <v>0</v>
      </c>
    </row>
    <row r="1110" spans="1:4" x14ac:dyDescent="0.3">
      <c r="A1110">
        <f t="shared" si="85"/>
        <v>0</v>
      </c>
      <c r="B1110">
        <f t="shared" si="87"/>
        <v>0</v>
      </c>
      <c r="C1110">
        <f t="shared" si="86"/>
        <v>0</v>
      </c>
      <c r="D1110">
        <f t="shared" si="88"/>
        <v>0</v>
      </c>
    </row>
    <row r="1111" spans="1:4" x14ac:dyDescent="0.3">
      <c r="A1111">
        <f t="shared" si="85"/>
        <v>0</v>
      </c>
      <c r="B1111">
        <f t="shared" si="87"/>
        <v>0</v>
      </c>
      <c r="C1111">
        <f t="shared" si="86"/>
        <v>0</v>
      </c>
      <c r="D1111">
        <f t="shared" si="88"/>
        <v>0</v>
      </c>
    </row>
    <row r="1112" spans="1:4" x14ac:dyDescent="0.3">
      <c r="A1112">
        <f t="shared" si="85"/>
        <v>0</v>
      </c>
      <c r="B1112">
        <f t="shared" si="87"/>
        <v>0</v>
      </c>
      <c r="C1112">
        <f t="shared" si="86"/>
        <v>0</v>
      </c>
      <c r="D1112">
        <f t="shared" si="88"/>
        <v>0</v>
      </c>
    </row>
    <row r="1113" spans="1:4" x14ac:dyDescent="0.3">
      <c r="A1113">
        <f t="shared" si="85"/>
        <v>0</v>
      </c>
      <c r="B1113">
        <f t="shared" si="87"/>
        <v>0</v>
      </c>
      <c r="C1113">
        <f t="shared" si="86"/>
        <v>0</v>
      </c>
      <c r="D1113">
        <f t="shared" si="88"/>
        <v>0</v>
      </c>
    </row>
    <row r="1114" spans="1:4" x14ac:dyDescent="0.3">
      <c r="A1114">
        <f t="shared" si="85"/>
        <v>0</v>
      </c>
      <c r="B1114">
        <f t="shared" si="87"/>
        <v>0</v>
      </c>
      <c r="C1114">
        <f t="shared" si="86"/>
        <v>0</v>
      </c>
      <c r="D1114">
        <f t="shared" si="88"/>
        <v>0</v>
      </c>
    </row>
    <row r="1115" spans="1:4" x14ac:dyDescent="0.3">
      <c r="A1115">
        <f t="shared" si="85"/>
        <v>0</v>
      </c>
      <c r="B1115">
        <f t="shared" si="87"/>
        <v>0</v>
      </c>
      <c r="C1115">
        <f t="shared" si="86"/>
        <v>0</v>
      </c>
      <c r="D1115">
        <f t="shared" si="88"/>
        <v>0</v>
      </c>
    </row>
    <row r="1116" spans="1:4" x14ac:dyDescent="0.3">
      <c r="A1116">
        <f t="shared" si="85"/>
        <v>0</v>
      </c>
      <c r="B1116">
        <f t="shared" si="87"/>
        <v>0</v>
      </c>
      <c r="C1116">
        <f t="shared" si="86"/>
        <v>0</v>
      </c>
      <c r="D1116">
        <f t="shared" si="88"/>
        <v>0</v>
      </c>
    </row>
    <row r="1117" spans="1:4" x14ac:dyDescent="0.3">
      <c r="A1117">
        <f t="shared" si="85"/>
        <v>0</v>
      </c>
      <c r="B1117">
        <f t="shared" si="87"/>
        <v>0</v>
      </c>
      <c r="C1117">
        <f t="shared" si="86"/>
        <v>0</v>
      </c>
      <c r="D1117">
        <f t="shared" si="88"/>
        <v>0</v>
      </c>
    </row>
    <row r="1118" spans="1:4" x14ac:dyDescent="0.3">
      <c r="A1118">
        <f t="shared" si="85"/>
        <v>0</v>
      </c>
      <c r="B1118">
        <f t="shared" si="87"/>
        <v>0</v>
      </c>
      <c r="C1118">
        <f t="shared" si="86"/>
        <v>0</v>
      </c>
      <c r="D1118">
        <f t="shared" si="88"/>
        <v>0</v>
      </c>
    </row>
    <row r="1119" spans="1:4" x14ac:dyDescent="0.3">
      <c r="A1119">
        <f t="shared" si="85"/>
        <v>0</v>
      </c>
      <c r="B1119">
        <f t="shared" si="87"/>
        <v>0</v>
      </c>
      <c r="C1119">
        <f t="shared" si="86"/>
        <v>0</v>
      </c>
      <c r="D1119">
        <f t="shared" si="88"/>
        <v>0</v>
      </c>
    </row>
    <row r="1120" spans="1:4" x14ac:dyDescent="0.3">
      <c r="A1120">
        <f t="shared" si="85"/>
        <v>0</v>
      </c>
      <c r="B1120">
        <f t="shared" si="87"/>
        <v>0</v>
      </c>
      <c r="C1120">
        <f t="shared" si="86"/>
        <v>0</v>
      </c>
      <c r="D1120">
        <f t="shared" si="88"/>
        <v>0</v>
      </c>
    </row>
    <row r="1121" spans="1:4" x14ac:dyDescent="0.3">
      <c r="A1121">
        <f t="shared" si="85"/>
        <v>0</v>
      </c>
      <c r="B1121">
        <f t="shared" si="87"/>
        <v>0</v>
      </c>
      <c r="C1121">
        <f t="shared" si="86"/>
        <v>0</v>
      </c>
      <c r="D1121">
        <f t="shared" si="88"/>
        <v>0</v>
      </c>
    </row>
    <row r="1122" spans="1:4" x14ac:dyDescent="0.3">
      <c r="A1122">
        <f t="shared" si="85"/>
        <v>0</v>
      </c>
      <c r="B1122">
        <f t="shared" si="87"/>
        <v>0</v>
      </c>
      <c r="C1122">
        <f t="shared" si="86"/>
        <v>0</v>
      </c>
      <c r="D1122">
        <f t="shared" si="88"/>
        <v>0</v>
      </c>
    </row>
    <row r="1123" spans="1:4" x14ac:dyDescent="0.3">
      <c r="A1123">
        <f t="shared" si="85"/>
        <v>0</v>
      </c>
      <c r="B1123">
        <f t="shared" si="87"/>
        <v>0</v>
      </c>
      <c r="C1123">
        <f t="shared" si="86"/>
        <v>0</v>
      </c>
      <c r="D1123">
        <f t="shared" si="88"/>
        <v>0</v>
      </c>
    </row>
    <row r="1124" spans="1:4" x14ac:dyDescent="0.3">
      <c r="A1124">
        <f t="shared" si="85"/>
        <v>0</v>
      </c>
      <c r="B1124">
        <f t="shared" si="87"/>
        <v>0</v>
      </c>
      <c r="C1124">
        <f t="shared" si="86"/>
        <v>0</v>
      </c>
      <c r="D1124">
        <f t="shared" si="88"/>
        <v>0</v>
      </c>
    </row>
    <row r="1125" spans="1:4" x14ac:dyDescent="0.3">
      <c r="A1125">
        <f t="shared" si="85"/>
        <v>0</v>
      </c>
      <c r="B1125">
        <f t="shared" si="87"/>
        <v>0</v>
      </c>
      <c r="C1125">
        <f t="shared" si="86"/>
        <v>0</v>
      </c>
      <c r="D1125">
        <f t="shared" si="88"/>
        <v>0</v>
      </c>
    </row>
    <row r="1126" spans="1:4" x14ac:dyDescent="0.3">
      <c r="A1126">
        <f t="shared" ref="A1126:A1189" si="89">((0*(1/3.6))*(3.6))*(1/3.6)</f>
        <v>0</v>
      </c>
      <c r="B1126">
        <f t="shared" si="87"/>
        <v>0</v>
      </c>
      <c r="C1126">
        <f t="shared" si="86"/>
        <v>0</v>
      </c>
      <c r="D1126">
        <f t="shared" si="88"/>
        <v>0</v>
      </c>
    </row>
    <row r="1127" spans="1:4" x14ac:dyDescent="0.3">
      <c r="A1127">
        <f t="shared" si="89"/>
        <v>0</v>
      </c>
      <c r="B1127">
        <f t="shared" si="87"/>
        <v>0</v>
      </c>
      <c r="C1127">
        <f t="shared" si="86"/>
        <v>0</v>
      </c>
      <c r="D1127">
        <f t="shared" si="88"/>
        <v>0</v>
      </c>
    </row>
    <row r="1128" spans="1:4" x14ac:dyDescent="0.3">
      <c r="A1128">
        <f t="shared" si="89"/>
        <v>0</v>
      </c>
      <c r="B1128">
        <f t="shared" si="87"/>
        <v>0</v>
      </c>
      <c r="C1128">
        <f t="shared" si="86"/>
        <v>0</v>
      </c>
      <c r="D1128">
        <f t="shared" si="88"/>
        <v>0</v>
      </c>
    </row>
    <row r="1129" spans="1:4" x14ac:dyDescent="0.3">
      <c r="A1129">
        <f t="shared" si="89"/>
        <v>0</v>
      </c>
      <c r="B1129">
        <f t="shared" si="87"/>
        <v>0</v>
      </c>
      <c r="C1129">
        <f t="shared" si="86"/>
        <v>0</v>
      </c>
      <c r="D1129">
        <f t="shared" si="88"/>
        <v>0</v>
      </c>
    </row>
    <row r="1130" spans="1:4" x14ac:dyDescent="0.3">
      <c r="A1130">
        <f t="shared" si="89"/>
        <v>0</v>
      </c>
      <c r="B1130">
        <f t="shared" si="87"/>
        <v>0</v>
      </c>
      <c r="C1130">
        <f t="shared" si="86"/>
        <v>0</v>
      </c>
      <c r="D1130">
        <f t="shared" si="88"/>
        <v>0</v>
      </c>
    </row>
    <row r="1131" spans="1:4" x14ac:dyDescent="0.3">
      <c r="A1131">
        <f t="shared" si="89"/>
        <v>0</v>
      </c>
      <c r="B1131">
        <f t="shared" si="87"/>
        <v>0</v>
      </c>
      <c r="C1131">
        <f t="shared" si="86"/>
        <v>0</v>
      </c>
      <c r="D1131">
        <f t="shared" si="88"/>
        <v>0</v>
      </c>
    </row>
    <row r="1132" spans="1:4" x14ac:dyDescent="0.3">
      <c r="A1132">
        <f t="shared" si="89"/>
        <v>0</v>
      </c>
      <c r="B1132">
        <f t="shared" si="87"/>
        <v>0</v>
      </c>
      <c r="C1132">
        <f t="shared" si="86"/>
        <v>0</v>
      </c>
      <c r="D1132">
        <f t="shared" si="88"/>
        <v>0</v>
      </c>
    </row>
    <row r="1133" spans="1:4" x14ac:dyDescent="0.3">
      <c r="A1133">
        <f t="shared" si="89"/>
        <v>0</v>
      </c>
      <c r="B1133">
        <f t="shared" si="87"/>
        <v>0</v>
      </c>
      <c r="C1133">
        <f t="shared" si="86"/>
        <v>0</v>
      </c>
      <c r="D1133">
        <f t="shared" si="88"/>
        <v>0</v>
      </c>
    </row>
    <row r="1134" spans="1:4" x14ac:dyDescent="0.3">
      <c r="A1134">
        <f t="shared" si="89"/>
        <v>0</v>
      </c>
      <c r="B1134">
        <f t="shared" si="87"/>
        <v>0</v>
      </c>
      <c r="C1134">
        <f t="shared" si="86"/>
        <v>0</v>
      </c>
      <c r="D1134">
        <f t="shared" si="88"/>
        <v>0</v>
      </c>
    </row>
    <row r="1135" spans="1:4" x14ac:dyDescent="0.3">
      <c r="A1135">
        <f t="shared" si="89"/>
        <v>0</v>
      </c>
      <c r="B1135">
        <f t="shared" si="87"/>
        <v>0</v>
      </c>
      <c r="C1135">
        <f t="shared" si="86"/>
        <v>0</v>
      </c>
      <c r="D1135">
        <f t="shared" si="88"/>
        <v>0</v>
      </c>
    </row>
    <row r="1136" spans="1:4" x14ac:dyDescent="0.3">
      <c r="A1136">
        <f t="shared" si="89"/>
        <v>0</v>
      </c>
      <c r="B1136">
        <f t="shared" si="87"/>
        <v>0</v>
      </c>
      <c r="C1136">
        <f t="shared" si="86"/>
        <v>0</v>
      </c>
      <c r="D1136">
        <f t="shared" si="88"/>
        <v>0</v>
      </c>
    </row>
    <row r="1137" spans="1:4" x14ac:dyDescent="0.3">
      <c r="A1137">
        <f t="shared" si="89"/>
        <v>0</v>
      </c>
      <c r="B1137">
        <f t="shared" si="87"/>
        <v>0</v>
      </c>
      <c r="C1137">
        <f t="shared" si="86"/>
        <v>0</v>
      </c>
      <c r="D1137">
        <f t="shared" si="88"/>
        <v>0</v>
      </c>
    </row>
    <row r="1138" spans="1:4" x14ac:dyDescent="0.3">
      <c r="A1138">
        <f t="shared" si="89"/>
        <v>0</v>
      </c>
      <c r="B1138">
        <f t="shared" si="87"/>
        <v>0</v>
      </c>
      <c r="C1138">
        <f t="shared" si="86"/>
        <v>0</v>
      </c>
      <c r="D1138">
        <f t="shared" si="88"/>
        <v>0</v>
      </c>
    </row>
    <row r="1139" spans="1:4" x14ac:dyDescent="0.3">
      <c r="A1139">
        <f t="shared" si="89"/>
        <v>0</v>
      </c>
      <c r="B1139">
        <f t="shared" si="87"/>
        <v>0</v>
      </c>
      <c r="C1139">
        <f t="shared" si="86"/>
        <v>0</v>
      </c>
      <c r="D1139">
        <f t="shared" si="88"/>
        <v>0</v>
      </c>
    </row>
    <row r="1140" spans="1:4" x14ac:dyDescent="0.3">
      <c r="A1140">
        <f t="shared" si="89"/>
        <v>0</v>
      </c>
      <c r="B1140">
        <f t="shared" si="87"/>
        <v>0</v>
      </c>
      <c r="C1140">
        <f t="shared" si="86"/>
        <v>0</v>
      </c>
      <c r="D1140">
        <f t="shared" si="88"/>
        <v>0</v>
      </c>
    </row>
    <row r="1141" spans="1:4" x14ac:dyDescent="0.3">
      <c r="A1141">
        <f t="shared" si="89"/>
        <v>0</v>
      </c>
      <c r="B1141">
        <f t="shared" si="87"/>
        <v>0</v>
      </c>
      <c r="C1141">
        <f t="shared" si="86"/>
        <v>0</v>
      </c>
      <c r="D1141">
        <f t="shared" si="88"/>
        <v>0</v>
      </c>
    </row>
    <row r="1142" spans="1:4" x14ac:dyDescent="0.3">
      <c r="A1142">
        <f t="shared" si="89"/>
        <v>0</v>
      </c>
      <c r="B1142">
        <f t="shared" si="87"/>
        <v>0</v>
      </c>
      <c r="C1142">
        <f t="shared" si="86"/>
        <v>0</v>
      </c>
      <c r="D1142">
        <f t="shared" si="88"/>
        <v>0</v>
      </c>
    </row>
    <row r="1143" spans="1:4" x14ac:dyDescent="0.3">
      <c r="A1143">
        <f t="shared" si="89"/>
        <v>0</v>
      </c>
      <c r="B1143">
        <f t="shared" si="87"/>
        <v>0</v>
      </c>
      <c r="C1143">
        <f t="shared" si="86"/>
        <v>0</v>
      </c>
      <c r="D1143">
        <f t="shared" si="88"/>
        <v>0</v>
      </c>
    </row>
    <row r="1144" spans="1:4" x14ac:dyDescent="0.3">
      <c r="A1144">
        <f t="shared" si="89"/>
        <v>0</v>
      </c>
      <c r="B1144">
        <f t="shared" si="87"/>
        <v>0</v>
      </c>
      <c r="C1144">
        <f t="shared" si="86"/>
        <v>0</v>
      </c>
      <c r="D1144">
        <f t="shared" si="88"/>
        <v>0</v>
      </c>
    </row>
    <row r="1145" spans="1:4" x14ac:dyDescent="0.3">
      <c r="A1145">
        <f t="shared" si="89"/>
        <v>0</v>
      </c>
      <c r="B1145">
        <f t="shared" si="87"/>
        <v>0</v>
      </c>
      <c r="C1145">
        <f t="shared" si="86"/>
        <v>0</v>
      </c>
      <c r="D1145">
        <f t="shared" si="88"/>
        <v>0</v>
      </c>
    </row>
    <row r="1146" spans="1:4" x14ac:dyDescent="0.3">
      <c r="A1146">
        <f t="shared" si="89"/>
        <v>0</v>
      </c>
      <c r="B1146">
        <f t="shared" si="87"/>
        <v>0</v>
      </c>
      <c r="C1146">
        <f t="shared" si="86"/>
        <v>0</v>
      </c>
      <c r="D1146">
        <f t="shared" si="88"/>
        <v>0</v>
      </c>
    </row>
    <row r="1147" spans="1:4" x14ac:dyDescent="0.3">
      <c r="A1147">
        <f t="shared" si="89"/>
        <v>0</v>
      </c>
      <c r="B1147">
        <f t="shared" si="87"/>
        <v>0</v>
      </c>
      <c r="C1147">
        <f t="shared" si="86"/>
        <v>0</v>
      </c>
      <c r="D1147">
        <f t="shared" si="88"/>
        <v>0</v>
      </c>
    </row>
    <row r="1148" spans="1:4" x14ac:dyDescent="0.3">
      <c r="A1148">
        <f t="shared" si="89"/>
        <v>0</v>
      </c>
      <c r="B1148">
        <f t="shared" si="87"/>
        <v>0</v>
      </c>
      <c r="C1148">
        <f t="shared" si="86"/>
        <v>0</v>
      </c>
      <c r="D1148">
        <f t="shared" si="88"/>
        <v>0</v>
      </c>
    </row>
    <row r="1149" spans="1:4" x14ac:dyDescent="0.3">
      <c r="A1149">
        <f t="shared" si="89"/>
        <v>0</v>
      </c>
      <c r="B1149">
        <f t="shared" si="87"/>
        <v>0</v>
      </c>
      <c r="C1149">
        <f t="shared" si="86"/>
        <v>0</v>
      </c>
      <c r="D1149">
        <f t="shared" si="88"/>
        <v>0</v>
      </c>
    </row>
    <row r="1150" spans="1:4" x14ac:dyDescent="0.3">
      <c r="A1150">
        <f t="shared" si="89"/>
        <v>0</v>
      </c>
      <c r="B1150">
        <f t="shared" si="87"/>
        <v>0</v>
      </c>
      <c r="C1150">
        <f t="shared" si="86"/>
        <v>0</v>
      </c>
      <c r="D1150">
        <f t="shared" si="88"/>
        <v>0</v>
      </c>
    </row>
    <row r="1151" spans="1:4" x14ac:dyDescent="0.3">
      <c r="A1151">
        <f t="shared" si="89"/>
        <v>0</v>
      </c>
      <c r="B1151">
        <f t="shared" si="87"/>
        <v>0</v>
      </c>
      <c r="C1151">
        <f t="shared" si="86"/>
        <v>0</v>
      </c>
      <c r="D1151">
        <f t="shared" si="88"/>
        <v>0</v>
      </c>
    </row>
    <row r="1152" spans="1:4" x14ac:dyDescent="0.3">
      <c r="A1152">
        <f t="shared" si="89"/>
        <v>0</v>
      </c>
      <c r="B1152">
        <f t="shared" si="87"/>
        <v>0</v>
      </c>
      <c r="C1152">
        <f t="shared" si="86"/>
        <v>0</v>
      </c>
      <c r="D1152">
        <f t="shared" si="88"/>
        <v>0</v>
      </c>
    </row>
    <row r="1153" spans="1:4" x14ac:dyDescent="0.3">
      <c r="A1153">
        <f t="shared" si="89"/>
        <v>0</v>
      </c>
      <c r="B1153">
        <f t="shared" si="87"/>
        <v>0</v>
      </c>
      <c r="C1153">
        <f t="shared" si="86"/>
        <v>0</v>
      </c>
      <c r="D1153">
        <f t="shared" si="88"/>
        <v>0</v>
      </c>
    </row>
    <row r="1154" spans="1:4" x14ac:dyDescent="0.3">
      <c r="A1154">
        <f t="shared" si="89"/>
        <v>0</v>
      </c>
      <c r="B1154">
        <f t="shared" si="87"/>
        <v>0</v>
      </c>
      <c r="C1154">
        <f t="shared" si="86"/>
        <v>0</v>
      </c>
      <c r="D1154">
        <f t="shared" si="88"/>
        <v>0</v>
      </c>
    </row>
    <row r="1155" spans="1:4" x14ac:dyDescent="0.3">
      <c r="A1155">
        <f t="shared" si="89"/>
        <v>0</v>
      </c>
      <c r="B1155">
        <f t="shared" si="87"/>
        <v>0</v>
      </c>
      <c r="C1155">
        <f t="shared" si="86"/>
        <v>0</v>
      </c>
      <c r="D1155">
        <f t="shared" si="88"/>
        <v>0</v>
      </c>
    </row>
    <row r="1156" spans="1:4" x14ac:dyDescent="0.3">
      <c r="A1156">
        <f t="shared" si="89"/>
        <v>0</v>
      </c>
      <c r="B1156">
        <f t="shared" si="87"/>
        <v>0</v>
      </c>
      <c r="C1156">
        <f t="shared" si="86"/>
        <v>0</v>
      </c>
      <c r="D1156">
        <f t="shared" si="88"/>
        <v>0</v>
      </c>
    </row>
    <row r="1157" spans="1:4" x14ac:dyDescent="0.3">
      <c r="A1157">
        <f t="shared" si="89"/>
        <v>0</v>
      </c>
      <c r="B1157">
        <f t="shared" si="87"/>
        <v>0</v>
      </c>
      <c r="C1157">
        <f t="shared" si="86"/>
        <v>0</v>
      </c>
      <c r="D1157">
        <f t="shared" si="88"/>
        <v>0</v>
      </c>
    </row>
    <row r="1158" spans="1:4" x14ac:dyDescent="0.3">
      <c r="A1158">
        <f t="shared" si="89"/>
        <v>0</v>
      </c>
      <c r="B1158">
        <f t="shared" si="87"/>
        <v>0</v>
      </c>
      <c r="C1158">
        <f t="shared" ref="C1158:C1221" si="90">((0*(1/3.6))*(3.6))*(1/3.6)</f>
        <v>0</v>
      </c>
      <c r="D1158">
        <f t="shared" si="88"/>
        <v>0</v>
      </c>
    </row>
    <row r="1159" spans="1:4" x14ac:dyDescent="0.3">
      <c r="A1159">
        <f t="shared" si="89"/>
        <v>0</v>
      </c>
      <c r="B1159">
        <f t="shared" ref="B1159:B1222" si="91">((0*(1/3.6))*(3.6))*(1/3.6)</f>
        <v>0</v>
      </c>
      <c r="C1159">
        <f t="shared" si="90"/>
        <v>0</v>
      </c>
      <c r="D1159">
        <f t="shared" si="88"/>
        <v>0</v>
      </c>
    </row>
    <row r="1160" spans="1:4" x14ac:dyDescent="0.3">
      <c r="A1160">
        <f t="shared" si="89"/>
        <v>0</v>
      </c>
      <c r="B1160">
        <f t="shared" si="91"/>
        <v>0</v>
      </c>
      <c r="C1160">
        <f t="shared" si="90"/>
        <v>0</v>
      </c>
      <c r="D1160">
        <f t="shared" si="88"/>
        <v>0</v>
      </c>
    </row>
    <row r="1161" spans="1:4" x14ac:dyDescent="0.3">
      <c r="A1161">
        <f t="shared" si="89"/>
        <v>0</v>
      </c>
      <c r="B1161">
        <f t="shared" si="91"/>
        <v>0</v>
      </c>
      <c r="C1161">
        <f t="shared" si="90"/>
        <v>0</v>
      </c>
      <c r="D1161">
        <f t="shared" si="88"/>
        <v>0</v>
      </c>
    </row>
    <row r="1162" spans="1:4" x14ac:dyDescent="0.3">
      <c r="A1162">
        <f t="shared" si="89"/>
        <v>0</v>
      </c>
      <c r="B1162">
        <f t="shared" si="91"/>
        <v>0</v>
      </c>
      <c r="C1162">
        <f t="shared" si="90"/>
        <v>0</v>
      </c>
      <c r="D1162">
        <f t="shared" si="88"/>
        <v>0</v>
      </c>
    </row>
    <row r="1163" spans="1:4" x14ac:dyDescent="0.3">
      <c r="A1163">
        <f t="shared" si="89"/>
        <v>0</v>
      </c>
      <c r="B1163">
        <f t="shared" si="91"/>
        <v>0</v>
      </c>
      <c r="C1163">
        <f t="shared" si="90"/>
        <v>0</v>
      </c>
      <c r="D1163">
        <f t="shared" si="88"/>
        <v>0</v>
      </c>
    </row>
    <row r="1164" spans="1:4" x14ac:dyDescent="0.3">
      <c r="A1164">
        <f t="shared" si="89"/>
        <v>0</v>
      </c>
      <c r="B1164">
        <f t="shared" si="91"/>
        <v>0</v>
      </c>
      <c r="C1164">
        <f t="shared" si="90"/>
        <v>0</v>
      </c>
      <c r="D1164">
        <f t="shared" si="88"/>
        <v>0</v>
      </c>
    </row>
    <row r="1165" spans="1:4" x14ac:dyDescent="0.3">
      <c r="A1165">
        <f t="shared" si="89"/>
        <v>0</v>
      </c>
      <c r="B1165">
        <f t="shared" si="91"/>
        <v>0</v>
      </c>
      <c r="C1165">
        <f t="shared" si="90"/>
        <v>0</v>
      </c>
      <c r="D1165">
        <f t="shared" si="88"/>
        <v>0</v>
      </c>
    </row>
    <row r="1166" spans="1:4" x14ac:dyDescent="0.3">
      <c r="A1166">
        <f t="shared" si="89"/>
        <v>0</v>
      </c>
      <c r="B1166">
        <f t="shared" si="91"/>
        <v>0</v>
      </c>
      <c r="C1166">
        <f t="shared" si="90"/>
        <v>0</v>
      </c>
      <c r="D1166">
        <f t="shared" si="88"/>
        <v>0</v>
      </c>
    </row>
    <row r="1167" spans="1:4" x14ac:dyDescent="0.3">
      <c r="A1167">
        <f t="shared" si="89"/>
        <v>0</v>
      </c>
      <c r="B1167">
        <f t="shared" si="91"/>
        <v>0</v>
      </c>
      <c r="C1167">
        <f t="shared" si="90"/>
        <v>0</v>
      </c>
      <c r="D1167">
        <f t="shared" si="88"/>
        <v>0</v>
      </c>
    </row>
    <row r="1168" spans="1:4" x14ac:dyDescent="0.3">
      <c r="A1168">
        <f t="shared" si="89"/>
        <v>0</v>
      </c>
      <c r="B1168">
        <f t="shared" si="91"/>
        <v>0</v>
      </c>
      <c r="C1168">
        <f t="shared" si="90"/>
        <v>0</v>
      </c>
      <c r="D1168">
        <f t="shared" si="88"/>
        <v>0</v>
      </c>
    </row>
    <row r="1169" spans="1:4" x14ac:dyDescent="0.3">
      <c r="A1169">
        <f t="shared" si="89"/>
        <v>0</v>
      </c>
      <c r="B1169">
        <f t="shared" si="91"/>
        <v>0</v>
      </c>
      <c r="C1169">
        <f t="shared" si="90"/>
        <v>0</v>
      </c>
      <c r="D1169">
        <f t="shared" si="88"/>
        <v>0</v>
      </c>
    </row>
    <row r="1170" spans="1:4" x14ac:dyDescent="0.3">
      <c r="A1170">
        <f t="shared" si="89"/>
        <v>0</v>
      </c>
      <c r="B1170">
        <f t="shared" si="91"/>
        <v>0</v>
      </c>
      <c r="C1170">
        <f t="shared" si="90"/>
        <v>0</v>
      </c>
      <c r="D1170">
        <f t="shared" si="88"/>
        <v>0</v>
      </c>
    </row>
    <row r="1171" spans="1:4" x14ac:dyDescent="0.3">
      <c r="A1171">
        <f t="shared" si="89"/>
        <v>0</v>
      </c>
      <c r="B1171">
        <f t="shared" si="91"/>
        <v>0</v>
      </c>
      <c r="C1171">
        <f t="shared" si="90"/>
        <v>0</v>
      </c>
      <c r="D1171">
        <f t="shared" ref="D1171:D1234" si="92">((0*(1/3.6))*(3.6))*(1/3.6)</f>
        <v>0</v>
      </c>
    </row>
    <row r="1172" spans="1:4" x14ac:dyDescent="0.3">
      <c r="A1172">
        <f t="shared" si="89"/>
        <v>0</v>
      </c>
      <c r="B1172">
        <f t="shared" si="91"/>
        <v>0</v>
      </c>
      <c r="C1172">
        <f t="shared" si="90"/>
        <v>0</v>
      </c>
      <c r="D1172">
        <f t="shared" si="92"/>
        <v>0</v>
      </c>
    </row>
    <row r="1173" spans="1:4" x14ac:dyDescent="0.3">
      <c r="A1173">
        <f t="shared" si="89"/>
        <v>0</v>
      </c>
      <c r="B1173">
        <f t="shared" si="91"/>
        <v>0</v>
      </c>
      <c r="C1173">
        <f t="shared" si="90"/>
        <v>0</v>
      </c>
      <c r="D1173">
        <f t="shared" si="92"/>
        <v>0</v>
      </c>
    </row>
    <row r="1174" spans="1:4" x14ac:dyDescent="0.3">
      <c r="A1174">
        <f t="shared" si="89"/>
        <v>0</v>
      </c>
      <c r="B1174">
        <f t="shared" si="91"/>
        <v>0</v>
      </c>
      <c r="C1174">
        <f t="shared" si="90"/>
        <v>0</v>
      </c>
      <c r="D1174">
        <f t="shared" si="92"/>
        <v>0</v>
      </c>
    </row>
    <row r="1175" spans="1:4" x14ac:dyDescent="0.3">
      <c r="A1175">
        <f t="shared" si="89"/>
        <v>0</v>
      </c>
      <c r="B1175">
        <f t="shared" si="91"/>
        <v>0</v>
      </c>
      <c r="C1175">
        <f t="shared" si="90"/>
        <v>0</v>
      </c>
      <c r="D1175">
        <f t="shared" si="92"/>
        <v>0</v>
      </c>
    </row>
    <row r="1176" spans="1:4" x14ac:dyDescent="0.3">
      <c r="A1176">
        <f t="shared" si="89"/>
        <v>0</v>
      </c>
      <c r="B1176">
        <f t="shared" si="91"/>
        <v>0</v>
      </c>
      <c r="C1176">
        <f t="shared" si="90"/>
        <v>0</v>
      </c>
      <c r="D1176">
        <f t="shared" si="92"/>
        <v>0</v>
      </c>
    </row>
    <row r="1177" spans="1:4" x14ac:dyDescent="0.3">
      <c r="A1177">
        <f t="shared" si="89"/>
        <v>0</v>
      </c>
      <c r="B1177">
        <f t="shared" si="91"/>
        <v>0</v>
      </c>
      <c r="C1177">
        <f t="shared" si="90"/>
        <v>0</v>
      </c>
      <c r="D1177">
        <f t="shared" si="92"/>
        <v>0</v>
      </c>
    </row>
    <row r="1178" spans="1:4" x14ac:dyDescent="0.3">
      <c r="A1178">
        <f t="shared" si="89"/>
        <v>0</v>
      </c>
      <c r="B1178">
        <f t="shared" si="91"/>
        <v>0</v>
      </c>
      <c r="C1178">
        <f t="shared" si="90"/>
        <v>0</v>
      </c>
      <c r="D1178">
        <f t="shared" si="92"/>
        <v>0</v>
      </c>
    </row>
    <row r="1179" spans="1:4" x14ac:dyDescent="0.3">
      <c r="A1179">
        <f t="shared" si="89"/>
        <v>0</v>
      </c>
      <c r="B1179">
        <f t="shared" si="91"/>
        <v>0</v>
      </c>
      <c r="C1179">
        <f t="shared" si="90"/>
        <v>0</v>
      </c>
      <c r="D1179">
        <f t="shared" si="92"/>
        <v>0</v>
      </c>
    </row>
    <row r="1180" spans="1:4" x14ac:dyDescent="0.3">
      <c r="A1180">
        <f t="shared" si="89"/>
        <v>0</v>
      </c>
      <c r="B1180">
        <f t="shared" si="91"/>
        <v>0</v>
      </c>
      <c r="C1180">
        <f t="shared" si="90"/>
        <v>0</v>
      </c>
      <c r="D1180">
        <f t="shared" si="92"/>
        <v>0</v>
      </c>
    </row>
    <row r="1181" spans="1:4" x14ac:dyDescent="0.3">
      <c r="A1181">
        <f t="shared" si="89"/>
        <v>0</v>
      </c>
      <c r="B1181">
        <f t="shared" si="91"/>
        <v>0</v>
      </c>
      <c r="C1181">
        <f t="shared" si="90"/>
        <v>0</v>
      </c>
      <c r="D1181">
        <f t="shared" si="92"/>
        <v>0</v>
      </c>
    </row>
    <row r="1182" spans="1:4" x14ac:dyDescent="0.3">
      <c r="A1182">
        <f t="shared" si="89"/>
        <v>0</v>
      </c>
      <c r="B1182">
        <f t="shared" si="91"/>
        <v>0</v>
      </c>
      <c r="C1182">
        <f t="shared" si="90"/>
        <v>0</v>
      </c>
      <c r="D1182">
        <f t="shared" si="92"/>
        <v>0</v>
      </c>
    </row>
    <row r="1183" spans="1:4" x14ac:dyDescent="0.3">
      <c r="A1183">
        <f t="shared" si="89"/>
        <v>0</v>
      </c>
      <c r="B1183">
        <f t="shared" si="91"/>
        <v>0</v>
      </c>
      <c r="C1183">
        <f t="shared" si="90"/>
        <v>0</v>
      </c>
      <c r="D1183">
        <f t="shared" si="92"/>
        <v>0</v>
      </c>
    </row>
    <row r="1184" spans="1:4" x14ac:dyDescent="0.3">
      <c r="A1184">
        <f t="shared" si="89"/>
        <v>0</v>
      </c>
      <c r="B1184">
        <f t="shared" si="91"/>
        <v>0</v>
      </c>
      <c r="C1184">
        <f t="shared" si="90"/>
        <v>0</v>
      </c>
      <c r="D1184">
        <f t="shared" si="92"/>
        <v>0</v>
      </c>
    </row>
    <row r="1185" spans="1:4" x14ac:dyDescent="0.3">
      <c r="A1185">
        <f t="shared" si="89"/>
        <v>0</v>
      </c>
      <c r="B1185">
        <f t="shared" si="91"/>
        <v>0</v>
      </c>
      <c r="C1185">
        <f t="shared" si="90"/>
        <v>0</v>
      </c>
      <c r="D1185">
        <f t="shared" si="92"/>
        <v>0</v>
      </c>
    </row>
    <row r="1186" spans="1:4" x14ac:dyDescent="0.3">
      <c r="A1186">
        <f t="shared" si="89"/>
        <v>0</v>
      </c>
      <c r="B1186">
        <f t="shared" si="91"/>
        <v>0</v>
      </c>
      <c r="C1186">
        <f t="shared" si="90"/>
        <v>0</v>
      </c>
      <c r="D1186">
        <f t="shared" si="92"/>
        <v>0</v>
      </c>
    </row>
    <row r="1187" spans="1:4" x14ac:dyDescent="0.3">
      <c r="A1187">
        <f t="shared" si="89"/>
        <v>0</v>
      </c>
      <c r="B1187">
        <f t="shared" si="91"/>
        <v>0</v>
      </c>
      <c r="C1187">
        <f t="shared" si="90"/>
        <v>0</v>
      </c>
      <c r="D1187">
        <f t="shared" si="92"/>
        <v>0</v>
      </c>
    </row>
    <row r="1188" spans="1:4" x14ac:dyDescent="0.3">
      <c r="A1188">
        <f t="shared" si="89"/>
        <v>0</v>
      </c>
      <c r="B1188">
        <f t="shared" si="91"/>
        <v>0</v>
      </c>
      <c r="C1188">
        <f t="shared" si="90"/>
        <v>0</v>
      </c>
      <c r="D1188">
        <f t="shared" si="92"/>
        <v>0</v>
      </c>
    </row>
    <row r="1189" spans="1:4" x14ac:dyDescent="0.3">
      <c r="A1189">
        <f t="shared" si="89"/>
        <v>0</v>
      </c>
      <c r="B1189">
        <f t="shared" si="91"/>
        <v>0</v>
      </c>
      <c r="C1189">
        <f t="shared" si="90"/>
        <v>0</v>
      </c>
      <c r="D1189">
        <f t="shared" si="92"/>
        <v>0</v>
      </c>
    </row>
    <row r="1190" spans="1:4" x14ac:dyDescent="0.3">
      <c r="A1190">
        <f t="shared" ref="A1190:A1253" si="93">((0*(1/3.6))*(3.6))*(1/3.6)</f>
        <v>0</v>
      </c>
      <c r="B1190">
        <f t="shared" si="91"/>
        <v>0</v>
      </c>
      <c r="C1190">
        <f t="shared" si="90"/>
        <v>0</v>
      </c>
      <c r="D1190">
        <f t="shared" si="92"/>
        <v>0</v>
      </c>
    </row>
    <row r="1191" spans="1:4" x14ac:dyDescent="0.3">
      <c r="A1191">
        <f t="shared" si="93"/>
        <v>0</v>
      </c>
      <c r="B1191">
        <f t="shared" si="91"/>
        <v>0</v>
      </c>
      <c r="C1191">
        <f t="shared" si="90"/>
        <v>0</v>
      </c>
      <c r="D1191">
        <f t="shared" si="92"/>
        <v>0</v>
      </c>
    </row>
    <row r="1192" spans="1:4" x14ac:dyDescent="0.3">
      <c r="A1192">
        <f t="shared" si="93"/>
        <v>0</v>
      </c>
      <c r="B1192">
        <f t="shared" si="91"/>
        <v>0</v>
      </c>
      <c r="C1192">
        <f t="shared" si="90"/>
        <v>0</v>
      </c>
      <c r="D1192">
        <f t="shared" si="92"/>
        <v>0</v>
      </c>
    </row>
    <row r="1193" spans="1:4" x14ac:dyDescent="0.3">
      <c r="A1193">
        <f t="shared" si="93"/>
        <v>0</v>
      </c>
      <c r="B1193">
        <f t="shared" si="91"/>
        <v>0</v>
      </c>
      <c r="C1193">
        <f t="shared" si="90"/>
        <v>0</v>
      </c>
      <c r="D1193">
        <f t="shared" si="92"/>
        <v>0</v>
      </c>
    </row>
    <row r="1194" spans="1:4" x14ac:dyDescent="0.3">
      <c r="A1194">
        <f t="shared" si="93"/>
        <v>0</v>
      </c>
      <c r="B1194">
        <f t="shared" si="91"/>
        <v>0</v>
      </c>
      <c r="C1194">
        <f t="shared" si="90"/>
        <v>0</v>
      </c>
      <c r="D1194">
        <f t="shared" si="92"/>
        <v>0</v>
      </c>
    </row>
    <row r="1195" spans="1:4" x14ac:dyDescent="0.3">
      <c r="A1195">
        <f t="shared" si="93"/>
        <v>0</v>
      </c>
      <c r="B1195">
        <f t="shared" si="91"/>
        <v>0</v>
      </c>
      <c r="C1195">
        <f t="shared" si="90"/>
        <v>0</v>
      </c>
      <c r="D1195">
        <f t="shared" si="92"/>
        <v>0</v>
      </c>
    </row>
    <row r="1196" spans="1:4" x14ac:dyDescent="0.3">
      <c r="A1196">
        <f t="shared" si="93"/>
        <v>0</v>
      </c>
      <c r="B1196">
        <f t="shared" si="91"/>
        <v>0</v>
      </c>
      <c r="C1196">
        <f t="shared" si="90"/>
        <v>0</v>
      </c>
      <c r="D1196">
        <f t="shared" si="92"/>
        <v>0</v>
      </c>
    </row>
    <row r="1197" spans="1:4" x14ac:dyDescent="0.3">
      <c r="A1197">
        <f t="shared" si="93"/>
        <v>0</v>
      </c>
      <c r="B1197">
        <f t="shared" si="91"/>
        <v>0</v>
      </c>
      <c r="C1197">
        <f t="shared" si="90"/>
        <v>0</v>
      </c>
      <c r="D1197">
        <f t="shared" si="92"/>
        <v>0</v>
      </c>
    </row>
    <row r="1198" spans="1:4" x14ac:dyDescent="0.3">
      <c r="A1198">
        <f t="shared" si="93"/>
        <v>0</v>
      </c>
      <c r="B1198">
        <f t="shared" si="91"/>
        <v>0</v>
      </c>
      <c r="C1198">
        <f t="shared" si="90"/>
        <v>0</v>
      </c>
      <c r="D1198">
        <f t="shared" si="92"/>
        <v>0</v>
      </c>
    </row>
    <row r="1199" spans="1:4" x14ac:dyDescent="0.3">
      <c r="A1199">
        <f t="shared" si="93"/>
        <v>0</v>
      </c>
      <c r="B1199">
        <f t="shared" si="91"/>
        <v>0</v>
      </c>
      <c r="C1199">
        <f t="shared" si="90"/>
        <v>0</v>
      </c>
      <c r="D1199">
        <f t="shared" si="92"/>
        <v>0</v>
      </c>
    </row>
    <row r="1200" spans="1:4" x14ac:dyDescent="0.3">
      <c r="A1200">
        <f t="shared" si="93"/>
        <v>0</v>
      </c>
      <c r="B1200">
        <f t="shared" si="91"/>
        <v>0</v>
      </c>
      <c r="C1200">
        <f t="shared" si="90"/>
        <v>0</v>
      </c>
      <c r="D1200">
        <f t="shared" si="92"/>
        <v>0</v>
      </c>
    </row>
    <row r="1201" spans="1:4" x14ac:dyDescent="0.3">
      <c r="A1201">
        <f t="shared" si="93"/>
        <v>0</v>
      </c>
      <c r="B1201">
        <f t="shared" si="91"/>
        <v>0</v>
      </c>
      <c r="C1201">
        <f t="shared" si="90"/>
        <v>0</v>
      </c>
      <c r="D1201">
        <f t="shared" si="92"/>
        <v>0</v>
      </c>
    </row>
    <row r="1202" spans="1:4" x14ac:dyDescent="0.3">
      <c r="A1202">
        <f t="shared" si="93"/>
        <v>0</v>
      </c>
      <c r="B1202">
        <f t="shared" si="91"/>
        <v>0</v>
      </c>
      <c r="C1202">
        <f t="shared" si="90"/>
        <v>0</v>
      </c>
      <c r="D1202">
        <f t="shared" si="92"/>
        <v>0</v>
      </c>
    </row>
    <row r="1203" spans="1:4" x14ac:dyDescent="0.3">
      <c r="A1203">
        <f t="shared" si="93"/>
        <v>0</v>
      </c>
      <c r="B1203">
        <f t="shared" si="91"/>
        <v>0</v>
      </c>
      <c r="C1203">
        <f t="shared" si="90"/>
        <v>0</v>
      </c>
      <c r="D1203">
        <f t="shared" si="92"/>
        <v>0</v>
      </c>
    </row>
    <row r="1204" spans="1:4" x14ac:dyDescent="0.3">
      <c r="A1204">
        <f t="shared" si="93"/>
        <v>0</v>
      </c>
      <c r="B1204">
        <f t="shared" si="91"/>
        <v>0</v>
      </c>
      <c r="C1204">
        <f t="shared" si="90"/>
        <v>0</v>
      </c>
      <c r="D1204">
        <f t="shared" si="92"/>
        <v>0</v>
      </c>
    </row>
    <row r="1205" spans="1:4" x14ac:dyDescent="0.3">
      <c r="A1205">
        <f t="shared" si="93"/>
        <v>0</v>
      </c>
      <c r="B1205">
        <f t="shared" si="91"/>
        <v>0</v>
      </c>
      <c r="C1205">
        <f t="shared" si="90"/>
        <v>0</v>
      </c>
      <c r="D1205">
        <f t="shared" si="92"/>
        <v>0</v>
      </c>
    </row>
    <row r="1206" spans="1:4" x14ac:dyDescent="0.3">
      <c r="A1206">
        <f t="shared" si="93"/>
        <v>0</v>
      </c>
      <c r="B1206">
        <f t="shared" si="91"/>
        <v>0</v>
      </c>
      <c r="C1206">
        <f t="shared" si="90"/>
        <v>0</v>
      </c>
      <c r="D1206">
        <f t="shared" si="92"/>
        <v>0</v>
      </c>
    </row>
    <row r="1207" spans="1:4" x14ac:dyDescent="0.3">
      <c r="A1207">
        <f t="shared" si="93"/>
        <v>0</v>
      </c>
      <c r="B1207">
        <f t="shared" si="91"/>
        <v>0</v>
      </c>
      <c r="C1207">
        <f t="shared" si="90"/>
        <v>0</v>
      </c>
      <c r="D1207">
        <f t="shared" si="92"/>
        <v>0</v>
      </c>
    </row>
    <row r="1208" spans="1:4" x14ac:dyDescent="0.3">
      <c r="A1208">
        <f t="shared" si="93"/>
        <v>0</v>
      </c>
      <c r="B1208">
        <f t="shared" si="91"/>
        <v>0</v>
      </c>
      <c r="C1208">
        <f t="shared" si="90"/>
        <v>0</v>
      </c>
      <c r="D1208">
        <f t="shared" si="92"/>
        <v>0</v>
      </c>
    </row>
    <row r="1209" spans="1:4" x14ac:dyDescent="0.3">
      <c r="A1209">
        <f t="shared" si="93"/>
        <v>0</v>
      </c>
      <c r="B1209">
        <f t="shared" si="91"/>
        <v>0</v>
      </c>
      <c r="C1209">
        <f t="shared" si="90"/>
        <v>0</v>
      </c>
      <c r="D1209">
        <f t="shared" si="92"/>
        <v>0</v>
      </c>
    </row>
    <row r="1210" spans="1:4" x14ac:dyDescent="0.3">
      <c r="A1210">
        <f t="shared" si="93"/>
        <v>0</v>
      </c>
      <c r="B1210">
        <f t="shared" si="91"/>
        <v>0</v>
      </c>
      <c r="C1210">
        <f t="shared" si="90"/>
        <v>0</v>
      </c>
      <c r="D1210">
        <f t="shared" si="92"/>
        <v>0</v>
      </c>
    </row>
    <row r="1211" spans="1:4" x14ac:dyDescent="0.3">
      <c r="A1211">
        <f t="shared" si="93"/>
        <v>0</v>
      </c>
      <c r="B1211">
        <f t="shared" si="91"/>
        <v>0</v>
      </c>
      <c r="C1211">
        <f t="shared" si="90"/>
        <v>0</v>
      </c>
      <c r="D1211">
        <f t="shared" si="92"/>
        <v>0</v>
      </c>
    </row>
    <row r="1212" spans="1:4" x14ac:dyDescent="0.3">
      <c r="A1212">
        <f t="shared" si="93"/>
        <v>0</v>
      </c>
      <c r="B1212">
        <f t="shared" si="91"/>
        <v>0</v>
      </c>
      <c r="C1212">
        <f t="shared" si="90"/>
        <v>0</v>
      </c>
      <c r="D1212">
        <f t="shared" si="92"/>
        <v>0</v>
      </c>
    </row>
    <row r="1213" spans="1:4" x14ac:dyDescent="0.3">
      <c r="A1213">
        <f t="shared" si="93"/>
        <v>0</v>
      </c>
      <c r="B1213">
        <f t="shared" si="91"/>
        <v>0</v>
      </c>
      <c r="C1213">
        <f t="shared" si="90"/>
        <v>0</v>
      </c>
      <c r="D1213">
        <f t="shared" si="92"/>
        <v>0</v>
      </c>
    </row>
    <row r="1214" spans="1:4" x14ac:dyDescent="0.3">
      <c r="A1214">
        <f t="shared" si="93"/>
        <v>0</v>
      </c>
      <c r="B1214">
        <f t="shared" si="91"/>
        <v>0</v>
      </c>
      <c r="C1214">
        <f t="shared" si="90"/>
        <v>0</v>
      </c>
      <c r="D1214">
        <f t="shared" si="92"/>
        <v>0</v>
      </c>
    </row>
    <row r="1215" spans="1:4" x14ac:dyDescent="0.3">
      <c r="A1215">
        <f t="shared" si="93"/>
        <v>0</v>
      </c>
      <c r="B1215">
        <f t="shared" si="91"/>
        <v>0</v>
      </c>
      <c r="C1215">
        <f t="shared" si="90"/>
        <v>0</v>
      </c>
      <c r="D1215">
        <f t="shared" si="92"/>
        <v>0</v>
      </c>
    </row>
    <row r="1216" spans="1:4" x14ac:dyDescent="0.3">
      <c r="A1216">
        <f t="shared" si="93"/>
        <v>0</v>
      </c>
      <c r="B1216">
        <f t="shared" si="91"/>
        <v>0</v>
      </c>
      <c r="C1216">
        <f t="shared" si="90"/>
        <v>0</v>
      </c>
      <c r="D1216">
        <f t="shared" si="92"/>
        <v>0</v>
      </c>
    </row>
    <row r="1217" spans="1:4" x14ac:dyDescent="0.3">
      <c r="A1217">
        <f t="shared" si="93"/>
        <v>0</v>
      </c>
      <c r="B1217">
        <f t="shared" si="91"/>
        <v>0</v>
      </c>
      <c r="C1217">
        <f t="shared" si="90"/>
        <v>0</v>
      </c>
      <c r="D1217">
        <f t="shared" si="92"/>
        <v>0</v>
      </c>
    </row>
    <row r="1218" spans="1:4" x14ac:dyDescent="0.3">
      <c r="A1218">
        <f t="shared" si="93"/>
        <v>0</v>
      </c>
      <c r="B1218">
        <f t="shared" si="91"/>
        <v>0</v>
      </c>
      <c r="C1218">
        <f t="shared" si="90"/>
        <v>0</v>
      </c>
      <c r="D1218">
        <f t="shared" si="92"/>
        <v>0</v>
      </c>
    </row>
    <row r="1219" spans="1:4" x14ac:dyDescent="0.3">
      <c r="A1219">
        <f t="shared" si="93"/>
        <v>0</v>
      </c>
      <c r="B1219">
        <f t="shared" si="91"/>
        <v>0</v>
      </c>
      <c r="C1219">
        <f t="shared" si="90"/>
        <v>0</v>
      </c>
      <c r="D1219">
        <f t="shared" si="92"/>
        <v>0</v>
      </c>
    </row>
    <row r="1220" spans="1:4" x14ac:dyDescent="0.3">
      <c r="A1220">
        <f t="shared" si="93"/>
        <v>0</v>
      </c>
      <c r="B1220">
        <f t="shared" si="91"/>
        <v>0</v>
      </c>
      <c r="C1220">
        <f t="shared" si="90"/>
        <v>0</v>
      </c>
      <c r="D1220">
        <f t="shared" si="92"/>
        <v>0</v>
      </c>
    </row>
    <row r="1221" spans="1:4" x14ac:dyDescent="0.3">
      <c r="A1221">
        <f t="shared" si="93"/>
        <v>0</v>
      </c>
      <c r="B1221">
        <f t="shared" si="91"/>
        <v>0</v>
      </c>
      <c r="C1221">
        <f t="shared" si="90"/>
        <v>0</v>
      </c>
      <c r="D1221">
        <f t="shared" si="92"/>
        <v>0</v>
      </c>
    </row>
    <row r="1222" spans="1:4" x14ac:dyDescent="0.3">
      <c r="A1222">
        <f t="shared" si="93"/>
        <v>0</v>
      </c>
      <c r="B1222">
        <f t="shared" si="91"/>
        <v>0</v>
      </c>
      <c r="C1222">
        <f t="shared" ref="C1222:C1285" si="94">((0*(1/3.6))*(3.6))*(1/3.6)</f>
        <v>0</v>
      </c>
      <c r="D1222">
        <f t="shared" si="92"/>
        <v>0</v>
      </c>
    </row>
    <row r="1223" spans="1:4" x14ac:dyDescent="0.3">
      <c r="A1223">
        <f t="shared" si="93"/>
        <v>0</v>
      </c>
      <c r="B1223">
        <f t="shared" ref="B1223:B1286" si="95">((0*(1/3.6))*(3.6))*(1/3.6)</f>
        <v>0</v>
      </c>
      <c r="C1223">
        <f t="shared" si="94"/>
        <v>0</v>
      </c>
      <c r="D1223">
        <f t="shared" si="92"/>
        <v>0</v>
      </c>
    </row>
    <row r="1224" spans="1:4" x14ac:dyDescent="0.3">
      <c r="A1224">
        <f t="shared" si="93"/>
        <v>0</v>
      </c>
      <c r="B1224">
        <f t="shared" si="95"/>
        <v>0</v>
      </c>
      <c r="C1224">
        <f t="shared" si="94"/>
        <v>0</v>
      </c>
      <c r="D1224">
        <f t="shared" si="92"/>
        <v>0</v>
      </c>
    </row>
    <row r="1225" spans="1:4" x14ac:dyDescent="0.3">
      <c r="A1225">
        <f t="shared" si="93"/>
        <v>0</v>
      </c>
      <c r="B1225">
        <f t="shared" si="95"/>
        <v>0</v>
      </c>
      <c r="C1225">
        <f t="shared" si="94"/>
        <v>0</v>
      </c>
      <c r="D1225">
        <f t="shared" si="92"/>
        <v>0</v>
      </c>
    </row>
    <row r="1226" spans="1:4" x14ac:dyDescent="0.3">
      <c r="A1226">
        <f t="shared" si="93"/>
        <v>0</v>
      </c>
      <c r="B1226">
        <f t="shared" si="95"/>
        <v>0</v>
      </c>
      <c r="C1226">
        <f t="shared" si="94"/>
        <v>0</v>
      </c>
      <c r="D1226">
        <f t="shared" si="92"/>
        <v>0</v>
      </c>
    </row>
    <row r="1227" spans="1:4" x14ac:dyDescent="0.3">
      <c r="A1227">
        <f t="shared" si="93"/>
        <v>0</v>
      </c>
      <c r="B1227">
        <f t="shared" si="95"/>
        <v>0</v>
      </c>
      <c r="C1227">
        <f t="shared" si="94"/>
        <v>0</v>
      </c>
      <c r="D1227">
        <f t="shared" si="92"/>
        <v>0</v>
      </c>
    </row>
    <row r="1228" spans="1:4" x14ac:dyDescent="0.3">
      <c r="A1228">
        <f t="shared" si="93"/>
        <v>0</v>
      </c>
      <c r="B1228">
        <f t="shared" si="95"/>
        <v>0</v>
      </c>
      <c r="C1228">
        <f t="shared" si="94"/>
        <v>0</v>
      </c>
      <c r="D1228">
        <f t="shared" si="92"/>
        <v>0</v>
      </c>
    </row>
    <row r="1229" spans="1:4" x14ac:dyDescent="0.3">
      <c r="A1229">
        <f t="shared" si="93"/>
        <v>0</v>
      </c>
      <c r="B1229">
        <f t="shared" si="95"/>
        <v>0</v>
      </c>
      <c r="C1229">
        <f t="shared" si="94"/>
        <v>0</v>
      </c>
      <c r="D1229">
        <f t="shared" si="92"/>
        <v>0</v>
      </c>
    </row>
    <row r="1230" spans="1:4" x14ac:dyDescent="0.3">
      <c r="A1230">
        <f t="shared" si="93"/>
        <v>0</v>
      </c>
      <c r="B1230">
        <f t="shared" si="95"/>
        <v>0</v>
      </c>
      <c r="C1230">
        <f t="shared" si="94"/>
        <v>0</v>
      </c>
      <c r="D1230">
        <f t="shared" si="92"/>
        <v>0</v>
      </c>
    </row>
    <row r="1231" spans="1:4" x14ac:dyDescent="0.3">
      <c r="A1231">
        <f t="shared" si="93"/>
        <v>0</v>
      </c>
      <c r="B1231">
        <f t="shared" si="95"/>
        <v>0</v>
      </c>
      <c r="C1231">
        <f t="shared" si="94"/>
        <v>0</v>
      </c>
      <c r="D1231">
        <f t="shared" si="92"/>
        <v>0</v>
      </c>
    </row>
    <row r="1232" spans="1:4" x14ac:dyDescent="0.3">
      <c r="A1232">
        <f t="shared" si="93"/>
        <v>0</v>
      </c>
      <c r="B1232">
        <f t="shared" si="95"/>
        <v>0</v>
      </c>
      <c r="C1232">
        <f t="shared" si="94"/>
        <v>0</v>
      </c>
      <c r="D1232">
        <f t="shared" si="92"/>
        <v>0</v>
      </c>
    </row>
    <row r="1233" spans="1:4" x14ac:dyDescent="0.3">
      <c r="A1233">
        <f t="shared" si="93"/>
        <v>0</v>
      </c>
      <c r="B1233">
        <f t="shared" si="95"/>
        <v>0</v>
      </c>
      <c r="C1233">
        <f t="shared" si="94"/>
        <v>0</v>
      </c>
      <c r="D1233">
        <f t="shared" si="92"/>
        <v>0</v>
      </c>
    </row>
    <row r="1234" spans="1:4" x14ac:dyDescent="0.3">
      <c r="A1234">
        <f t="shared" si="93"/>
        <v>0</v>
      </c>
      <c r="B1234">
        <f t="shared" si="95"/>
        <v>0</v>
      </c>
      <c r="C1234">
        <f t="shared" si="94"/>
        <v>0</v>
      </c>
      <c r="D1234">
        <f t="shared" si="92"/>
        <v>0</v>
      </c>
    </row>
    <row r="1235" spans="1:4" x14ac:dyDescent="0.3">
      <c r="A1235">
        <f t="shared" si="93"/>
        <v>0</v>
      </c>
      <c r="B1235">
        <f t="shared" si="95"/>
        <v>0</v>
      </c>
      <c r="C1235">
        <f t="shared" si="94"/>
        <v>0</v>
      </c>
      <c r="D1235">
        <f t="shared" ref="D1235:D1298" si="96">((0*(1/3.6))*(3.6))*(1/3.6)</f>
        <v>0</v>
      </c>
    </row>
    <row r="1236" spans="1:4" x14ac:dyDescent="0.3">
      <c r="A1236">
        <f t="shared" si="93"/>
        <v>0</v>
      </c>
      <c r="B1236">
        <f t="shared" si="95"/>
        <v>0</v>
      </c>
      <c r="C1236">
        <f t="shared" si="94"/>
        <v>0</v>
      </c>
      <c r="D1236">
        <f t="shared" si="96"/>
        <v>0</v>
      </c>
    </row>
    <row r="1237" spans="1:4" x14ac:dyDescent="0.3">
      <c r="A1237">
        <f t="shared" si="93"/>
        <v>0</v>
      </c>
      <c r="B1237">
        <f t="shared" si="95"/>
        <v>0</v>
      </c>
      <c r="C1237">
        <f t="shared" si="94"/>
        <v>0</v>
      </c>
      <c r="D1237">
        <f t="shared" si="96"/>
        <v>0</v>
      </c>
    </row>
    <row r="1238" spans="1:4" x14ac:dyDescent="0.3">
      <c r="A1238">
        <f t="shared" si="93"/>
        <v>0</v>
      </c>
      <c r="B1238">
        <f t="shared" si="95"/>
        <v>0</v>
      </c>
      <c r="C1238">
        <f t="shared" si="94"/>
        <v>0</v>
      </c>
      <c r="D1238">
        <f t="shared" si="96"/>
        <v>0</v>
      </c>
    </row>
    <row r="1239" spans="1:4" x14ac:dyDescent="0.3">
      <c r="A1239">
        <f t="shared" si="93"/>
        <v>0</v>
      </c>
      <c r="B1239">
        <f t="shared" si="95"/>
        <v>0</v>
      </c>
      <c r="C1239">
        <f t="shared" si="94"/>
        <v>0</v>
      </c>
      <c r="D1239">
        <f t="shared" si="96"/>
        <v>0</v>
      </c>
    </row>
    <row r="1240" spans="1:4" x14ac:dyDescent="0.3">
      <c r="A1240">
        <f t="shared" si="93"/>
        <v>0</v>
      </c>
      <c r="B1240">
        <f t="shared" si="95"/>
        <v>0</v>
      </c>
      <c r="C1240">
        <f t="shared" si="94"/>
        <v>0</v>
      </c>
      <c r="D1240">
        <f t="shared" si="96"/>
        <v>0</v>
      </c>
    </row>
    <row r="1241" spans="1:4" x14ac:dyDescent="0.3">
      <c r="A1241">
        <f t="shared" si="93"/>
        <v>0</v>
      </c>
      <c r="B1241">
        <f t="shared" si="95"/>
        <v>0</v>
      </c>
      <c r="C1241">
        <f t="shared" si="94"/>
        <v>0</v>
      </c>
      <c r="D1241">
        <f t="shared" si="96"/>
        <v>0</v>
      </c>
    </row>
    <row r="1242" spans="1:4" x14ac:dyDescent="0.3">
      <c r="A1242">
        <f t="shared" si="93"/>
        <v>0</v>
      </c>
      <c r="B1242">
        <f t="shared" si="95"/>
        <v>0</v>
      </c>
      <c r="C1242">
        <f t="shared" si="94"/>
        <v>0</v>
      </c>
      <c r="D1242">
        <f t="shared" si="96"/>
        <v>0</v>
      </c>
    </row>
    <row r="1243" spans="1:4" x14ac:dyDescent="0.3">
      <c r="A1243">
        <f t="shared" si="93"/>
        <v>0</v>
      </c>
      <c r="B1243">
        <f t="shared" si="95"/>
        <v>0</v>
      </c>
      <c r="C1243">
        <f t="shared" si="94"/>
        <v>0</v>
      </c>
      <c r="D1243">
        <f t="shared" si="96"/>
        <v>0</v>
      </c>
    </row>
    <row r="1244" spans="1:4" x14ac:dyDescent="0.3">
      <c r="A1244">
        <f t="shared" si="93"/>
        <v>0</v>
      </c>
      <c r="B1244">
        <f t="shared" si="95"/>
        <v>0</v>
      </c>
      <c r="C1244">
        <f t="shared" si="94"/>
        <v>0</v>
      </c>
      <c r="D1244">
        <f t="shared" si="96"/>
        <v>0</v>
      </c>
    </row>
    <row r="1245" spans="1:4" x14ac:dyDescent="0.3">
      <c r="A1245">
        <f t="shared" si="93"/>
        <v>0</v>
      </c>
      <c r="B1245">
        <f t="shared" si="95"/>
        <v>0</v>
      </c>
      <c r="C1245">
        <f t="shared" si="94"/>
        <v>0</v>
      </c>
      <c r="D1245">
        <f t="shared" si="96"/>
        <v>0</v>
      </c>
    </row>
    <row r="1246" spans="1:4" x14ac:dyDescent="0.3">
      <c r="A1246">
        <f t="shared" si="93"/>
        <v>0</v>
      </c>
      <c r="B1246">
        <f t="shared" si="95"/>
        <v>0</v>
      </c>
      <c r="C1246">
        <f t="shared" si="94"/>
        <v>0</v>
      </c>
      <c r="D1246">
        <f t="shared" si="96"/>
        <v>0</v>
      </c>
    </row>
    <row r="1247" spans="1:4" x14ac:dyDescent="0.3">
      <c r="A1247">
        <f t="shared" si="93"/>
        <v>0</v>
      </c>
      <c r="B1247">
        <f t="shared" si="95"/>
        <v>0</v>
      </c>
      <c r="C1247">
        <f t="shared" si="94"/>
        <v>0</v>
      </c>
      <c r="D1247">
        <f t="shared" si="96"/>
        <v>0</v>
      </c>
    </row>
    <row r="1248" spans="1:4" x14ac:dyDescent="0.3">
      <c r="A1248">
        <f t="shared" si="93"/>
        <v>0</v>
      </c>
      <c r="B1248">
        <f t="shared" si="95"/>
        <v>0</v>
      </c>
      <c r="C1248">
        <f t="shared" si="94"/>
        <v>0</v>
      </c>
      <c r="D1248">
        <f t="shared" si="96"/>
        <v>0</v>
      </c>
    </row>
    <row r="1249" spans="1:4" x14ac:dyDescent="0.3">
      <c r="A1249">
        <f t="shared" si="93"/>
        <v>0</v>
      </c>
      <c r="B1249">
        <f t="shared" si="95"/>
        <v>0</v>
      </c>
      <c r="C1249">
        <f t="shared" si="94"/>
        <v>0</v>
      </c>
      <c r="D1249">
        <f t="shared" si="96"/>
        <v>0</v>
      </c>
    </row>
    <row r="1250" spans="1:4" x14ac:dyDescent="0.3">
      <c r="A1250">
        <f t="shared" si="93"/>
        <v>0</v>
      </c>
      <c r="B1250">
        <f t="shared" si="95"/>
        <v>0</v>
      </c>
      <c r="C1250">
        <f t="shared" si="94"/>
        <v>0</v>
      </c>
      <c r="D1250">
        <f t="shared" si="96"/>
        <v>0</v>
      </c>
    </row>
    <row r="1251" spans="1:4" x14ac:dyDescent="0.3">
      <c r="A1251">
        <f t="shared" si="93"/>
        <v>0</v>
      </c>
      <c r="B1251">
        <f t="shared" si="95"/>
        <v>0</v>
      </c>
      <c r="C1251">
        <f t="shared" si="94"/>
        <v>0</v>
      </c>
      <c r="D1251">
        <f t="shared" si="96"/>
        <v>0</v>
      </c>
    </row>
    <row r="1252" spans="1:4" x14ac:dyDescent="0.3">
      <c r="A1252">
        <f t="shared" si="93"/>
        <v>0</v>
      </c>
      <c r="B1252">
        <f t="shared" si="95"/>
        <v>0</v>
      </c>
      <c r="C1252">
        <f t="shared" si="94"/>
        <v>0</v>
      </c>
      <c r="D1252">
        <f t="shared" si="96"/>
        <v>0</v>
      </c>
    </row>
    <row r="1253" spans="1:4" x14ac:dyDescent="0.3">
      <c r="A1253">
        <f t="shared" si="93"/>
        <v>0</v>
      </c>
      <c r="B1253">
        <f t="shared" si="95"/>
        <v>0</v>
      </c>
      <c r="C1253">
        <f t="shared" si="94"/>
        <v>0</v>
      </c>
      <c r="D1253">
        <f t="shared" si="96"/>
        <v>0</v>
      </c>
    </row>
    <row r="1254" spans="1:4" x14ac:dyDescent="0.3">
      <c r="A1254">
        <f t="shared" ref="A1254:A1317" si="97">((0*(1/3.6))*(3.6))*(1/3.6)</f>
        <v>0</v>
      </c>
      <c r="B1254">
        <f t="shared" si="95"/>
        <v>0</v>
      </c>
      <c r="C1254">
        <f t="shared" si="94"/>
        <v>0</v>
      </c>
      <c r="D1254">
        <f t="shared" si="96"/>
        <v>0</v>
      </c>
    </row>
    <row r="1255" spans="1:4" x14ac:dyDescent="0.3">
      <c r="A1255">
        <f t="shared" si="97"/>
        <v>0</v>
      </c>
      <c r="B1255">
        <f t="shared" si="95"/>
        <v>0</v>
      </c>
      <c r="C1255">
        <f t="shared" si="94"/>
        <v>0</v>
      </c>
      <c r="D1255">
        <f t="shared" si="96"/>
        <v>0</v>
      </c>
    </row>
    <row r="1256" spans="1:4" x14ac:dyDescent="0.3">
      <c r="A1256">
        <f t="shared" si="97"/>
        <v>0</v>
      </c>
      <c r="B1256">
        <f t="shared" si="95"/>
        <v>0</v>
      </c>
      <c r="C1256">
        <f t="shared" si="94"/>
        <v>0</v>
      </c>
      <c r="D1256">
        <f t="shared" si="96"/>
        <v>0</v>
      </c>
    </row>
    <row r="1257" spans="1:4" x14ac:dyDescent="0.3">
      <c r="A1257">
        <f t="shared" si="97"/>
        <v>0</v>
      </c>
      <c r="B1257">
        <f t="shared" si="95"/>
        <v>0</v>
      </c>
      <c r="C1257">
        <f t="shared" si="94"/>
        <v>0</v>
      </c>
      <c r="D1257">
        <f t="shared" si="96"/>
        <v>0</v>
      </c>
    </row>
    <row r="1258" spans="1:4" x14ac:dyDescent="0.3">
      <c r="A1258">
        <f t="shared" si="97"/>
        <v>0</v>
      </c>
      <c r="B1258">
        <f t="shared" si="95"/>
        <v>0</v>
      </c>
      <c r="C1258">
        <f t="shared" si="94"/>
        <v>0</v>
      </c>
      <c r="D1258">
        <f t="shared" si="96"/>
        <v>0</v>
      </c>
    </row>
    <row r="1259" spans="1:4" x14ac:dyDescent="0.3">
      <c r="A1259">
        <f t="shared" si="97"/>
        <v>0</v>
      </c>
      <c r="B1259">
        <f t="shared" si="95"/>
        <v>0</v>
      </c>
      <c r="C1259">
        <f t="shared" si="94"/>
        <v>0</v>
      </c>
      <c r="D1259">
        <f t="shared" si="96"/>
        <v>0</v>
      </c>
    </row>
    <row r="1260" spans="1:4" x14ac:dyDescent="0.3">
      <c r="A1260">
        <f t="shared" si="97"/>
        <v>0</v>
      </c>
      <c r="B1260">
        <f t="shared" si="95"/>
        <v>0</v>
      </c>
      <c r="C1260">
        <f t="shared" si="94"/>
        <v>0</v>
      </c>
      <c r="D1260">
        <f t="shared" si="96"/>
        <v>0</v>
      </c>
    </row>
    <row r="1261" spans="1:4" x14ac:dyDescent="0.3">
      <c r="A1261">
        <f t="shared" si="97"/>
        <v>0</v>
      </c>
      <c r="B1261">
        <f t="shared" si="95"/>
        <v>0</v>
      </c>
      <c r="C1261">
        <f t="shared" si="94"/>
        <v>0</v>
      </c>
      <c r="D1261">
        <f t="shared" si="96"/>
        <v>0</v>
      </c>
    </row>
    <row r="1262" spans="1:4" x14ac:dyDescent="0.3">
      <c r="A1262">
        <f t="shared" si="97"/>
        <v>0</v>
      </c>
      <c r="B1262">
        <f t="shared" si="95"/>
        <v>0</v>
      </c>
      <c r="C1262">
        <f t="shared" si="94"/>
        <v>0</v>
      </c>
      <c r="D1262">
        <f t="shared" si="96"/>
        <v>0</v>
      </c>
    </row>
    <row r="1263" spans="1:4" x14ac:dyDescent="0.3">
      <c r="A1263">
        <f t="shared" si="97"/>
        <v>0</v>
      </c>
      <c r="B1263">
        <f t="shared" si="95"/>
        <v>0</v>
      </c>
      <c r="C1263">
        <f t="shared" si="94"/>
        <v>0</v>
      </c>
      <c r="D1263">
        <f t="shared" si="96"/>
        <v>0</v>
      </c>
    </row>
    <row r="1264" spans="1:4" x14ac:dyDescent="0.3">
      <c r="A1264">
        <f t="shared" si="97"/>
        <v>0</v>
      </c>
      <c r="B1264">
        <f t="shared" si="95"/>
        <v>0</v>
      </c>
      <c r="C1264">
        <f t="shared" si="94"/>
        <v>0</v>
      </c>
      <c r="D1264">
        <f t="shared" si="96"/>
        <v>0</v>
      </c>
    </row>
    <row r="1265" spans="1:4" x14ac:dyDescent="0.3">
      <c r="A1265">
        <f t="shared" si="97"/>
        <v>0</v>
      </c>
      <c r="B1265">
        <f t="shared" si="95"/>
        <v>0</v>
      </c>
      <c r="C1265">
        <f t="shared" si="94"/>
        <v>0</v>
      </c>
      <c r="D1265">
        <f t="shared" si="96"/>
        <v>0</v>
      </c>
    </row>
    <row r="1266" spans="1:4" x14ac:dyDescent="0.3">
      <c r="A1266">
        <f t="shared" si="97"/>
        <v>0</v>
      </c>
      <c r="B1266">
        <f t="shared" si="95"/>
        <v>0</v>
      </c>
      <c r="C1266">
        <f t="shared" si="94"/>
        <v>0</v>
      </c>
      <c r="D1266">
        <f t="shared" si="96"/>
        <v>0</v>
      </c>
    </row>
    <row r="1267" spans="1:4" x14ac:dyDescent="0.3">
      <c r="A1267">
        <f t="shared" si="97"/>
        <v>0</v>
      </c>
      <c r="B1267">
        <f t="shared" si="95"/>
        <v>0</v>
      </c>
      <c r="C1267">
        <f t="shared" si="94"/>
        <v>0</v>
      </c>
      <c r="D1267">
        <f t="shared" si="96"/>
        <v>0</v>
      </c>
    </row>
    <row r="1268" spans="1:4" x14ac:dyDescent="0.3">
      <c r="A1268">
        <f t="shared" si="97"/>
        <v>0</v>
      </c>
      <c r="B1268">
        <f t="shared" si="95"/>
        <v>0</v>
      </c>
      <c r="C1268">
        <f t="shared" si="94"/>
        <v>0</v>
      </c>
      <c r="D1268">
        <f t="shared" si="96"/>
        <v>0</v>
      </c>
    </row>
    <row r="1269" spans="1:4" x14ac:dyDescent="0.3">
      <c r="A1269">
        <f t="shared" si="97"/>
        <v>0</v>
      </c>
      <c r="B1269">
        <f t="shared" si="95"/>
        <v>0</v>
      </c>
      <c r="C1269">
        <f t="shared" si="94"/>
        <v>0</v>
      </c>
      <c r="D1269">
        <f t="shared" si="96"/>
        <v>0</v>
      </c>
    </row>
    <row r="1270" spans="1:4" x14ac:dyDescent="0.3">
      <c r="A1270">
        <f t="shared" si="97"/>
        <v>0</v>
      </c>
      <c r="B1270">
        <f t="shared" si="95"/>
        <v>0</v>
      </c>
      <c r="C1270">
        <f t="shared" si="94"/>
        <v>0</v>
      </c>
      <c r="D1270">
        <f t="shared" si="96"/>
        <v>0</v>
      </c>
    </row>
    <row r="1271" spans="1:4" x14ac:dyDescent="0.3">
      <c r="A1271">
        <f t="shared" si="97"/>
        <v>0</v>
      </c>
      <c r="B1271">
        <f t="shared" si="95"/>
        <v>0</v>
      </c>
      <c r="C1271">
        <f t="shared" si="94"/>
        <v>0</v>
      </c>
      <c r="D1271">
        <f t="shared" si="96"/>
        <v>0</v>
      </c>
    </row>
    <row r="1272" spans="1:4" x14ac:dyDescent="0.3">
      <c r="A1272">
        <f t="shared" si="97"/>
        <v>0</v>
      </c>
      <c r="B1272">
        <f t="shared" si="95"/>
        <v>0</v>
      </c>
      <c r="C1272">
        <f t="shared" si="94"/>
        <v>0</v>
      </c>
      <c r="D1272">
        <f t="shared" si="96"/>
        <v>0</v>
      </c>
    </row>
    <row r="1273" spans="1:4" x14ac:dyDescent="0.3">
      <c r="A1273">
        <f t="shared" si="97"/>
        <v>0</v>
      </c>
      <c r="B1273">
        <f t="shared" si="95"/>
        <v>0</v>
      </c>
      <c r="C1273">
        <f t="shared" si="94"/>
        <v>0</v>
      </c>
      <c r="D1273">
        <f t="shared" si="96"/>
        <v>0</v>
      </c>
    </row>
    <row r="1274" spans="1:4" x14ac:dyDescent="0.3">
      <c r="A1274">
        <f t="shared" si="97"/>
        <v>0</v>
      </c>
      <c r="B1274">
        <f t="shared" si="95"/>
        <v>0</v>
      </c>
      <c r="C1274">
        <f t="shared" si="94"/>
        <v>0</v>
      </c>
      <c r="D1274">
        <f t="shared" si="96"/>
        <v>0</v>
      </c>
    </row>
    <row r="1275" spans="1:4" x14ac:dyDescent="0.3">
      <c r="A1275">
        <f t="shared" si="97"/>
        <v>0</v>
      </c>
      <c r="B1275">
        <f t="shared" si="95"/>
        <v>0</v>
      </c>
      <c r="C1275">
        <f t="shared" si="94"/>
        <v>0</v>
      </c>
      <c r="D1275">
        <f t="shared" si="96"/>
        <v>0</v>
      </c>
    </row>
    <row r="1276" spans="1:4" x14ac:dyDescent="0.3">
      <c r="A1276">
        <f t="shared" si="97"/>
        <v>0</v>
      </c>
      <c r="B1276">
        <f t="shared" si="95"/>
        <v>0</v>
      </c>
      <c r="C1276">
        <f t="shared" si="94"/>
        <v>0</v>
      </c>
      <c r="D1276">
        <f t="shared" si="96"/>
        <v>0</v>
      </c>
    </row>
    <row r="1277" spans="1:4" x14ac:dyDescent="0.3">
      <c r="A1277">
        <f t="shared" si="97"/>
        <v>0</v>
      </c>
      <c r="B1277">
        <f t="shared" si="95"/>
        <v>0</v>
      </c>
      <c r="C1277">
        <f t="shared" si="94"/>
        <v>0</v>
      </c>
      <c r="D1277">
        <f t="shared" si="96"/>
        <v>0</v>
      </c>
    </row>
    <row r="1278" spans="1:4" x14ac:dyDescent="0.3">
      <c r="A1278">
        <f t="shared" si="97"/>
        <v>0</v>
      </c>
      <c r="B1278">
        <f t="shared" si="95"/>
        <v>0</v>
      </c>
      <c r="C1278">
        <f t="shared" si="94"/>
        <v>0</v>
      </c>
      <c r="D1278">
        <f t="shared" si="96"/>
        <v>0</v>
      </c>
    </row>
    <row r="1279" spans="1:4" x14ac:dyDescent="0.3">
      <c r="A1279">
        <f t="shared" si="97"/>
        <v>0</v>
      </c>
      <c r="B1279">
        <f t="shared" si="95"/>
        <v>0</v>
      </c>
      <c r="C1279">
        <f t="shared" si="94"/>
        <v>0</v>
      </c>
      <c r="D1279">
        <f t="shared" si="96"/>
        <v>0</v>
      </c>
    </row>
    <row r="1280" spans="1:4" x14ac:dyDescent="0.3">
      <c r="A1280">
        <f t="shared" si="97"/>
        <v>0</v>
      </c>
      <c r="B1280">
        <f t="shared" si="95"/>
        <v>0</v>
      </c>
      <c r="C1280">
        <f t="shared" si="94"/>
        <v>0</v>
      </c>
      <c r="D1280">
        <f t="shared" si="96"/>
        <v>0</v>
      </c>
    </row>
    <row r="1281" spans="1:4" x14ac:dyDescent="0.3">
      <c r="A1281">
        <f t="shared" si="97"/>
        <v>0</v>
      </c>
      <c r="B1281">
        <f t="shared" si="95"/>
        <v>0</v>
      </c>
      <c r="C1281">
        <f t="shared" si="94"/>
        <v>0</v>
      </c>
      <c r="D1281">
        <f t="shared" si="96"/>
        <v>0</v>
      </c>
    </row>
    <row r="1282" spans="1:4" x14ac:dyDescent="0.3">
      <c r="A1282">
        <f t="shared" si="97"/>
        <v>0</v>
      </c>
      <c r="B1282">
        <f t="shared" si="95"/>
        <v>0</v>
      </c>
      <c r="C1282">
        <f t="shared" si="94"/>
        <v>0</v>
      </c>
      <c r="D1282">
        <f t="shared" si="96"/>
        <v>0</v>
      </c>
    </row>
    <row r="1283" spans="1:4" x14ac:dyDescent="0.3">
      <c r="A1283">
        <f t="shared" si="97"/>
        <v>0</v>
      </c>
      <c r="B1283">
        <f t="shared" si="95"/>
        <v>0</v>
      </c>
      <c r="C1283">
        <f t="shared" si="94"/>
        <v>0</v>
      </c>
      <c r="D1283">
        <f t="shared" si="96"/>
        <v>0</v>
      </c>
    </row>
    <row r="1284" spans="1:4" x14ac:dyDescent="0.3">
      <c r="A1284">
        <f t="shared" si="97"/>
        <v>0</v>
      </c>
      <c r="B1284">
        <f t="shared" si="95"/>
        <v>0</v>
      </c>
      <c r="C1284">
        <f t="shared" si="94"/>
        <v>0</v>
      </c>
      <c r="D1284">
        <f t="shared" si="96"/>
        <v>0</v>
      </c>
    </row>
    <row r="1285" spans="1:4" x14ac:dyDescent="0.3">
      <c r="A1285">
        <f t="shared" si="97"/>
        <v>0</v>
      </c>
      <c r="B1285">
        <f t="shared" si="95"/>
        <v>0</v>
      </c>
      <c r="C1285">
        <f t="shared" si="94"/>
        <v>0</v>
      </c>
      <c r="D1285">
        <f t="shared" si="96"/>
        <v>0</v>
      </c>
    </row>
    <row r="1286" spans="1:4" x14ac:dyDescent="0.3">
      <c r="A1286">
        <f t="shared" si="97"/>
        <v>0</v>
      </c>
      <c r="B1286">
        <f t="shared" si="95"/>
        <v>0</v>
      </c>
      <c r="C1286">
        <f t="shared" ref="C1286:C1349" si="98">((0*(1/3.6))*(3.6))*(1/3.6)</f>
        <v>0</v>
      </c>
      <c r="D1286">
        <f t="shared" si="96"/>
        <v>0</v>
      </c>
    </row>
    <row r="1287" spans="1:4" x14ac:dyDescent="0.3">
      <c r="A1287">
        <f t="shared" si="97"/>
        <v>0</v>
      </c>
      <c r="B1287">
        <f t="shared" ref="B1287:B1328" si="99">((0*(1/3.6))*(3.6))*(1/3.6)</f>
        <v>0</v>
      </c>
      <c r="C1287">
        <f t="shared" si="98"/>
        <v>0</v>
      </c>
      <c r="D1287">
        <f t="shared" si="96"/>
        <v>0</v>
      </c>
    </row>
    <row r="1288" spans="1:4" x14ac:dyDescent="0.3">
      <c r="A1288">
        <f t="shared" si="97"/>
        <v>0</v>
      </c>
      <c r="B1288">
        <f t="shared" si="99"/>
        <v>0</v>
      </c>
      <c r="C1288">
        <f t="shared" si="98"/>
        <v>0</v>
      </c>
      <c r="D1288">
        <f t="shared" si="96"/>
        <v>0</v>
      </c>
    </row>
    <row r="1289" spans="1:4" x14ac:dyDescent="0.3">
      <c r="A1289">
        <f t="shared" si="97"/>
        <v>0</v>
      </c>
      <c r="B1289">
        <f t="shared" si="99"/>
        <v>0</v>
      </c>
      <c r="C1289">
        <f t="shared" si="98"/>
        <v>0</v>
      </c>
      <c r="D1289">
        <f t="shared" si="96"/>
        <v>0</v>
      </c>
    </row>
    <row r="1290" spans="1:4" x14ac:dyDescent="0.3">
      <c r="A1290">
        <f t="shared" si="97"/>
        <v>0</v>
      </c>
      <c r="B1290">
        <f t="shared" si="99"/>
        <v>0</v>
      </c>
      <c r="C1290">
        <f t="shared" si="98"/>
        <v>0</v>
      </c>
      <c r="D1290">
        <f t="shared" si="96"/>
        <v>0</v>
      </c>
    </row>
    <row r="1291" spans="1:4" x14ac:dyDescent="0.3">
      <c r="A1291">
        <f t="shared" si="97"/>
        <v>0</v>
      </c>
      <c r="B1291">
        <f t="shared" si="99"/>
        <v>0</v>
      </c>
      <c r="C1291">
        <f t="shared" si="98"/>
        <v>0</v>
      </c>
      <c r="D1291">
        <f t="shared" si="96"/>
        <v>0</v>
      </c>
    </row>
    <row r="1292" spans="1:4" x14ac:dyDescent="0.3">
      <c r="A1292">
        <f t="shared" si="97"/>
        <v>0</v>
      </c>
      <c r="B1292">
        <f t="shared" si="99"/>
        <v>0</v>
      </c>
      <c r="C1292">
        <f t="shared" si="98"/>
        <v>0</v>
      </c>
      <c r="D1292">
        <f t="shared" si="96"/>
        <v>0</v>
      </c>
    </row>
    <row r="1293" spans="1:4" x14ac:dyDescent="0.3">
      <c r="A1293">
        <f t="shared" si="97"/>
        <v>0</v>
      </c>
      <c r="B1293">
        <f t="shared" si="99"/>
        <v>0</v>
      </c>
      <c r="C1293">
        <f t="shared" si="98"/>
        <v>0</v>
      </c>
      <c r="D1293">
        <f t="shared" si="96"/>
        <v>0</v>
      </c>
    </row>
    <row r="1294" spans="1:4" x14ac:dyDescent="0.3">
      <c r="A1294">
        <f t="shared" si="97"/>
        <v>0</v>
      </c>
      <c r="B1294">
        <f t="shared" si="99"/>
        <v>0</v>
      </c>
      <c r="C1294">
        <f t="shared" si="98"/>
        <v>0</v>
      </c>
      <c r="D1294">
        <f t="shared" si="96"/>
        <v>0</v>
      </c>
    </row>
    <row r="1295" spans="1:4" x14ac:dyDescent="0.3">
      <c r="A1295">
        <f t="shared" si="97"/>
        <v>0</v>
      </c>
      <c r="B1295">
        <f t="shared" si="99"/>
        <v>0</v>
      </c>
      <c r="C1295">
        <f t="shared" si="98"/>
        <v>0</v>
      </c>
      <c r="D1295">
        <f t="shared" si="96"/>
        <v>0</v>
      </c>
    </row>
    <row r="1296" spans="1:4" x14ac:dyDescent="0.3">
      <c r="A1296">
        <f t="shared" si="97"/>
        <v>0</v>
      </c>
      <c r="B1296">
        <f t="shared" si="99"/>
        <v>0</v>
      </c>
      <c r="C1296">
        <f t="shared" si="98"/>
        <v>0</v>
      </c>
      <c r="D1296">
        <f t="shared" si="96"/>
        <v>0</v>
      </c>
    </row>
    <row r="1297" spans="1:4" x14ac:dyDescent="0.3">
      <c r="A1297">
        <f t="shared" si="97"/>
        <v>0</v>
      </c>
      <c r="B1297">
        <f t="shared" si="99"/>
        <v>0</v>
      </c>
      <c r="C1297">
        <f t="shared" si="98"/>
        <v>0</v>
      </c>
      <c r="D1297">
        <f t="shared" si="96"/>
        <v>0</v>
      </c>
    </row>
    <row r="1298" spans="1:4" x14ac:dyDescent="0.3">
      <c r="A1298">
        <f t="shared" si="97"/>
        <v>0</v>
      </c>
      <c r="B1298">
        <f t="shared" si="99"/>
        <v>0</v>
      </c>
      <c r="C1298">
        <f t="shared" si="98"/>
        <v>0</v>
      </c>
      <c r="D1298">
        <f t="shared" si="96"/>
        <v>0</v>
      </c>
    </row>
    <row r="1299" spans="1:4" x14ac:dyDescent="0.3">
      <c r="A1299">
        <f t="shared" si="97"/>
        <v>0</v>
      </c>
      <c r="B1299">
        <f t="shared" si="99"/>
        <v>0</v>
      </c>
      <c r="C1299">
        <f t="shared" si="98"/>
        <v>0</v>
      </c>
      <c r="D1299">
        <f t="shared" ref="D1299:D1362" si="100">((0*(1/3.6))*(3.6))*(1/3.6)</f>
        <v>0</v>
      </c>
    </row>
    <row r="1300" spans="1:4" x14ac:dyDescent="0.3">
      <c r="A1300">
        <f t="shared" si="97"/>
        <v>0</v>
      </c>
      <c r="B1300">
        <f t="shared" si="99"/>
        <v>0</v>
      </c>
      <c r="C1300">
        <f t="shared" si="98"/>
        <v>0</v>
      </c>
      <c r="D1300">
        <f t="shared" si="100"/>
        <v>0</v>
      </c>
    </row>
    <row r="1301" spans="1:4" x14ac:dyDescent="0.3">
      <c r="A1301">
        <f t="shared" si="97"/>
        <v>0</v>
      </c>
      <c r="B1301">
        <f t="shared" si="99"/>
        <v>0</v>
      </c>
      <c r="C1301">
        <f t="shared" si="98"/>
        <v>0</v>
      </c>
      <c r="D1301">
        <f t="shared" si="100"/>
        <v>0</v>
      </c>
    </row>
    <row r="1302" spans="1:4" x14ac:dyDescent="0.3">
      <c r="A1302">
        <f t="shared" si="97"/>
        <v>0</v>
      </c>
      <c r="B1302">
        <f t="shared" si="99"/>
        <v>0</v>
      </c>
      <c r="C1302">
        <f t="shared" si="98"/>
        <v>0</v>
      </c>
      <c r="D1302">
        <f t="shared" si="100"/>
        <v>0</v>
      </c>
    </row>
    <row r="1303" spans="1:4" x14ac:dyDescent="0.3">
      <c r="A1303">
        <f t="shared" si="97"/>
        <v>0</v>
      </c>
      <c r="B1303">
        <f t="shared" si="99"/>
        <v>0</v>
      </c>
      <c r="C1303">
        <f t="shared" si="98"/>
        <v>0</v>
      </c>
      <c r="D1303">
        <f t="shared" si="100"/>
        <v>0</v>
      </c>
    </row>
    <row r="1304" spans="1:4" x14ac:dyDescent="0.3">
      <c r="A1304">
        <f t="shared" si="97"/>
        <v>0</v>
      </c>
      <c r="B1304">
        <f t="shared" si="99"/>
        <v>0</v>
      </c>
      <c r="C1304">
        <f t="shared" si="98"/>
        <v>0</v>
      </c>
      <c r="D1304">
        <f t="shared" si="100"/>
        <v>0</v>
      </c>
    </row>
    <row r="1305" spans="1:4" x14ac:dyDescent="0.3">
      <c r="A1305">
        <f t="shared" si="97"/>
        <v>0</v>
      </c>
      <c r="B1305">
        <f t="shared" si="99"/>
        <v>0</v>
      </c>
      <c r="C1305">
        <f t="shared" si="98"/>
        <v>0</v>
      </c>
      <c r="D1305">
        <f t="shared" si="100"/>
        <v>0</v>
      </c>
    </row>
    <row r="1306" spans="1:4" x14ac:dyDescent="0.3">
      <c r="A1306">
        <f t="shared" si="97"/>
        <v>0</v>
      </c>
      <c r="B1306">
        <f t="shared" si="99"/>
        <v>0</v>
      </c>
      <c r="C1306">
        <f t="shared" si="98"/>
        <v>0</v>
      </c>
      <c r="D1306">
        <f t="shared" si="100"/>
        <v>0</v>
      </c>
    </row>
    <row r="1307" spans="1:4" x14ac:dyDescent="0.3">
      <c r="A1307">
        <f t="shared" si="97"/>
        <v>0</v>
      </c>
      <c r="B1307">
        <f t="shared" si="99"/>
        <v>0</v>
      </c>
      <c r="C1307">
        <f t="shared" si="98"/>
        <v>0</v>
      </c>
      <c r="D1307">
        <f t="shared" si="100"/>
        <v>0</v>
      </c>
    </row>
    <row r="1308" spans="1:4" x14ac:dyDescent="0.3">
      <c r="A1308">
        <f t="shared" si="97"/>
        <v>0</v>
      </c>
      <c r="B1308">
        <f t="shared" si="99"/>
        <v>0</v>
      </c>
      <c r="C1308">
        <f t="shared" si="98"/>
        <v>0</v>
      </c>
      <c r="D1308">
        <f t="shared" si="100"/>
        <v>0</v>
      </c>
    </row>
    <row r="1309" spans="1:4" x14ac:dyDescent="0.3">
      <c r="A1309">
        <f t="shared" si="97"/>
        <v>0</v>
      </c>
      <c r="B1309">
        <f t="shared" si="99"/>
        <v>0</v>
      </c>
      <c r="C1309">
        <f t="shared" si="98"/>
        <v>0</v>
      </c>
      <c r="D1309">
        <f t="shared" si="100"/>
        <v>0</v>
      </c>
    </row>
    <row r="1310" spans="1:4" x14ac:dyDescent="0.3">
      <c r="A1310">
        <f t="shared" si="97"/>
        <v>0</v>
      </c>
      <c r="B1310">
        <f t="shared" si="99"/>
        <v>0</v>
      </c>
      <c r="C1310">
        <f t="shared" si="98"/>
        <v>0</v>
      </c>
      <c r="D1310">
        <f t="shared" si="100"/>
        <v>0</v>
      </c>
    </row>
    <row r="1311" spans="1:4" x14ac:dyDescent="0.3">
      <c r="A1311">
        <f t="shared" si="97"/>
        <v>0</v>
      </c>
      <c r="B1311">
        <f t="shared" si="99"/>
        <v>0</v>
      </c>
      <c r="C1311">
        <f t="shared" si="98"/>
        <v>0</v>
      </c>
      <c r="D1311">
        <f t="shared" si="100"/>
        <v>0</v>
      </c>
    </row>
    <row r="1312" spans="1:4" x14ac:dyDescent="0.3">
      <c r="A1312">
        <f t="shared" si="97"/>
        <v>0</v>
      </c>
      <c r="B1312">
        <f t="shared" si="99"/>
        <v>0</v>
      </c>
      <c r="C1312">
        <f t="shared" si="98"/>
        <v>0</v>
      </c>
      <c r="D1312">
        <f t="shared" si="100"/>
        <v>0</v>
      </c>
    </row>
    <row r="1313" spans="1:4" x14ac:dyDescent="0.3">
      <c r="A1313">
        <f t="shared" si="97"/>
        <v>0</v>
      </c>
      <c r="B1313">
        <f t="shared" si="99"/>
        <v>0</v>
      </c>
      <c r="C1313">
        <f t="shared" si="98"/>
        <v>0</v>
      </c>
      <c r="D1313">
        <f t="shared" si="100"/>
        <v>0</v>
      </c>
    </row>
    <row r="1314" spans="1:4" x14ac:dyDescent="0.3">
      <c r="A1314">
        <f t="shared" si="97"/>
        <v>0</v>
      </c>
      <c r="B1314">
        <f t="shared" si="99"/>
        <v>0</v>
      </c>
      <c r="C1314">
        <f t="shared" si="98"/>
        <v>0</v>
      </c>
      <c r="D1314">
        <f t="shared" si="100"/>
        <v>0</v>
      </c>
    </row>
    <row r="1315" spans="1:4" x14ac:dyDescent="0.3">
      <c r="A1315">
        <f t="shared" si="97"/>
        <v>0</v>
      </c>
      <c r="B1315">
        <f t="shared" si="99"/>
        <v>0</v>
      </c>
      <c r="C1315">
        <f t="shared" si="98"/>
        <v>0</v>
      </c>
      <c r="D1315">
        <f t="shared" si="100"/>
        <v>0</v>
      </c>
    </row>
    <row r="1316" spans="1:4" x14ac:dyDescent="0.3">
      <c r="A1316">
        <f t="shared" si="97"/>
        <v>0</v>
      </c>
      <c r="B1316">
        <f t="shared" si="99"/>
        <v>0</v>
      </c>
      <c r="C1316">
        <f t="shared" si="98"/>
        <v>0</v>
      </c>
      <c r="D1316">
        <f t="shared" si="100"/>
        <v>0</v>
      </c>
    </row>
    <row r="1317" spans="1:4" x14ac:dyDescent="0.3">
      <c r="A1317">
        <f t="shared" si="97"/>
        <v>0</v>
      </c>
      <c r="B1317">
        <f t="shared" si="99"/>
        <v>0</v>
      </c>
      <c r="C1317">
        <f t="shared" si="98"/>
        <v>0</v>
      </c>
      <c r="D1317">
        <f t="shared" si="100"/>
        <v>0</v>
      </c>
    </row>
    <row r="1318" spans="1:4" x14ac:dyDescent="0.3">
      <c r="A1318">
        <f t="shared" ref="A1318:A1328" si="101">((0*(1/3.6))*(3.6))*(1/3.6)</f>
        <v>0</v>
      </c>
      <c r="B1318">
        <f t="shared" si="99"/>
        <v>0</v>
      </c>
      <c r="C1318">
        <f t="shared" si="98"/>
        <v>0</v>
      </c>
      <c r="D1318">
        <f t="shared" si="100"/>
        <v>0</v>
      </c>
    </row>
    <row r="1319" spans="1:4" x14ac:dyDescent="0.3">
      <c r="A1319">
        <f t="shared" si="101"/>
        <v>0</v>
      </c>
      <c r="B1319">
        <f t="shared" si="99"/>
        <v>0</v>
      </c>
      <c r="C1319">
        <f t="shared" si="98"/>
        <v>0</v>
      </c>
      <c r="D1319">
        <f t="shared" si="100"/>
        <v>0</v>
      </c>
    </row>
    <row r="1320" spans="1:4" x14ac:dyDescent="0.3">
      <c r="A1320">
        <f t="shared" si="101"/>
        <v>0</v>
      </c>
      <c r="B1320">
        <f t="shared" si="99"/>
        <v>0</v>
      </c>
      <c r="C1320">
        <f t="shared" si="98"/>
        <v>0</v>
      </c>
      <c r="D1320">
        <f t="shared" si="100"/>
        <v>0</v>
      </c>
    </row>
    <row r="1321" spans="1:4" x14ac:dyDescent="0.3">
      <c r="A1321">
        <f t="shared" si="101"/>
        <v>0</v>
      </c>
      <c r="B1321">
        <f t="shared" si="99"/>
        <v>0</v>
      </c>
      <c r="C1321">
        <f t="shared" si="98"/>
        <v>0</v>
      </c>
      <c r="D1321">
        <f t="shared" si="100"/>
        <v>0</v>
      </c>
    </row>
    <row r="1322" spans="1:4" x14ac:dyDescent="0.3">
      <c r="A1322">
        <f t="shared" si="101"/>
        <v>0</v>
      </c>
      <c r="B1322">
        <f t="shared" si="99"/>
        <v>0</v>
      </c>
      <c r="C1322">
        <f t="shared" si="98"/>
        <v>0</v>
      </c>
      <c r="D1322">
        <f t="shared" si="100"/>
        <v>0</v>
      </c>
    </row>
    <row r="1323" spans="1:4" x14ac:dyDescent="0.3">
      <c r="A1323">
        <f t="shared" si="101"/>
        <v>0</v>
      </c>
      <c r="B1323">
        <f t="shared" si="99"/>
        <v>0</v>
      </c>
      <c r="C1323">
        <f t="shared" si="98"/>
        <v>0</v>
      </c>
      <c r="D1323">
        <f t="shared" si="100"/>
        <v>0</v>
      </c>
    </row>
    <row r="1324" spans="1:4" x14ac:dyDescent="0.3">
      <c r="A1324">
        <f t="shared" si="101"/>
        <v>0</v>
      </c>
      <c r="B1324">
        <f t="shared" si="99"/>
        <v>0</v>
      </c>
      <c r="C1324">
        <f t="shared" si="98"/>
        <v>0</v>
      </c>
      <c r="D1324">
        <f t="shared" si="100"/>
        <v>0</v>
      </c>
    </row>
    <row r="1325" spans="1:4" x14ac:dyDescent="0.3">
      <c r="A1325">
        <f t="shared" si="101"/>
        <v>0</v>
      </c>
      <c r="B1325">
        <f t="shared" si="99"/>
        <v>0</v>
      </c>
      <c r="C1325">
        <f t="shared" si="98"/>
        <v>0</v>
      </c>
      <c r="D1325">
        <f t="shared" si="100"/>
        <v>0</v>
      </c>
    </row>
    <row r="1326" spans="1:4" x14ac:dyDescent="0.3">
      <c r="A1326">
        <f t="shared" si="101"/>
        <v>0</v>
      </c>
      <c r="B1326">
        <f t="shared" si="99"/>
        <v>0</v>
      </c>
      <c r="C1326">
        <f t="shared" si="98"/>
        <v>0</v>
      </c>
      <c r="D1326">
        <f t="shared" si="100"/>
        <v>0</v>
      </c>
    </row>
    <row r="1327" spans="1:4" x14ac:dyDescent="0.3">
      <c r="A1327">
        <f t="shared" si="101"/>
        <v>0</v>
      </c>
      <c r="B1327">
        <f t="shared" si="99"/>
        <v>0</v>
      </c>
      <c r="C1327">
        <f t="shared" si="98"/>
        <v>0</v>
      </c>
      <c r="D1327">
        <f t="shared" si="100"/>
        <v>0</v>
      </c>
    </row>
    <row r="1328" spans="1:4" x14ac:dyDescent="0.3">
      <c r="A1328">
        <f t="shared" si="101"/>
        <v>0</v>
      </c>
      <c r="B1328">
        <f t="shared" si="99"/>
        <v>0</v>
      </c>
      <c r="C1328">
        <f t="shared" si="98"/>
        <v>0</v>
      </c>
      <c r="D1328">
        <f t="shared" si="100"/>
        <v>0</v>
      </c>
    </row>
    <row r="1329" spans="1:4" x14ac:dyDescent="0.3">
      <c r="A1329">
        <f>((171.6*(1/3.6))*(3.6))*(1/3.6)</f>
        <v>47.666666666666664</v>
      </c>
      <c r="B1329">
        <f>305.4*(1/3.6)</f>
        <v>84.833333333333329</v>
      </c>
      <c r="C1329">
        <f t="shared" si="98"/>
        <v>0</v>
      </c>
      <c r="D1329">
        <f t="shared" si="100"/>
        <v>0</v>
      </c>
    </row>
    <row r="1330" spans="1:4" x14ac:dyDescent="0.3">
      <c r="A1330">
        <f t="shared" ref="A1330:B1349" si="102">((0*(1/3.6))*(3.6))*(1/3.6)</f>
        <v>0</v>
      </c>
      <c r="B1330">
        <f t="shared" si="102"/>
        <v>0</v>
      </c>
      <c r="C1330">
        <f t="shared" si="98"/>
        <v>0</v>
      </c>
      <c r="D1330">
        <f t="shared" si="100"/>
        <v>0</v>
      </c>
    </row>
    <row r="1331" spans="1:4" x14ac:dyDescent="0.3">
      <c r="A1331">
        <f t="shared" si="102"/>
        <v>0</v>
      </c>
      <c r="B1331">
        <f t="shared" si="102"/>
        <v>0</v>
      </c>
      <c r="C1331">
        <f t="shared" si="98"/>
        <v>0</v>
      </c>
      <c r="D1331">
        <f t="shared" si="100"/>
        <v>0</v>
      </c>
    </row>
    <row r="1332" spans="1:4" x14ac:dyDescent="0.3">
      <c r="A1332">
        <f t="shared" si="102"/>
        <v>0</v>
      </c>
      <c r="B1332">
        <f t="shared" si="102"/>
        <v>0</v>
      </c>
      <c r="C1332">
        <f t="shared" si="98"/>
        <v>0</v>
      </c>
      <c r="D1332">
        <f t="shared" si="100"/>
        <v>0</v>
      </c>
    </row>
    <row r="1333" spans="1:4" x14ac:dyDescent="0.3">
      <c r="A1333">
        <f t="shared" si="102"/>
        <v>0</v>
      </c>
      <c r="B1333">
        <f t="shared" si="102"/>
        <v>0</v>
      </c>
      <c r="C1333">
        <f t="shared" si="98"/>
        <v>0</v>
      </c>
      <c r="D1333">
        <f t="shared" si="100"/>
        <v>0</v>
      </c>
    </row>
    <row r="1334" spans="1:4" x14ac:dyDescent="0.3">
      <c r="A1334">
        <f t="shared" si="102"/>
        <v>0</v>
      </c>
      <c r="B1334">
        <f t="shared" si="102"/>
        <v>0</v>
      </c>
      <c r="C1334">
        <f t="shared" si="98"/>
        <v>0</v>
      </c>
      <c r="D1334">
        <f t="shared" si="100"/>
        <v>0</v>
      </c>
    </row>
    <row r="1335" spans="1:4" x14ac:dyDescent="0.3">
      <c r="A1335">
        <f t="shared" si="102"/>
        <v>0</v>
      </c>
      <c r="B1335">
        <f t="shared" si="102"/>
        <v>0</v>
      </c>
      <c r="C1335">
        <f t="shared" si="98"/>
        <v>0</v>
      </c>
      <c r="D1335">
        <f t="shared" si="100"/>
        <v>0</v>
      </c>
    </row>
    <row r="1336" spans="1:4" x14ac:dyDescent="0.3">
      <c r="A1336">
        <f t="shared" si="102"/>
        <v>0</v>
      </c>
      <c r="B1336">
        <f t="shared" si="102"/>
        <v>0</v>
      </c>
      <c r="C1336">
        <f t="shared" si="98"/>
        <v>0</v>
      </c>
      <c r="D1336">
        <f t="shared" si="100"/>
        <v>0</v>
      </c>
    </row>
    <row r="1337" spans="1:4" x14ac:dyDescent="0.3">
      <c r="A1337">
        <f t="shared" si="102"/>
        <v>0</v>
      </c>
      <c r="B1337">
        <f t="shared" si="102"/>
        <v>0</v>
      </c>
      <c r="C1337">
        <f t="shared" si="98"/>
        <v>0</v>
      </c>
      <c r="D1337">
        <f t="shared" si="100"/>
        <v>0</v>
      </c>
    </row>
    <row r="1338" spans="1:4" x14ac:dyDescent="0.3">
      <c r="A1338">
        <f t="shared" si="102"/>
        <v>0</v>
      </c>
      <c r="B1338">
        <f t="shared" si="102"/>
        <v>0</v>
      </c>
      <c r="C1338">
        <f t="shared" si="98"/>
        <v>0</v>
      </c>
      <c r="D1338">
        <f t="shared" si="100"/>
        <v>0</v>
      </c>
    </row>
    <row r="1339" spans="1:4" x14ac:dyDescent="0.3">
      <c r="A1339">
        <f t="shared" si="102"/>
        <v>0</v>
      </c>
      <c r="B1339">
        <f t="shared" si="102"/>
        <v>0</v>
      </c>
      <c r="C1339">
        <f t="shared" si="98"/>
        <v>0</v>
      </c>
      <c r="D1339">
        <f t="shared" si="100"/>
        <v>0</v>
      </c>
    </row>
    <row r="1340" spans="1:4" x14ac:dyDescent="0.3">
      <c r="A1340">
        <f t="shared" si="102"/>
        <v>0</v>
      </c>
      <c r="B1340">
        <f t="shared" si="102"/>
        <v>0</v>
      </c>
      <c r="C1340">
        <f t="shared" si="98"/>
        <v>0</v>
      </c>
      <c r="D1340">
        <f t="shared" si="100"/>
        <v>0</v>
      </c>
    </row>
    <row r="1341" spans="1:4" x14ac:dyDescent="0.3">
      <c r="A1341">
        <f t="shared" si="102"/>
        <v>0</v>
      </c>
      <c r="B1341">
        <f t="shared" si="102"/>
        <v>0</v>
      </c>
      <c r="C1341">
        <f t="shared" si="98"/>
        <v>0</v>
      </c>
      <c r="D1341">
        <f t="shared" si="100"/>
        <v>0</v>
      </c>
    </row>
    <row r="1342" spans="1:4" x14ac:dyDescent="0.3">
      <c r="A1342">
        <f t="shared" si="102"/>
        <v>0</v>
      </c>
      <c r="B1342">
        <f t="shared" si="102"/>
        <v>0</v>
      </c>
      <c r="C1342">
        <f t="shared" si="98"/>
        <v>0</v>
      </c>
      <c r="D1342">
        <f t="shared" si="100"/>
        <v>0</v>
      </c>
    </row>
    <row r="1343" spans="1:4" x14ac:dyDescent="0.3">
      <c r="A1343">
        <f t="shared" si="102"/>
        <v>0</v>
      </c>
      <c r="B1343">
        <f t="shared" si="102"/>
        <v>0</v>
      </c>
      <c r="C1343">
        <f t="shared" si="98"/>
        <v>0</v>
      </c>
      <c r="D1343">
        <f t="shared" si="100"/>
        <v>0</v>
      </c>
    </row>
    <row r="1344" spans="1:4" x14ac:dyDescent="0.3">
      <c r="A1344">
        <f t="shared" si="102"/>
        <v>0</v>
      </c>
      <c r="B1344">
        <f t="shared" si="102"/>
        <v>0</v>
      </c>
      <c r="C1344">
        <f t="shared" si="98"/>
        <v>0</v>
      </c>
      <c r="D1344">
        <f t="shared" si="100"/>
        <v>0</v>
      </c>
    </row>
    <row r="1345" spans="1:4" x14ac:dyDescent="0.3">
      <c r="A1345">
        <f t="shared" si="102"/>
        <v>0</v>
      </c>
      <c r="B1345">
        <f t="shared" si="102"/>
        <v>0</v>
      </c>
      <c r="C1345">
        <f t="shared" si="98"/>
        <v>0</v>
      </c>
      <c r="D1345">
        <f t="shared" si="100"/>
        <v>0</v>
      </c>
    </row>
    <row r="1346" spans="1:4" x14ac:dyDescent="0.3">
      <c r="A1346">
        <f t="shared" si="102"/>
        <v>0</v>
      </c>
      <c r="B1346">
        <f t="shared" si="102"/>
        <v>0</v>
      </c>
      <c r="C1346">
        <f t="shared" si="98"/>
        <v>0</v>
      </c>
      <c r="D1346">
        <f t="shared" si="100"/>
        <v>0</v>
      </c>
    </row>
    <row r="1347" spans="1:4" x14ac:dyDescent="0.3">
      <c r="A1347">
        <f t="shared" si="102"/>
        <v>0</v>
      </c>
      <c r="B1347">
        <f t="shared" si="102"/>
        <v>0</v>
      </c>
      <c r="C1347">
        <f t="shared" si="98"/>
        <v>0</v>
      </c>
      <c r="D1347">
        <f t="shared" si="100"/>
        <v>0</v>
      </c>
    </row>
    <row r="1348" spans="1:4" x14ac:dyDescent="0.3">
      <c r="A1348">
        <f t="shared" si="102"/>
        <v>0</v>
      </c>
      <c r="B1348">
        <f t="shared" si="102"/>
        <v>0</v>
      </c>
      <c r="C1348">
        <f t="shared" si="98"/>
        <v>0</v>
      </c>
      <c r="D1348">
        <f t="shared" si="100"/>
        <v>0</v>
      </c>
    </row>
    <row r="1349" spans="1:4" x14ac:dyDescent="0.3">
      <c r="A1349">
        <f t="shared" si="102"/>
        <v>0</v>
      </c>
      <c r="B1349">
        <f t="shared" si="102"/>
        <v>0</v>
      </c>
      <c r="C1349">
        <f t="shared" si="98"/>
        <v>0</v>
      </c>
      <c r="D1349">
        <f t="shared" si="100"/>
        <v>0</v>
      </c>
    </row>
    <row r="1350" spans="1:4" x14ac:dyDescent="0.3">
      <c r="A1350">
        <f t="shared" ref="A1350:B1369" si="103">((0*(1/3.6))*(3.6))*(1/3.6)</f>
        <v>0</v>
      </c>
      <c r="B1350">
        <f t="shared" si="103"/>
        <v>0</v>
      </c>
      <c r="C1350">
        <f t="shared" ref="C1350:C1413" si="104">((0*(1/3.6))*(3.6))*(1/3.6)</f>
        <v>0</v>
      </c>
      <c r="D1350">
        <f t="shared" si="100"/>
        <v>0</v>
      </c>
    </row>
    <row r="1351" spans="1:4" x14ac:dyDescent="0.3">
      <c r="A1351">
        <f t="shared" si="103"/>
        <v>0</v>
      </c>
      <c r="B1351">
        <f t="shared" si="103"/>
        <v>0</v>
      </c>
      <c r="C1351">
        <f t="shared" si="104"/>
        <v>0</v>
      </c>
      <c r="D1351">
        <f t="shared" si="100"/>
        <v>0</v>
      </c>
    </row>
    <row r="1352" spans="1:4" x14ac:dyDescent="0.3">
      <c r="A1352">
        <f t="shared" si="103"/>
        <v>0</v>
      </c>
      <c r="B1352">
        <f t="shared" si="103"/>
        <v>0</v>
      </c>
      <c r="C1352">
        <f t="shared" si="104"/>
        <v>0</v>
      </c>
      <c r="D1352">
        <f t="shared" si="100"/>
        <v>0</v>
      </c>
    </row>
    <row r="1353" spans="1:4" x14ac:dyDescent="0.3">
      <c r="A1353">
        <f t="shared" si="103"/>
        <v>0</v>
      </c>
      <c r="B1353">
        <f t="shared" si="103"/>
        <v>0</v>
      </c>
      <c r="C1353">
        <f t="shared" si="104"/>
        <v>0</v>
      </c>
      <c r="D1353">
        <f t="shared" si="100"/>
        <v>0</v>
      </c>
    </row>
    <row r="1354" spans="1:4" x14ac:dyDescent="0.3">
      <c r="A1354">
        <f t="shared" si="103"/>
        <v>0</v>
      </c>
      <c r="B1354">
        <f t="shared" si="103"/>
        <v>0</v>
      </c>
      <c r="C1354">
        <f t="shared" si="104"/>
        <v>0</v>
      </c>
      <c r="D1354">
        <f t="shared" si="100"/>
        <v>0</v>
      </c>
    </row>
    <row r="1355" spans="1:4" x14ac:dyDescent="0.3">
      <c r="A1355">
        <f t="shared" si="103"/>
        <v>0</v>
      </c>
      <c r="B1355">
        <f t="shared" si="103"/>
        <v>0</v>
      </c>
      <c r="C1355">
        <f t="shared" si="104"/>
        <v>0</v>
      </c>
      <c r="D1355">
        <f t="shared" si="100"/>
        <v>0</v>
      </c>
    </row>
    <row r="1356" spans="1:4" x14ac:dyDescent="0.3">
      <c r="A1356">
        <f t="shared" si="103"/>
        <v>0</v>
      </c>
      <c r="B1356">
        <f t="shared" si="103"/>
        <v>0</v>
      </c>
      <c r="C1356">
        <f t="shared" si="104"/>
        <v>0</v>
      </c>
      <c r="D1356">
        <f t="shared" si="100"/>
        <v>0</v>
      </c>
    </row>
    <row r="1357" spans="1:4" x14ac:dyDescent="0.3">
      <c r="A1357">
        <f t="shared" si="103"/>
        <v>0</v>
      </c>
      <c r="B1357">
        <f t="shared" si="103"/>
        <v>0</v>
      </c>
      <c r="C1357">
        <f t="shared" si="104"/>
        <v>0</v>
      </c>
      <c r="D1357">
        <f t="shared" si="100"/>
        <v>0</v>
      </c>
    </row>
    <row r="1358" spans="1:4" x14ac:dyDescent="0.3">
      <c r="A1358">
        <f t="shared" si="103"/>
        <v>0</v>
      </c>
      <c r="B1358">
        <f t="shared" si="103"/>
        <v>0</v>
      </c>
      <c r="C1358">
        <f t="shared" si="104"/>
        <v>0</v>
      </c>
      <c r="D1358">
        <f t="shared" si="100"/>
        <v>0</v>
      </c>
    </row>
    <row r="1359" spans="1:4" x14ac:dyDescent="0.3">
      <c r="A1359">
        <f t="shared" si="103"/>
        <v>0</v>
      </c>
      <c r="B1359">
        <f t="shared" si="103"/>
        <v>0</v>
      </c>
      <c r="C1359">
        <f t="shared" si="104"/>
        <v>0</v>
      </c>
      <c r="D1359">
        <f t="shared" si="100"/>
        <v>0</v>
      </c>
    </row>
    <row r="1360" spans="1:4" x14ac:dyDescent="0.3">
      <c r="A1360">
        <f t="shared" si="103"/>
        <v>0</v>
      </c>
      <c r="B1360">
        <f t="shared" si="103"/>
        <v>0</v>
      </c>
      <c r="C1360">
        <f t="shared" si="104"/>
        <v>0</v>
      </c>
      <c r="D1360">
        <f t="shared" si="100"/>
        <v>0</v>
      </c>
    </row>
    <row r="1361" spans="1:4" x14ac:dyDescent="0.3">
      <c r="A1361">
        <f t="shared" si="103"/>
        <v>0</v>
      </c>
      <c r="B1361">
        <f t="shared" si="103"/>
        <v>0</v>
      </c>
      <c r="C1361">
        <f t="shared" si="104"/>
        <v>0</v>
      </c>
      <c r="D1361">
        <f t="shared" si="100"/>
        <v>0</v>
      </c>
    </row>
    <row r="1362" spans="1:4" x14ac:dyDescent="0.3">
      <c r="A1362">
        <f t="shared" si="103"/>
        <v>0</v>
      </c>
      <c r="B1362">
        <f t="shared" si="103"/>
        <v>0</v>
      </c>
      <c r="C1362">
        <f t="shared" si="104"/>
        <v>0</v>
      </c>
      <c r="D1362">
        <f t="shared" si="100"/>
        <v>0</v>
      </c>
    </row>
    <row r="1363" spans="1:4" x14ac:dyDescent="0.3">
      <c r="A1363">
        <f t="shared" si="103"/>
        <v>0</v>
      </c>
      <c r="B1363">
        <f t="shared" si="103"/>
        <v>0</v>
      </c>
      <c r="C1363">
        <f t="shared" si="104"/>
        <v>0</v>
      </c>
      <c r="D1363">
        <f t="shared" ref="D1363:D1426" si="105">((0*(1/3.6))*(3.6))*(1/3.6)</f>
        <v>0</v>
      </c>
    </row>
    <row r="1364" spans="1:4" x14ac:dyDescent="0.3">
      <c r="A1364">
        <f t="shared" si="103"/>
        <v>0</v>
      </c>
      <c r="B1364">
        <f t="shared" si="103"/>
        <v>0</v>
      </c>
      <c r="C1364">
        <f t="shared" si="104"/>
        <v>0</v>
      </c>
      <c r="D1364">
        <f t="shared" si="105"/>
        <v>0</v>
      </c>
    </row>
    <row r="1365" spans="1:4" x14ac:dyDescent="0.3">
      <c r="A1365">
        <f t="shared" si="103"/>
        <v>0</v>
      </c>
      <c r="B1365">
        <f t="shared" si="103"/>
        <v>0</v>
      </c>
      <c r="C1365">
        <f t="shared" si="104"/>
        <v>0</v>
      </c>
      <c r="D1365">
        <f t="shared" si="105"/>
        <v>0</v>
      </c>
    </row>
    <row r="1366" spans="1:4" x14ac:dyDescent="0.3">
      <c r="A1366">
        <f t="shared" si="103"/>
        <v>0</v>
      </c>
      <c r="B1366">
        <f t="shared" si="103"/>
        <v>0</v>
      </c>
      <c r="C1366">
        <f t="shared" si="104"/>
        <v>0</v>
      </c>
      <c r="D1366">
        <f t="shared" si="105"/>
        <v>0</v>
      </c>
    </row>
    <row r="1367" spans="1:4" x14ac:dyDescent="0.3">
      <c r="A1367">
        <f t="shared" si="103"/>
        <v>0</v>
      </c>
      <c r="B1367">
        <f t="shared" si="103"/>
        <v>0</v>
      </c>
      <c r="C1367">
        <f t="shared" si="104"/>
        <v>0</v>
      </c>
      <c r="D1367">
        <f t="shared" si="105"/>
        <v>0</v>
      </c>
    </row>
    <row r="1368" spans="1:4" x14ac:dyDescent="0.3">
      <c r="A1368">
        <f t="shared" si="103"/>
        <v>0</v>
      </c>
      <c r="B1368">
        <f t="shared" si="103"/>
        <v>0</v>
      </c>
      <c r="C1368">
        <f t="shared" si="104"/>
        <v>0</v>
      </c>
      <c r="D1368">
        <f t="shared" si="105"/>
        <v>0</v>
      </c>
    </row>
    <row r="1369" spans="1:4" x14ac:dyDescent="0.3">
      <c r="A1369">
        <f t="shared" si="103"/>
        <v>0</v>
      </c>
      <c r="B1369">
        <f t="shared" si="103"/>
        <v>0</v>
      </c>
      <c r="C1369">
        <f t="shared" si="104"/>
        <v>0</v>
      </c>
      <c r="D1369">
        <f t="shared" si="105"/>
        <v>0</v>
      </c>
    </row>
    <row r="1370" spans="1:4" x14ac:dyDescent="0.3">
      <c r="A1370">
        <f t="shared" ref="A1370:B1389" si="106">((0*(1/3.6))*(3.6))*(1/3.6)</f>
        <v>0</v>
      </c>
      <c r="B1370">
        <f t="shared" si="106"/>
        <v>0</v>
      </c>
      <c r="C1370">
        <f t="shared" si="104"/>
        <v>0</v>
      </c>
      <c r="D1370">
        <f t="shared" si="105"/>
        <v>0</v>
      </c>
    </row>
    <row r="1371" spans="1:4" x14ac:dyDescent="0.3">
      <c r="A1371">
        <f t="shared" si="106"/>
        <v>0</v>
      </c>
      <c r="B1371">
        <f t="shared" si="106"/>
        <v>0</v>
      </c>
      <c r="C1371">
        <f t="shared" si="104"/>
        <v>0</v>
      </c>
      <c r="D1371">
        <f t="shared" si="105"/>
        <v>0</v>
      </c>
    </row>
    <row r="1372" spans="1:4" x14ac:dyDescent="0.3">
      <c r="A1372">
        <f t="shared" si="106"/>
        <v>0</v>
      </c>
      <c r="B1372">
        <f t="shared" si="106"/>
        <v>0</v>
      </c>
      <c r="C1372">
        <f t="shared" si="104"/>
        <v>0</v>
      </c>
      <c r="D1372">
        <f t="shared" si="105"/>
        <v>0</v>
      </c>
    </row>
    <row r="1373" spans="1:4" x14ac:dyDescent="0.3">
      <c r="A1373">
        <f t="shared" si="106"/>
        <v>0</v>
      </c>
      <c r="B1373">
        <f t="shared" si="106"/>
        <v>0</v>
      </c>
      <c r="C1373">
        <f t="shared" si="104"/>
        <v>0</v>
      </c>
      <c r="D1373">
        <f t="shared" si="105"/>
        <v>0</v>
      </c>
    </row>
    <row r="1374" spans="1:4" x14ac:dyDescent="0.3">
      <c r="A1374">
        <f t="shared" si="106"/>
        <v>0</v>
      </c>
      <c r="B1374">
        <f t="shared" si="106"/>
        <v>0</v>
      </c>
      <c r="C1374">
        <f t="shared" si="104"/>
        <v>0</v>
      </c>
      <c r="D1374">
        <f t="shared" si="105"/>
        <v>0</v>
      </c>
    </row>
    <row r="1375" spans="1:4" x14ac:dyDescent="0.3">
      <c r="A1375">
        <f t="shared" si="106"/>
        <v>0</v>
      </c>
      <c r="B1375">
        <f t="shared" si="106"/>
        <v>0</v>
      </c>
      <c r="C1375">
        <f t="shared" si="104"/>
        <v>0</v>
      </c>
      <c r="D1375">
        <f t="shared" si="105"/>
        <v>0</v>
      </c>
    </row>
    <row r="1376" spans="1:4" x14ac:dyDescent="0.3">
      <c r="A1376">
        <f t="shared" si="106"/>
        <v>0</v>
      </c>
      <c r="B1376">
        <f t="shared" si="106"/>
        <v>0</v>
      </c>
      <c r="C1376">
        <f t="shared" si="104"/>
        <v>0</v>
      </c>
      <c r="D1376">
        <f t="shared" si="105"/>
        <v>0</v>
      </c>
    </row>
    <row r="1377" spans="1:4" x14ac:dyDescent="0.3">
      <c r="A1377">
        <f t="shared" si="106"/>
        <v>0</v>
      </c>
      <c r="B1377">
        <f t="shared" si="106"/>
        <v>0</v>
      </c>
      <c r="C1377">
        <f t="shared" si="104"/>
        <v>0</v>
      </c>
      <c r="D1377">
        <f t="shared" si="105"/>
        <v>0</v>
      </c>
    </row>
    <row r="1378" spans="1:4" x14ac:dyDescent="0.3">
      <c r="A1378">
        <f t="shared" si="106"/>
        <v>0</v>
      </c>
      <c r="B1378">
        <f t="shared" si="106"/>
        <v>0</v>
      </c>
      <c r="C1378">
        <f t="shared" si="104"/>
        <v>0</v>
      </c>
      <c r="D1378">
        <f t="shared" si="105"/>
        <v>0</v>
      </c>
    </row>
    <row r="1379" spans="1:4" x14ac:dyDescent="0.3">
      <c r="A1379">
        <f t="shared" si="106"/>
        <v>0</v>
      </c>
      <c r="B1379">
        <f t="shared" si="106"/>
        <v>0</v>
      </c>
      <c r="C1379">
        <f t="shared" si="104"/>
        <v>0</v>
      </c>
      <c r="D1379">
        <f t="shared" si="105"/>
        <v>0</v>
      </c>
    </row>
    <row r="1380" spans="1:4" x14ac:dyDescent="0.3">
      <c r="A1380">
        <f t="shared" si="106"/>
        <v>0</v>
      </c>
      <c r="B1380">
        <f t="shared" si="106"/>
        <v>0</v>
      </c>
      <c r="C1380">
        <f t="shared" si="104"/>
        <v>0</v>
      </c>
      <c r="D1380">
        <f t="shared" si="105"/>
        <v>0</v>
      </c>
    </row>
    <row r="1381" spans="1:4" x14ac:dyDescent="0.3">
      <c r="A1381">
        <f t="shared" si="106"/>
        <v>0</v>
      </c>
      <c r="B1381">
        <f t="shared" si="106"/>
        <v>0</v>
      </c>
      <c r="C1381">
        <f t="shared" si="104"/>
        <v>0</v>
      </c>
      <c r="D1381">
        <f t="shared" si="105"/>
        <v>0</v>
      </c>
    </row>
    <row r="1382" spans="1:4" x14ac:dyDescent="0.3">
      <c r="A1382">
        <f t="shared" si="106"/>
        <v>0</v>
      </c>
      <c r="B1382">
        <f t="shared" si="106"/>
        <v>0</v>
      </c>
      <c r="C1382">
        <f t="shared" si="104"/>
        <v>0</v>
      </c>
      <c r="D1382">
        <f t="shared" si="105"/>
        <v>0</v>
      </c>
    </row>
    <row r="1383" spans="1:4" x14ac:dyDescent="0.3">
      <c r="A1383">
        <f t="shared" si="106"/>
        <v>0</v>
      </c>
      <c r="B1383">
        <f t="shared" si="106"/>
        <v>0</v>
      </c>
      <c r="C1383">
        <f t="shared" si="104"/>
        <v>0</v>
      </c>
      <c r="D1383">
        <f t="shared" si="105"/>
        <v>0</v>
      </c>
    </row>
    <row r="1384" spans="1:4" x14ac:dyDescent="0.3">
      <c r="A1384">
        <f t="shared" si="106"/>
        <v>0</v>
      </c>
      <c r="B1384">
        <f t="shared" si="106"/>
        <v>0</v>
      </c>
      <c r="C1384">
        <f t="shared" si="104"/>
        <v>0</v>
      </c>
      <c r="D1384">
        <f t="shared" si="105"/>
        <v>0</v>
      </c>
    </row>
    <row r="1385" spans="1:4" x14ac:dyDescent="0.3">
      <c r="A1385">
        <f t="shared" si="106"/>
        <v>0</v>
      </c>
      <c r="B1385">
        <f t="shared" si="106"/>
        <v>0</v>
      </c>
      <c r="C1385">
        <f t="shared" si="104"/>
        <v>0</v>
      </c>
      <c r="D1385">
        <f t="shared" si="105"/>
        <v>0</v>
      </c>
    </row>
    <row r="1386" spans="1:4" x14ac:dyDescent="0.3">
      <c r="A1386">
        <f t="shared" si="106"/>
        <v>0</v>
      </c>
      <c r="B1386">
        <f t="shared" si="106"/>
        <v>0</v>
      </c>
      <c r="C1386">
        <f t="shared" si="104"/>
        <v>0</v>
      </c>
      <c r="D1386">
        <f t="shared" si="105"/>
        <v>0</v>
      </c>
    </row>
    <row r="1387" spans="1:4" x14ac:dyDescent="0.3">
      <c r="A1387">
        <f t="shared" si="106"/>
        <v>0</v>
      </c>
      <c r="B1387">
        <f t="shared" si="106"/>
        <v>0</v>
      </c>
      <c r="C1387">
        <f t="shared" si="104"/>
        <v>0</v>
      </c>
      <c r="D1387">
        <f t="shared" si="105"/>
        <v>0</v>
      </c>
    </row>
    <row r="1388" spans="1:4" x14ac:dyDescent="0.3">
      <c r="A1388">
        <f t="shared" si="106"/>
        <v>0</v>
      </c>
      <c r="B1388">
        <f t="shared" si="106"/>
        <v>0</v>
      </c>
      <c r="C1388">
        <f t="shared" si="104"/>
        <v>0</v>
      </c>
      <c r="D1388">
        <f t="shared" si="105"/>
        <v>0</v>
      </c>
    </row>
    <row r="1389" spans="1:4" x14ac:dyDescent="0.3">
      <c r="A1389">
        <f t="shared" si="106"/>
        <v>0</v>
      </c>
      <c r="B1389">
        <f t="shared" si="106"/>
        <v>0</v>
      </c>
      <c r="C1389">
        <f t="shared" si="104"/>
        <v>0</v>
      </c>
      <c r="D1389">
        <f t="shared" si="105"/>
        <v>0</v>
      </c>
    </row>
    <row r="1390" spans="1:4" x14ac:dyDescent="0.3">
      <c r="A1390">
        <f t="shared" ref="A1390:B1409" si="107">((0*(1/3.6))*(3.6))*(1/3.6)</f>
        <v>0</v>
      </c>
      <c r="B1390">
        <f t="shared" si="107"/>
        <v>0</v>
      </c>
      <c r="C1390">
        <f t="shared" si="104"/>
        <v>0</v>
      </c>
      <c r="D1390">
        <f t="shared" si="105"/>
        <v>0</v>
      </c>
    </row>
    <row r="1391" spans="1:4" x14ac:dyDescent="0.3">
      <c r="A1391">
        <f t="shared" si="107"/>
        <v>0</v>
      </c>
      <c r="B1391">
        <f t="shared" si="107"/>
        <v>0</v>
      </c>
      <c r="C1391">
        <f t="shared" si="104"/>
        <v>0</v>
      </c>
      <c r="D1391">
        <f t="shared" si="105"/>
        <v>0</v>
      </c>
    </row>
    <row r="1392" spans="1:4" x14ac:dyDescent="0.3">
      <c r="A1392">
        <f t="shared" si="107"/>
        <v>0</v>
      </c>
      <c r="B1392">
        <f t="shared" si="107"/>
        <v>0</v>
      </c>
      <c r="C1392">
        <f t="shared" si="104"/>
        <v>0</v>
      </c>
      <c r="D1392">
        <f t="shared" si="105"/>
        <v>0</v>
      </c>
    </row>
    <row r="1393" spans="1:4" x14ac:dyDescent="0.3">
      <c r="A1393">
        <f t="shared" si="107"/>
        <v>0</v>
      </c>
      <c r="B1393">
        <f t="shared" si="107"/>
        <v>0</v>
      </c>
      <c r="C1393">
        <f t="shared" si="104"/>
        <v>0</v>
      </c>
      <c r="D1393">
        <f t="shared" si="105"/>
        <v>0</v>
      </c>
    </row>
    <row r="1394" spans="1:4" x14ac:dyDescent="0.3">
      <c r="A1394">
        <f t="shared" si="107"/>
        <v>0</v>
      </c>
      <c r="B1394">
        <f t="shared" si="107"/>
        <v>0</v>
      </c>
      <c r="C1394">
        <f t="shared" si="104"/>
        <v>0</v>
      </c>
      <c r="D1394">
        <f t="shared" si="105"/>
        <v>0</v>
      </c>
    </row>
    <row r="1395" spans="1:4" x14ac:dyDescent="0.3">
      <c r="A1395">
        <f t="shared" si="107"/>
        <v>0</v>
      </c>
      <c r="B1395">
        <f t="shared" si="107"/>
        <v>0</v>
      </c>
      <c r="C1395">
        <f t="shared" si="104"/>
        <v>0</v>
      </c>
      <c r="D1395">
        <f t="shared" si="105"/>
        <v>0</v>
      </c>
    </row>
    <row r="1396" spans="1:4" x14ac:dyDescent="0.3">
      <c r="A1396">
        <f t="shared" si="107"/>
        <v>0</v>
      </c>
      <c r="B1396">
        <f t="shared" si="107"/>
        <v>0</v>
      </c>
      <c r="C1396">
        <f t="shared" si="104"/>
        <v>0</v>
      </c>
      <c r="D1396">
        <f t="shared" si="105"/>
        <v>0</v>
      </c>
    </row>
    <row r="1397" spans="1:4" x14ac:dyDescent="0.3">
      <c r="A1397">
        <f t="shared" si="107"/>
        <v>0</v>
      </c>
      <c r="B1397">
        <f t="shared" si="107"/>
        <v>0</v>
      </c>
      <c r="C1397">
        <f t="shared" si="104"/>
        <v>0</v>
      </c>
      <c r="D1397">
        <f t="shared" si="105"/>
        <v>0</v>
      </c>
    </row>
    <row r="1398" spans="1:4" x14ac:dyDescent="0.3">
      <c r="A1398">
        <f t="shared" si="107"/>
        <v>0</v>
      </c>
      <c r="B1398">
        <f t="shared" si="107"/>
        <v>0</v>
      </c>
      <c r="C1398">
        <f t="shared" si="104"/>
        <v>0</v>
      </c>
      <c r="D1398">
        <f t="shared" si="105"/>
        <v>0</v>
      </c>
    </row>
    <row r="1399" spans="1:4" x14ac:dyDescent="0.3">
      <c r="A1399">
        <f t="shared" si="107"/>
        <v>0</v>
      </c>
      <c r="B1399">
        <f t="shared" si="107"/>
        <v>0</v>
      </c>
      <c r="C1399">
        <f t="shared" si="104"/>
        <v>0</v>
      </c>
      <c r="D1399">
        <f t="shared" si="105"/>
        <v>0</v>
      </c>
    </row>
    <row r="1400" spans="1:4" x14ac:dyDescent="0.3">
      <c r="A1400">
        <f t="shared" si="107"/>
        <v>0</v>
      </c>
      <c r="B1400">
        <f t="shared" si="107"/>
        <v>0</v>
      </c>
      <c r="C1400">
        <f t="shared" si="104"/>
        <v>0</v>
      </c>
      <c r="D1400">
        <f t="shared" si="105"/>
        <v>0</v>
      </c>
    </row>
    <row r="1401" spans="1:4" x14ac:dyDescent="0.3">
      <c r="A1401">
        <f t="shared" si="107"/>
        <v>0</v>
      </c>
      <c r="B1401">
        <f t="shared" si="107"/>
        <v>0</v>
      </c>
      <c r="C1401">
        <f t="shared" si="104"/>
        <v>0</v>
      </c>
      <c r="D1401">
        <f t="shared" si="105"/>
        <v>0</v>
      </c>
    </row>
    <row r="1402" spans="1:4" x14ac:dyDescent="0.3">
      <c r="A1402">
        <f t="shared" si="107"/>
        <v>0</v>
      </c>
      <c r="B1402">
        <f t="shared" si="107"/>
        <v>0</v>
      </c>
      <c r="C1402">
        <f t="shared" si="104"/>
        <v>0</v>
      </c>
      <c r="D1402">
        <f t="shared" si="105"/>
        <v>0</v>
      </c>
    </row>
    <row r="1403" spans="1:4" x14ac:dyDescent="0.3">
      <c r="A1403">
        <f t="shared" si="107"/>
        <v>0</v>
      </c>
      <c r="B1403">
        <f t="shared" si="107"/>
        <v>0</v>
      </c>
      <c r="C1403">
        <f t="shared" si="104"/>
        <v>0</v>
      </c>
      <c r="D1403">
        <f t="shared" si="105"/>
        <v>0</v>
      </c>
    </row>
    <row r="1404" spans="1:4" x14ac:dyDescent="0.3">
      <c r="A1404">
        <f t="shared" si="107"/>
        <v>0</v>
      </c>
      <c r="B1404">
        <f t="shared" si="107"/>
        <v>0</v>
      </c>
      <c r="C1404">
        <f t="shared" si="104"/>
        <v>0</v>
      </c>
      <c r="D1404">
        <f t="shared" si="105"/>
        <v>0</v>
      </c>
    </row>
    <row r="1405" spans="1:4" x14ac:dyDescent="0.3">
      <c r="A1405">
        <f t="shared" si="107"/>
        <v>0</v>
      </c>
      <c r="B1405">
        <f t="shared" si="107"/>
        <v>0</v>
      </c>
      <c r="C1405">
        <f t="shared" si="104"/>
        <v>0</v>
      </c>
      <c r="D1405">
        <f t="shared" si="105"/>
        <v>0</v>
      </c>
    </row>
    <row r="1406" spans="1:4" x14ac:dyDescent="0.3">
      <c r="A1406">
        <f t="shared" si="107"/>
        <v>0</v>
      </c>
      <c r="B1406">
        <f t="shared" si="107"/>
        <v>0</v>
      </c>
      <c r="C1406">
        <f t="shared" si="104"/>
        <v>0</v>
      </c>
      <c r="D1406">
        <f t="shared" si="105"/>
        <v>0</v>
      </c>
    </row>
    <row r="1407" spans="1:4" x14ac:dyDescent="0.3">
      <c r="A1407">
        <f t="shared" si="107"/>
        <v>0</v>
      </c>
      <c r="B1407">
        <f t="shared" si="107"/>
        <v>0</v>
      </c>
      <c r="C1407">
        <f t="shared" si="104"/>
        <v>0</v>
      </c>
      <c r="D1407">
        <f t="shared" si="105"/>
        <v>0</v>
      </c>
    </row>
    <row r="1408" spans="1:4" x14ac:dyDescent="0.3">
      <c r="A1408">
        <f t="shared" si="107"/>
        <v>0</v>
      </c>
      <c r="B1408">
        <f t="shared" si="107"/>
        <v>0</v>
      </c>
      <c r="C1408">
        <f t="shared" si="104"/>
        <v>0</v>
      </c>
      <c r="D1408">
        <f t="shared" si="105"/>
        <v>0</v>
      </c>
    </row>
    <row r="1409" spans="1:4" x14ac:dyDescent="0.3">
      <c r="A1409">
        <f t="shared" si="107"/>
        <v>0</v>
      </c>
      <c r="B1409">
        <f t="shared" si="107"/>
        <v>0</v>
      </c>
      <c r="C1409">
        <f t="shared" si="104"/>
        <v>0</v>
      </c>
      <c r="D1409">
        <f t="shared" si="105"/>
        <v>0</v>
      </c>
    </row>
    <row r="1410" spans="1:4" x14ac:dyDescent="0.3">
      <c r="A1410">
        <f t="shared" ref="A1410:B1429" si="108">((0*(1/3.6))*(3.6))*(1/3.6)</f>
        <v>0</v>
      </c>
      <c r="B1410">
        <f t="shared" si="108"/>
        <v>0</v>
      </c>
      <c r="C1410">
        <f t="shared" si="104"/>
        <v>0</v>
      </c>
      <c r="D1410">
        <f t="shared" si="105"/>
        <v>0</v>
      </c>
    </row>
    <row r="1411" spans="1:4" x14ac:dyDescent="0.3">
      <c r="A1411">
        <f t="shared" si="108"/>
        <v>0</v>
      </c>
      <c r="B1411">
        <f t="shared" si="108"/>
        <v>0</v>
      </c>
      <c r="C1411">
        <f t="shared" si="104"/>
        <v>0</v>
      </c>
      <c r="D1411">
        <f t="shared" si="105"/>
        <v>0</v>
      </c>
    </row>
    <row r="1412" spans="1:4" x14ac:dyDescent="0.3">
      <c r="A1412">
        <f t="shared" si="108"/>
        <v>0</v>
      </c>
      <c r="B1412">
        <f t="shared" si="108"/>
        <v>0</v>
      </c>
      <c r="C1412">
        <f t="shared" si="104"/>
        <v>0</v>
      </c>
      <c r="D1412">
        <f t="shared" si="105"/>
        <v>0</v>
      </c>
    </row>
    <row r="1413" spans="1:4" x14ac:dyDescent="0.3">
      <c r="A1413">
        <f t="shared" si="108"/>
        <v>0</v>
      </c>
      <c r="B1413">
        <f t="shared" si="108"/>
        <v>0</v>
      </c>
      <c r="C1413">
        <f t="shared" si="104"/>
        <v>0</v>
      </c>
      <c r="D1413">
        <f t="shared" si="105"/>
        <v>0</v>
      </c>
    </row>
    <row r="1414" spans="1:4" x14ac:dyDescent="0.3">
      <c r="A1414">
        <f t="shared" si="108"/>
        <v>0</v>
      </c>
      <c r="B1414">
        <f t="shared" si="108"/>
        <v>0</v>
      </c>
      <c r="C1414">
        <f t="shared" ref="C1414:C1462" si="109">((0*(1/3.6))*(3.6))*(1/3.6)</f>
        <v>0</v>
      </c>
      <c r="D1414">
        <f t="shared" si="105"/>
        <v>0</v>
      </c>
    </row>
    <row r="1415" spans="1:4" x14ac:dyDescent="0.3">
      <c r="A1415">
        <f t="shared" si="108"/>
        <v>0</v>
      </c>
      <c r="B1415">
        <f t="shared" si="108"/>
        <v>0</v>
      </c>
      <c r="C1415">
        <f t="shared" si="109"/>
        <v>0</v>
      </c>
      <c r="D1415">
        <f t="shared" si="105"/>
        <v>0</v>
      </c>
    </row>
    <row r="1416" spans="1:4" x14ac:dyDescent="0.3">
      <c r="A1416">
        <f t="shared" si="108"/>
        <v>0</v>
      </c>
      <c r="B1416">
        <f t="shared" si="108"/>
        <v>0</v>
      </c>
      <c r="C1416">
        <f t="shared" si="109"/>
        <v>0</v>
      </c>
      <c r="D1416">
        <f t="shared" si="105"/>
        <v>0</v>
      </c>
    </row>
    <row r="1417" spans="1:4" x14ac:dyDescent="0.3">
      <c r="A1417">
        <f t="shared" si="108"/>
        <v>0</v>
      </c>
      <c r="B1417">
        <f t="shared" si="108"/>
        <v>0</v>
      </c>
      <c r="C1417">
        <f t="shared" si="109"/>
        <v>0</v>
      </c>
      <c r="D1417">
        <f t="shared" si="105"/>
        <v>0</v>
      </c>
    </row>
    <row r="1418" spans="1:4" x14ac:dyDescent="0.3">
      <c r="A1418">
        <f t="shared" si="108"/>
        <v>0</v>
      </c>
      <c r="B1418">
        <f t="shared" si="108"/>
        <v>0</v>
      </c>
      <c r="C1418">
        <f t="shared" si="109"/>
        <v>0</v>
      </c>
      <c r="D1418">
        <f t="shared" si="105"/>
        <v>0</v>
      </c>
    </row>
    <row r="1419" spans="1:4" x14ac:dyDescent="0.3">
      <c r="A1419">
        <f t="shared" si="108"/>
        <v>0</v>
      </c>
      <c r="B1419">
        <f t="shared" si="108"/>
        <v>0</v>
      </c>
      <c r="C1419">
        <f t="shared" si="109"/>
        <v>0</v>
      </c>
      <c r="D1419">
        <f t="shared" si="105"/>
        <v>0</v>
      </c>
    </row>
    <row r="1420" spans="1:4" x14ac:dyDescent="0.3">
      <c r="A1420">
        <f t="shared" si="108"/>
        <v>0</v>
      </c>
      <c r="B1420">
        <f t="shared" si="108"/>
        <v>0</v>
      </c>
      <c r="C1420">
        <f t="shared" si="109"/>
        <v>0</v>
      </c>
      <c r="D1420">
        <f t="shared" si="105"/>
        <v>0</v>
      </c>
    </row>
    <row r="1421" spans="1:4" x14ac:dyDescent="0.3">
      <c r="A1421">
        <f t="shared" si="108"/>
        <v>0</v>
      </c>
      <c r="B1421">
        <f t="shared" si="108"/>
        <v>0</v>
      </c>
      <c r="C1421">
        <f t="shared" si="109"/>
        <v>0</v>
      </c>
      <c r="D1421">
        <f t="shared" si="105"/>
        <v>0</v>
      </c>
    </row>
    <row r="1422" spans="1:4" x14ac:dyDescent="0.3">
      <c r="A1422">
        <f t="shared" si="108"/>
        <v>0</v>
      </c>
      <c r="B1422">
        <f t="shared" si="108"/>
        <v>0</v>
      </c>
      <c r="C1422">
        <f t="shared" si="109"/>
        <v>0</v>
      </c>
      <c r="D1422">
        <f t="shared" si="105"/>
        <v>0</v>
      </c>
    </row>
    <row r="1423" spans="1:4" x14ac:dyDescent="0.3">
      <c r="A1423">
        <f t="shared" si="108"/>
        <v>0</v>
      </c>
      <c r="B1423">
        <f t="shared" si="108"/>
        <v>0</v>
      </c>
      <c r="C1423">
        <f t="shared" si="109"/>
        <v>0</v>
      </c>
      <c r="D1423">
        <f t="shared" si="105"/>
        <v>0</v>
      </c>
    </row>
    <row r="1424" spans="1:4" x14ac:dyDescent="0.3">
      <c r="A1424">
        <f t="shared" si="108"/>
        <v>0</v>
      </c>
      <c r="B1424">
        <f t="shared" si="108"/>
        <v>0</v>
      </c>
      <c r="C1424">
        <f t="shared" si="109"/>
        <v>0</v>
      </c>
      <c r="D1424">
        <f t="shared" si="105"/>
        <v>0</v>
      </c>
    </row>
    <row r="1425" spans="1:4" x14ac:dyDescent="0.3">
      <c r="A1425">
        <f t="shared" si="108"/>
        <v>0</v>
      </c>
      <c r="B1425">
        <f t="shared" si="108"/>
        <v>0</v>
      </c>
      <c r="C1425">
        <f t="shared" si="109"/>
        <v>0</v>
      </c>
      <c r="D1425">
        <f t="shared" si="105"/>
        <v>0</v>
      </c>
    </row>
    <row r="1426" spans="1:4" x14ac:dyDescent="0.3">
      <c r="A1426">
        <f t="shared" si="108"/>
        <v>0</v>
      </c>
      <c r="B1426">
        <f t="shared" si="108"/>
        <v>0</v>
      </c>
      <c r="C1426">
        <f t="shared" si="109"/>
        <v>0</v>
      </c>
      <c r="D1426">
        <f t="shared" si="105"/>
        <v>0</v>
      </c>
    </row>
    <row r="1427" spans="1:4" x14ac:dyDescent="0.3">
      <c r="A1427">
        <f t="shared" si="108"/>
        <v>0</v>
      </c>
      <c r="B1427">
        <f t="shared" si="108"/>
        <v>0</v>
      </c>
      <c r="C1427">
        <f t="shared" si="109"/>
        <v>0</v>
      </c>
      <c r="D1427">
        <f t="shared" ref="D1427:D1462" si="110">((0*(1/3.6))*(3.6))*(1/3.6)</f>
        <v>0</v>
      </c>
    </row>
    <row r="1428" spans="1:4" x14ac:dyDescent="0.3">
      <c r="A1428">
        <f t="shared" si="108"/>
        <v>0</v>
      </c>
      <c r="B1428">
        <f t="shared" si="108"/>
        <v>0</v>
      </c>
      <c r="C1428">
        <f t="shared" si="109"/>
        <v>0</v>
      </c>
      <c r="D1428">
        <f t="shared" si="110"/>
        <v>0</v>
      </c>
    </row>
    <row r="1429" spans="1:4" x14ac:dyDescent="0.3">
      <c r="A1429">
        <f t="shared" si="108"/>
        <v>0</v>
      </c>
      <c r="B1429">
        <f t="shared" si="108"/>
        <v>0</v>
      </c>
      <c r="C1429">
        <f t="shared" si="109"/>
        <v>0</v>
      </c>
      <c r="D1429">
        <f t="shared" si="110"/>
        <v>0</v>
      </c>
    </row>
    <row r="1430" spans="1:4" x14ac:dyDescent="0.3">
      <c r="A1430">
        <f t="shared" ref="A1430:B1441" si="111">((0*(1/3.6))*(3.6))*(1/3.6)</f>
        <v>0</v>
      </c>
      <c r="B1430">
        <f t="shared" si="111"/>
        <v>0</v>
      </c>
      <c r="C1430">
        <f t="shared" si="109"/>
        <v>0</v>
      </c>
      <c r="D1430">
        <f t="shared" si="110"/>
        <v>0</v>
      </c>
    </row>
    <row r="1431" spans="1:4" x14ac:dyDescent="0.3">
      <c r="A1431">
        <f t="shared" si="111"/>
        <v>0</v>
      </c>
      <c r="B1431">
        <f t="shared" si="111"/>
        <v>0</v>
      </c>
      <c r="C1431">
        <f t="shared" si="109"/>
        <v>0</v>
      </c>
      <c r="D1431">
        <f t="shared" si="110"/>
        <v>0</v>
      </c>
    </row>
    <row r="1432" spans="1:4" x14ac:dyDescent="0.3">
      <c r="A1432">
        <f t="shared" si="111"/>
        <v>0</v>
      </c>
      <c r="B1432">
        <f t="shared" si="111"/>
        <v>0</v>
      </c>
      <c r="C1432">
        <f t="shared" si="109"/>
        <v>0</v>
      </c>
      <c r="D1432">
        <f t="shared" si="110"/>
        <v>0</v>
      </c>
    </row>
    <row r="1433" spans="1:4" x14ac:dyDescent="0.3">
      <c r="A1433">
        <f t="shared" si="111"/>
        <v>0</v>
      </c>
      <c r="B1433">
        <f t="shared" si="111"/>
        <v>0</v>
      </c>
      <c r="C1433">
        <f t="shared" si="109"/>
        <v>0</v>
      </c>
      <c r="D1433">
        <f t="shared" si="110"/>
        <v>0</v>
      </c>
    </row>
    <row r="1434" spans="1:4" x14ac:dyDescent="0.3">
      <c r="A1434">
        <f t="shared" si="111"/>
        <v>0</v>
      </c>
      <c r="B1434">
        <f t="shared" si="111"/>
        <v>0</v>
      </c>
      <c r="C1434">
        <f t="shared" si="109"/>
        <v>0</v>
      </c>
      <c r="D1434">
        <f t="shared" si="110"/>
        <v>0</v>
      </c>
    </row>
    <row r="1435" spans="1:4" x14ac:dyDescent="0.3">
      <c r="A1435">
        <f t="shared" si="111"/>
        <v>0</v>
      </c>
      <c r="B1435">
        <f t="shared" si="111"/>
        <v>0</v>
      </c>
      <c r="C1435">
        <f t="shared" si="109"/>
        <v>0</v>
      </c>
      <c r="D1435">
        <f t="shared" si="110"/>
        <v>0</v>
      </c>
    </row>
    <row r="1436" spans="1:4" x14ac:dyDescent="0.3">
      <c r="A1436">
        <f t="shared" si="111"/>
        <v>0</v>
      </c>
      <c r="B1436">
        <f t="shared" si="111"/>
        <v>0</v>
      </c>
      <c r="C1436">
        <f t="shared" si="109"/>
        <v>0</v>
      </c>
      <c r="D1436">
        <f t="shared" si="110"/>
        <v>0</v>
      </c>
    </row>
    <row r="1437" spans="1:4" x14ac:dyDescent="0.3">
      <c r="A1437">
        <f t="shared" si="111"/>
        <v>0</v>
      </c>
      <c r="B1437">
        <f t="shared" si="111"/>
        <v>0</v>
      </c>
      <c r="C1437">
        <f t="shared" si="109"/>
        <v>0</v>
      </c>
      <c r="D1437">
        <f t="shared" si="110"/>
        <v>0</v>
      </c>
    </row>
    <row r="1438" spans="1:4" x14ac:dyDescent="0.3">
      <c r="A1438">
        <f t="shared" si="111"/>
        <v>0</v>
      </c>
      <c r="B1438">
        <f t="shared" si="111"/>
        <v>0</v>
      </c>
      <c r="C1438">
        <f t="shared" si="109"/>
        <v>0</v>
      </c>
      <c r="D1438">
        <f t="shared" si="110"/>
        <v>0</v>
      </c>
    </row>
    <row r="1439" spans="1:4" x14ac:dyDescent="0.3">
      <c r="A1439">
        <f t="shared" si="111"/>
        <v>0</v>
      </c>
      <c r="B1439">
        <f t="shared" si="111"/>
        <v>0</v>
      </c>
      <c r="C1439">
        <f t="shared" si="109"/>
        <v>0</v>
      </c>
      <c r="D1439">
        <f t="shared" si="110"/>
        <v>0</v>
      </c>
    </row>
    <row r="1440" spans="1:4" x14ac:dyDescent="0.3">
      <c r="A1440">
        <f t="shared" si="111"/>
        <v>0</v>
      </c>
      <c r="B1440">
        <f t="shared" si="111"/>
        <v>0</v>
      </c>
      <c r="C1440">
        <f t="shared" si="109"/>
        <v>0</v>
      </c>
      <c r="D1440">
        <f t="shared" si="110"/>
        <v>0</v>
      </c>
    </row>
    <row r="1441" spans="1:4" x14ac:dyDescent="0.3">
      <c r="A1441">
        <f t="shared" si="111"/>
        <v>0</v>
      </c>
      <c r="B1441">
        <f t="shared" si="111"/>
        <v>0</v>
      </c>
      <c r="C1441">
        <f t="shared" si="109"/>
        <v>0</v>
      </c>
      <c r="D1441">
        <f t="shared" si="110"/>
        <v>0</v>
      </c>
    </row>
    <row r="1442" spans="1:4" x14ac:dyDescent="0.3">
      <c r="A1442">
        <f>((0*(1/3.6))*(3.6))*(1/3.6)</f>
        <v>0</v>
      </c>
      <c r="B1442">
        <f>278*(1/3.6)</f>
        <v>77.222222222222229</v>
      </c>
      <c r="C1442">
        <f t="shared" si="109"/>
        <v>0</v>
      </c>
      <c r="D1442">
        <f t="shared" si="110"/>
        <v>0</v>
      </c>
    </row>
    <row r="1443" spans="1:4" x14ac:dyDescent="0.3">
      <c r="A1443">
        <f>((0*(1/3.6))*(3.6))*(1/3.6)</f>
        <v>0</v>
      </c>
      <c r="B1443">
        <f t="shared" ref="B1443:B1462" si="112">((0*(1/3.6))*(3.6))*(1/3.6)</f>
        <v>0</v>
      </c>
      <c r="C1443">
        <f t="shared" si="109"/>
        <v>0</v>
      </c>
      <c r="D1443">
        <f t="shared" si="110"/>
        <v>0</v>
      </c>
    </row>
    <row r="1444" spans="1:4" x14ac:dyDescent="0.3">
      <c r="A1444">
        <f>((174*(1/3.6))*(3.6))*(1/3.6)</f>
        <v>48.333333333333336</v>
      </c>
      <c r="B1444">
        <f t="shared" si="112"/>
        <v>0</v>
      </c>
      <c r="C1444">
        <f t="shared" si="109"/>
        <v>0</v>
      </c>
      <c r="D1444">
        <f t="shared" si="110"/>
        <v>0</v>
      </c>
    </row>
    <row r="1445" spans="1:4" x14ac:dyDescent="0.3">
      <c r="A1445">
        <f t="shared" ref="A1445:A1462" si="113">((0*(1/3.6))*(3.6))*(1/3.6)</f>
        <v>0</v>
      </c>
      <c r="B1445">
        <f t="shared" si="112"/>
        <v>0</v>
      </c>
      <c r="C1445">
        <f t="shared" si="109"/>
        <v>0</v>
      </c>
      <c r="D1445">
        <f t="shared" si="110"/>
        <v>0</v>
      </c>
    </row>
    <row r="1446" spans="1:4" x14ac:dyDescent="0.3">
      <c r="A1446">
        <f t="shared" si="113"/>
        <v>0</v>
      </c>
      <c r="B1446">
        <f t="shared" si="112"/>
        <v>0</v>
      </c>
      <c r="C1446">
        <f t="shared" si="109"/>
        <v>0</v>
      </c>
      <c r="D1446">
        <f t="shared" si="110"/>
        <v>0</v>
      </c>
    </row>
    <row r="1447" spans="1:4" x14ac:dyDescent="0.3">
      <c r="A1447">
        <f t="shared" si="113"/>
        <v>0</v>
      </c>
      <c r="B1447">
        <f t="shared" si="112"/>
        <v>0</v>
      </c>
      <c r="C1447">
        <f t="shared" si="109"/>
        <v>0</v>
      </c>
      <c r="D1447">
        <f t="shared" si="110"/>
        <v>0</v>
      </c>
    </row>
    <row r="1448" spans="1:4" x14ac:dyDescent="0.3">
      <c r="A1448">
        <f t="shared" si="113"/>
        <v>0</v>
      </c>
      <c r="B1448">
        <f t="shared" si="112"/>
        <v>0</v>
      </c>
      <c r="C1448">
        <f t="shared" si="109"/>
        <v>0</v>
      </c>
      <c r="D1448">
        <f t="shared" si="110"/>
        <v>0</v>
      </c>
    </row>
    <row r="1449" spans="1:4" x14ac:dyDescent="0.3">
      <c r="A1449">
        <f t="shared" si="113"/>
        <v>0</v>
      </c>
      <c r="B1449">
        <f t="shared" si="112"/>
        <v>0</v>
      </c>
      <c r="C1449">
        <f t="shared" si="109"/>
        <v>0</v>
      </c>
      <c r="D1449">
        <f t="shared" si="110"/>
        <v>0</v>
      </c>
    </row>
    <row r="1450" spans="1:4" x14ac:dyDescent="0.3">
      <c r="A1450">
        <f t="shared" si="113"/>
        <v>0</v>
      </c>
      <c r="B1450">
        <f t="shared" si="112"/>
        <v>0</v>
      </c>
      <c r="C1450">
        <f t="shared" si="109"/>
        <v>0</v>
      </c>
      <c r="D1450">
        <f t="shared" si="110"/>
        <v>0</v>
      </c>
    </row>
    <row r="1451" spans="1:4" x14ac:dyDescent="0.3">
      <c r="A1451">
        <f t="shared" si="113"/>
        <v>0</v>
      </c>
      <c r="B1451">
        <f t="shared" si="112"/>
        <v>0</v>
      </c>
      <c r="C1451">
        <f t="shared" si="109"/>
        <v>0</v>
      </c>
      <c r="D1451">
        <f t="shared" si="110"/>
        <v>0</v>
      </c>
    </row>
    <row r="1452" spans="1:4" x14ac:dyDescent="0.3">
      <c r="A1452">
        <f t="shared" si="113"/>
        <v>0</v>
      </c>
      <c r="B1452">
        <f t="shared" si="112"/>
        <v>0</v>
      </c>
      <c r="C1452">
        <f t="shared" si="109"/>
        <v>0</v>
      </c>
      <c r="D1452">
        <f t="shared" si="110"/>
        <v>0</v>
      </c>
    </row>
    <row r="1453" spans="1:4" x14ac:dyDescent="0.3">
      <c r="A1453">
        <f t="shared" si="113"/>
        <v>0</v>
      </c>
      <c r="B1453">
        <f t="shared" si="112"/>
        <v>0</v>
      </c>
      <c r="C1453">
        <f t="shared" si="109"/>
        <v>0</v>
      </c>
      <c r="D1453">
        <f t="shared" si="110"/>
        <v>0</v>
      </c>
    </row>
    <row r="1454" spans="1:4" x14ac:dyDescent="0.3">
      <c r="A1454">
        <f t="shared" si="113"/>
        <v>0</v>
      </c>
      <c r="B1454">
        <f t="shared" si="112"/>
        <v>0</v>
      </c>
      <c r="C1454">
        <f t="shared" si="109"/>
        <v>0</v>
      </c>
      <c r="D1454">
        <f t="shared" si="110"/>
        <v>0</v>
      </c>
    </row>
    <row r="1455" spans="1:4" x14ac:dyDescent="0.3">
      <c r="A1455">
        <f t="shared" si="113"/>
        <v>0</v>
      </c>
      <c r="B1455">
        <f t="shared" si="112"/>
        <v>0</v>
      </c>
      <c r="C1455">
        <f t="shared" si="109"/>
        <v>0</v>
      </c>
      <c r="D1455">
        <f t="shared" si="110"/>
        <v>0</v>
      </c>
    </row>
    <row r="1456" spans="1:4" x14ac:dyDescent="0.3">
      <c r="A1456">
        <f t="shared" si="113"/>
        <v>0</v>
      </c>
      <c r="B1456">
        <f t="shared" si="112"/>
        <v>0</v>
      </c>
      <c r="C1456">
        <f t="shared" si="109"/>
        <v>0</v>
      </c>
      <c r="D1456">
        <f t="shared" si="110"/>
        <v>0</v>
      </c>
    </row>
    <row r="1457" spans="1:4" x14ac:dyDescent="0.3">
      <c r="A1457">
        <f t="shared" si="113"/>
        <v>0</v>
      </c>
      <c r="B1457">
        <f t="shared" si="112"/>
        <v>0</v>
      </c>
      <c r="C1457">
        <f t="shared" si="109"/>
        <v>0</v>
      </c>
      <c r="D1457">
        <f t="shared" si="110"/>
        <v>0</v>
      </c>
    </row>
    <row r="1458" spans="1:4" x14ac:dyDescent="0.3">
      <c r="A1458">
        <f t="shared" si="113"/>
        <v>0</v>
      </c>
      <c r="B1458">
        <f t="shared" si="112"/>
        <v>0</v>
      </c>
      <c r="C1458">
        <f t="shared" si="109"/>
        <v>0</v>
      </c>
      <c r="D1458">
        <f t="shared" si="110"/>
        <v>0</v>
      </c>
    </row>
    <row r="1459" spans="1:4" x14ac:dyDescent="0.3">
      <c r="A1459">
        <f t="shared" si="113"/>
        <v>0</v>
      </c>
      <c r="B1459">
        <f t="shared" si="112"/>
        <v>0</v>
      </c>
      <c r="C1459">
        <f t="shared" si="109"/>
        <v>0</v>
      </c>
      <c r="D1459">
        <f t="shared" si="110"/>
        <v>0</v>
      </c>
    </row>
    <row r="1460" spans="1:4" x14ac:dyDescent="0.3">
      <c r="A1460">
        <f t="shared" si="113"/>
        <v>0</v>
      </c>
      <c r="B1460">
        <f t="shared" si="112"/>
        <v>0</v>
      </c>
      <c r="C1460">
        <f t="shared" si="109"/>
        <v>0</v>
      </c>
      <c r="D1460">
        <f t="shared" si="110"/>
        <v>0</v>
      </c>
    </row>
    <row r="1461" spans="1:4" x14ac:dyDescent="0.3">
      <c r="A1461">
        <f t="shared" si="113"/>
        <v>0</v>
      </c>
      <c r="B1461">
        <f t="shared" si="112"/>
        <v>0</v>
      </c>
      <c r="C1461">
        <f t="shared" si="109"/>
        <v>0</v>
      </c>
      <c r="D1461">
        <f t="shared" si="110"/>
        <v>0</v>
      </c>
    </row>
    <row r="1462" spans="1:4" x14ac:dyDescent="0.3">
      <c r="A1462">
        <f t="shared" si="113"/>
        <v>0</v>
      </c>
      <c r="B1462">
        <f t="shared" si="112"/>
        <v>0</v>
      </c>
      <c r="C1462">
        <f t="shared" si="109"/>
        <v>0</v>
      </c>
      <c r="D1462">
        <f t="shared" si="11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D3DA-57C6-403A-A522-C621730919DD}">
  <dimension ref="A1:D1462"/>
  <sheetViews>
    <sheetView workbookViewId="0">
      <selection activeCell="H1467" sqref="H1467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1</v>
      </c>
      <c r="B2">
        <v>1</v>
      </c>
      <c r="C2">
        <v>1</v>
      </c>
      <c r="D2">
        <v>0</v>
      </c>
    </row>
    <row r="3" spans="1:4" x14ac:dyDescent="0.3">
      <c r="A3">
        <v>1</v>
      </c>
      <c r="B3">
        <v>1</v>
      </c>
      <c r="C3">
        <v>1</v>
      </c>
      <c r="D3">
        <v>0</v>
      </c>
    </row>
    <row r="4" spans="1:4" x14ac:dyDescent="0.3">
      <c r="A4">
        <v>1</v>
      </c>
      <c r="B4">
        <v>1</v>
      </c>
      <c r="C4">
        <v>1</v>
      </c>
      <c r="D4">
        <v>0</v>
      </c>
    </row>
    <row r="5" spans="1:4" x14ac:dyDescent="0.3">
      <c r="A5">
        <v>1</v>
      </c>
      <c r="B5">
        <v>1</v>
      </c>
      <c r="C5">
        <v>1</v>
      </c>
      <c r="D5">
        <v>0</v>
      </c>
    </row>
    <row r="6" spans="1:4" x14ac:dyDescent="0.3">
      <c r="A6">
        <v>1</v>
      </c>
      <c r="B6">
        <v>1</v>
      </c>
      <c r="C6">
        <v>1</v>
      </c>
      <c r="D6">
        <v>0</v>
      </c>
    </row>
    <row r="7" spans="1:4" x14ac:dyDescent="0.3">
      <c r="A7">
        <v>1</v>
      </c>
      <c r="B7">
        <v>1</v>
      </c>
      <c r="C7">
        <v>1</v>
      </c>
      <c r="D7">
        <v>0</v>
      </c>
    </row>
    <row r="8" spans="1:4" x14ac:dyDescent="0.3">
      <c r="A8">
        <v>1</v>
      </c>
      <c r="B8">
        <v>1</v>
      </c>
      <c r="C8">
        <v>1</v>
      </c>
      <c r="D8">
        <v>0</v>
      </c>
    </row>
    <row r="9" spans="1:4" x14ac:dyDescent="0.3">
      <c r="A9">
        <v>1</v>
      </c>
      <c r="B9">
        <v>1</v>
      </c>
      <c r="C9">
        <v>1</v>
      </c>
      <c r="D9">
        <v>0</v>
      </c>
    </row>
    <row r="10" spans="1:4" x14ac:dyDescent="0.3">
      <c r="A10">
        <v>1</v>
      </c>
      <c r="B10">
        <v>1</v>
      </c>
      <c r="C10">
        <v>1</v>
      </c>
      <c r="D10">
        <v>0</v>
      </c>
    </row>
    <row r="11" spans="1:4" x14ac:dyDescent="0.3">
      <c r="A11">
        <v>1</v>
      </c>
      <c r="B11">
        <v>1</v>
      </c>
      <c r="C11">
        <v>1</v>
      </c>
      <c r="D11">
        <v>0</v>
      </c>
    </row>
    <row r="12" spans="1:4" x14ac:dyDescent="0.3">
      <c r="A12">
        <v>1</v>
      </c>
      <c r="B12">
        <v>1</v>
      </c>
      <c r="C12">
        <v>1</v>
      </c>
      <c r="D12">
        <v>0</v>
      </c>
    </row>
    <row r="13" spans="1:4" x14ac:dyDescent="0.3">
      <c r="A13">
        <v>1</v>
      </c>
      <c r="B13">
        <v>1</v>
      </c>
      <c r="C13">
        <v>1</v>
      </c>
      <c r="D13">
        <v>0</v>
      </c>
    </row>
    <row r="14" spans="1:4" x14ac:dyDescent="0.3">
      <c r="A14">
        <v>1</v>
      </c>
      <c r="B14">
        <v>1</v>
      </c>
      <c r="C14">
        <v>1</v>
      </c>
      <c r="D14">
        <v>0</v>
      </c>
    </row>
    <row r="15" spans="1:4" x14ac:dyDescent="0.3">
      <c r="A15">
        <v>1</v>
      </c>
      <c r="B15">
        <v>1</v>
      </c>
      <c r="C15">
        <v>1</v>
      </c>
      <c r="D15">
        <v>0</v>
      </c>
    </row>
    <row r="16" spans="1:4" x14ac:dyDescent="0.3">
      <c r="A16">
        <v>1</v>
      </c>
      <c r="B16">
        <v>1</v>
      </c>
      <c r="C16">
        <v>1</v>
      </c>
      <c r="D16">
        <v>0</v>
      </c>
    </row>
    <row r="17" spans="1:4" x14ac:dyDescent="0.3">
      <c r="A17">
        <v>1</v>
      </c>
      <c r="B17">
        <v>1</v>
      </c>
      <c r="C17">
        <v>1</v>
      </c>
      <c r="D17">
        <v>0</v>
      </c>
    </row>
    <row r="18" spans="1:4" x14ac:dyDescent="0.3">
      <c r="A18">
        <v>1</v>
      </c>
      <c r="B18">
        <v>1</v>
      </c>
      <c r="C18">
        <v>1</v>
      </c>
      <c r="D18">
        <v>0</v>
      </c>
    </row>
    <row r="19" spans="1:4" x14ac:dyDescent="0.3">
      <c r="A19">
        <v>1</v>
      </c>
      <c r="B19">
        <v>1</v>
      </c>
      <c r="C19">
        <v>1</v>
      </c>
      <c r="D19">
        <v>0</v>
      </c>
    </row>
    <row r="20" spans="1:4" x14ac:dyDescent="0.3">
      <c r="A20">
        <v>1</v>
      </c>
      <c r="B20">
        <v>1</v>
      </c>
      <c r="C20">
        <v>1</v>
      </c>
      <c r="D20">
        <v>0</v>
      </c>
    </row>
    <row r="21" spans="1:4" x14ac:dyDescent="0.3">
      <c r="A21">
        <v>1</v>
      </c>
      <c r="B21">
        <v>1</v>
      </c>
      <c r="C21">
        <v>1</v>
      </c>
      <c r="D21">
        <v>0</v>
      </c>
    </row>
    <row r="22" spans="1:4" x14ac:dyDescent="0.3">
      <c r="A22">
        <v>1</v>
      </c>
      <c r="B22">
        <v>1</v>
      </c>
      <c r="C22">
        <v>1</v>
      </c>
      <c r="D22">
        <v>0</v>
      </c>
    </row>
    <row r="23" spans="1:4" x14ac:dyDescent="0.3">
      <c r="A23">
        <v>1</v>
      </c>
      <c r="B23">
        <v>1</v>
      </c>
      <c r="C23">
        <v>1</v>
      </c>
      <c r="D23">
        <v>0</v>
      </c>
    </row>
    <row r="24" spans="1:4" x14ac:dyDescent="0.3">
      <c r="A24">
        <v>1</v>
      </c>
      <c r="B24">
        <v>1</v>
      </c>
      <c r="C24">
        <v>1</v>
      </c>
      <c r="D24">
        <v>0</v>
      </c>
    </row>
    <row r="25" spans="1:4" x14ac:dyDescent="0.3">
      <c r="A25">
        <v>1</v>
      </c>
      <c r="B25">
        <v>1</v>
      </c>
      <c r="C25">
        <v>1</v>
      </c>
      <c r="D25">
        <v>0</v>
      </c>
    </row>
    <row r="26" spans="1:4" x14ac:dyDescent="0.3">
      <c r="A26">
        <v>1</v>
      </c>
      <c r="B26">
        <v>1</v>
      </c>
      <c r="C26">
        <v>1</v>
      </c>
      <c r="D26">
        <v>0</v>
      </c>
    </row>
    <row r="27" spans="1:4" x14ac:dyDescent="0.3">
      <c r="A27">
        <v>1</v>
      </c>
      <c r="B27">
        <v>1</v>
      </c>
      <c r="C27">
        <v>1</v>
      </c>
      <c r="D27">
        <v>0</v>
      </c>
    </row>
    <row r="28" spans="1:4" x14ac:dyDescent="0.3">
      <c r="A28">
        <v>1</v>
      </c>
      <c r="B28">
        <v>1</v>
      </c>
      <c r="C28">
        <v>1</v>
      </c>
      <c r="D28">
        <v>0</v>
      </c>
    </row>
    <row r="29" spans="1:4" x14ac:dyDescent="0.3">
      <c r="A29">
        <v>1</v>
      </c>
      <c r="B29">
        <v>1</v>
      </c>
      <c r="C29">
        <v>1</v>
      </c>
      <c r="D29">
        <v>0</v>
      </c>
    </row>
    <row r="30" spans="1:4" x14ac:dyDescent="0.3">
      <c r="A30">
        <v>1</v>
      </c>
      <c r="B30">
        <v>1</v>
      </c>
      <c r="C30">
        <v>1</v>
      </c>
      <c r="D30">
        <v>0</v>
      </c>
    </row>
    <row r="31" spans="1:4" x14ac:dyDescent="0.3">
      <c r="A31">
        <v>1</v>
      </c>
      <c r="B31">
        <v>1</v>
      </c>
      <c r="C31">
        <v>1</v>
      </c>
      <c r="D31">
        <v>0</v>
      </c>
    </row>
    <row r="32" spans="1:4" x14ac:dyDescent="0.3">
      <c r="A32">
        <v>1</v>
      </c>
      <c r="B32">
        <v>1</v>
      </c>
      <c r="C32">
        <v>1</v>
      </c>
      <c r="D32">
        <v>0</v>
      </c>
    </row>
    <row r="33" spans="1:4" x14ac:dyDescent="0.3">
      <c r="A33">
        <v>1</v>
      </c>
      <c r="B33">
        <v>1</v>
      </c>
      <c r="C33">
        <v>1</v>
      </c>
      <c r="D33">
        <v>0</v>
      </c>
    </row>
    <row r="34" spans="1:4" x14ac:dyDescent="0.3">
      <c r="A34">
        <v>1</v>
      </c>
      <c r="B34">
        <v>1</v>
      </c>
      <c r="C34">
        <v>1</v>
      </c>
      <c r="D34">
        <v>0</v>
      </c>
    </row>
    <row r="35" spans="1:4" x14ac:dyDescent="0.3">
      <c r="A35">
        <v>1</v>
      </c>
      <c r="B35">
        <v>1</v>
      </c>
      <c r="C35">
        <v>1</v>
      </c>
      <c r="D35">
        <v>0</v>
      </c>
    </row>
    <row r="36" spans="1:4" x14ac:dyDescent="0.3">
      <c r="A36">
        <v>1</v>
      </c>
      <c r="B36">
        <v>1</v>
      </c>
      <c r="C36">
        <v>1</v>
      </c>
      <c r="D36">
        <v>0</v>
      </c>
    </row>
    <row r="37" spans="1:4" x14ac:dyDescent="0.3">
      <c r="A37">
        <v>1</v>
      </c>
      <c r="B37">
        <v>1</v>
      </c>
      <c r="C37">
        <v>1</v>
      </c>
      <c r="D37">
        <v>0</v>
      </c>
    </row>
    <row r="38" spans="1:4" x14ac:dyDescent="0.3">
      <c r="A38">
        <v>1</v>
      </c>
      <c r="B38">
        <v>1</v>
      </c>
      <c r="C38">
        <v>1</v>
      </c>
      <c r="D38">
        <v>0</v>
      </c>
    </row>
    <row r="39" spans="1:4" x14ac:dyDescent="0.3">
      <c r="A39">
        <v>1</v>
      </c>
      <c r="B39">
        <v>1</v>
      </c>
      <c r="C39">
        <v>1</v>
      </c>
      <c r="D39">
        <v>0</v>
      </c>
    </row>
    <row r="40" spans="1:4" x14ac:dyDescent="0.3">
      <c r="A40">
        <v>1</v>
      </c>
      <c r="B40">
        <v>1</v>
      </c>
      <c r="C40">
        <v>1</v>
      </c>
      <c r="D40">
        <v>0</v>
      </c>
    </row>
    <row r="41" spans="1:4" x14ac:dyDescent="0.3">
      <c r="A41">
        <v>1</v>
      </c>
      <c r="B41">
        <v>1</v>
      </c>
      <c r="C41">
        <v>1</v>
      </c>
      <c r="D41">
        <v>0</v>
      </c>
    </row>
    <row r="42" spans="1:4" x14ac:dyDescent="0.3">
      <c r="A42">
        <v>1</v>
      </c>
      <c r="B42">
        <v>1</v>
      </c>
      <c r="C42">
        <v>1</v>
      </c>
      <c r="D42">
        <v>0</v>
      </c>
    </row>
    <row r="43" spans="1:4" x14ac:dyDescent="0.3">
      <c r="A43">
        <v>1</v>
      </c>
      <c r="B43">
        <v>1</v>
      </c>
      <c r="C43">
        <v>1</v>
      </c>
      <c r="D43">
        <v>0</v>
      </c>
    </row>
    <row r="44" spans="1:4" x14ac:dyDescent="0.3">
      <c r="A44">
        <v>1</v>
      </c>
      <c r="B44">
        <v>1</v>
      </c>
      <c r="C44">
        <v>1</v>
      </c>
      <c r="D44">
        <v>0</v>
      </c>
    </row>
    <row r="45" spans="1:4" x14ac:dyDescent="0.3">
      <c r="A45">
        <v>1</v>
      </c>
      <c r="B45">
        <v>1</v>
      </c>
      <c r="C45">
        <v>1</v>
      </c>
      <c r="D45">
        <v>0</v>
      </c>
    </row>
    <row r="46" spans="1:4" x14ac:dyDescent="0.3">
      <c r="A46">
        <v>1</v>
      </c>
      <c r="B46">
        <v>1</v>
      </c>
      <c r="C46">
        <v>1</v>
      </c>
      <c r="D46">
        <v>0</v>
      </c>
    </row>
    <row r="47" spans="1:4" x14ac:dyDescent="0.3">
      <c r="A47">
        <v>1</v>
      </c>
      <c r="B47">
        <v>1</v>
      </c>
      <c r="C47">
        <v>1</v>
      </c>
      <c r="D47">
        <v>0</v>
      </c>
    </row>
    <row r="48" spans="1:4" x14ac:dyDescent="0.3">
      <c r="A48">
        <v>1</v>
      </c>
      <c r="B48">
        <v>1</v>
      </c>
      <c r="C48">
        <v>1</v>
      </c>
      <c r="D48">
        <v>0</v>
      </c>
    </row>
    <row r="49" spans="1:4" x14ac:dyDescent="0.3">
      <c r="A49">
        <v>1</v>
      </c>
      <c r="B49">
        <v>1</v>
      </c>
      <c r="C49">
        <v>1</v>
      </c>
      <c r="D49">
        <v>0</v>
      </c>
    </row>
    <row r="50" spans="1:4" x14ac:dyDescent="0.3">
      <c r="A50">
        <v>1</v>
      </c>
      <c r="B50">
        <v>1</v>
      </c>
      <c r="C50">
        <v>1</v>
      </c>
      <c r="D50">
        <v>0</v>
      </c>
    </row>
    <row r="51" spans="1:4" x14ac:dyDescent="0.3">
      <c r="A51">
        <v>1</v>
      </c>
      <c r="B51">
        <v>1</v>
      </c>
      <c r="C51">
        <v>1</v>
      </c>
      <c r="D51">
        <v>0</v>
      </c>
    </row>
    <row r="52" spans="1:4" x14ac:dyDescent="0.3">
      <c r="A52">
        <v>1</v>
      </c>
      <c r="B52">
        <v>1</v>
      </c>
      <c r="C52">
        <v>1</v>
      </c>
      <c r="D52">
        <v>0</v>
      </c>
    </row>
    <row r="53" spans="1:4" x14ac:dyDescent="0.3">
      <c r="A53">
        <v>1</v>
      </c>
      <c r="B53">
        <v>1</v>
      </c>
      <c r="C53">
        <v>1</v>
      </c>
      <c r="D53">
        <v>0</v>
      </c>
    </row>
    <row r="54" spans="1:4" x14ac:dyDescent="0.3">
      <c r="A54">
        <v>1</v>
      </c>
      <c r="B54">
        <v>1</v>
      </c>
      <c r="C54">
        <v>1</v>
      </c>
      <c r="D54">
        <v>0</v>
      </c>
    </row>
    <row r="55" spans="1:4" x14ac:dyDescent="0.3">
      <c r="A55">
        <v>1</v>
      </c>
      <c r="B55">
        <v>1</v>
      </c>
      <c r="C55">
        <v>1</v>
      </c>
      <c r="D55">
        <v>0</v>
      </c>
    </row>
    <row r="56" spans="1:4" x14ac:dyDescent="0.3">
      <c r="A56">
        <v>1</v>
      </c>
      <c r="B56">
        <v>1</v>
      </c>
      <c r="C56">
        <v>1</v>
      </c>
      <c r="D56">
        <v>0</v>
      </c>
    </row>
    <row r="57" spans="1:4" x14ac:dyDescent="0.3">
      <c r="A57">
        <v>1</v>
      </c>
      <c r="B57">
        <v>1</v>
      </c>
      <c r="C57">
        <v>1</v>
      </c>
      <c r="D57">
        <v>0</v>
      </c>
    </row>
    <row r="58" spans="1:4" x14ac:dyDescent="0.3">
      <c r="A58">
        <v>1</v>
      </c>
      <c r="B58">
        <v>1</v>
      </c>
      <c r="C58">
        <v>1</v>
      </c>
      <c r="D58">
        <v>0</v>
      </c>
    </row>
    <row r="59" spans="1:4" x14ac:dyDescent="0.3">
      <c r="A59">
        <v>1</v>
      </c>
      <c r="B59">
        <v>1</v>
      </c>
      <c r="C59">
        <v>1</v>
      </c>
      <c r="D59">
        <v>0</v>
      </c>
    </row>
    <row r="60" spans="1:4" x14ac:dyDescent="0.3">
      <c r="A60">
        <v>1</v>
      </c>
      <c r="B60">
        <v>1</v>
      </c>
      <c r="C60">
        <v>1</v>
      </c>
      <c r="D60">
        <v>0</v>
      </c>
    </row>
    <row r="61" spans="1:4" x14ac:dyDescent="0.3">
      <c r="A61">
        <v>1</v>
      </c>
      <c r="B61">
        <v>1</v>
      </c>
      <c r="C61">
        <v>1</v>
      </c>
      <c r="D61">
        <v>0</v>
      </c>
    </row>
    <row r="62" spans="1:4" x14ac:dyDescent="0.3">
      <c r="A62">
        <v>1</v>
      </c>
      <c r="B62">
        <v>1</v>
      </c>
      <c r="C62">
        <v>1</v>
      </c>
      <c r="D62">
        <v>0</v>
      </c>
    </row>
    <row r="63" spans="1:4" x14ac:dyDescent="0.3">
      <c r="A63">
        <v>1</v>
      </c>
      <c r="B63">
        <v>1</v>
      </c>
      <c r="C63">
        <v>1</v>
      </c>
      <c r="D63">
        <v>0</v>
      </c>
    </row>
    <row r="64" spans="1:4" x14ac:dyDescent="0.3">
      <c r="A64">
        <v>1</v>
      </c>
      <c r="B64">
        <v>1</v>
      </c>
      <c r="C64">
        <v>1</v>
      </c>
      <c r="D64">
        <v>0</v>
      </c>
    </row>
    <row r="65" spans="1:4" x14ac:dyDescent="0.3">
      <c r="A65">
        <v>1</v>
      </c>
      <c r="B65">
        <v>1</v>
      </c>
      <c r="C65">
        <v>1</v>
      </c>
      <c r="D65">
        <v>0</v>
      </c>
    </row>
    <row r="66" spans="1:4" x14ac:dyDescent="0.3">
      <c r="A66">
        <v>1</v>
      </c>
      <c r="B66">
        <v>1</v>
      </c>
      <c r="C66">
        <v>1</v>
      </c>
      <c r="D66">
        <v>0</v>
      </c>
    </row>
    <row r="67" spans="1:4" x14ac:dyDescent="0.3">
      <c r="A67">
        <v>1</v>
      </c>
      <c r="B67">
        <v>1</v>
      </c>
      <c r="C67">
        <v>1</v>
      </c>
      <c r="D67">
        <v>0</v>
      </c>
    </row>
    <row r="68" spans="1:4" x14ac:dyDescent="0.3">
      <c r="A68">
        <v>1</v>
      </c>
      <c r="B68">
        <v>1</v>
      </c>
      <c r="C68">
        <v>1</v>
      </c>
      <c r="D68">
        <v>0</v>
      </c>
    </row>
    <row r="69" spans="1:4" x14ac:dyDescent="0.3">
      <c r="A69">
        <v>1</v>
      </c>
      <c r="B69">
        <v>1</v>
      </c>
      <c r="C69">
        <v>1</v>
      </c>
      <c r="D69">
        <v>0</v>
      </c>
    </row>
    <row r="70" spans="1:4" x14ac:dyDescent="0.3">
      <c r="A70">
        <v>1</v>
      </c>
      <c r="B70">
        <v>1</v>
      </c>
      <c r="C70">
        <v>1</v>
      </c>
      <c r="D70">
        <v>0</v>
      </c>
    </row>
    <row r="71" spans="1:4" x14ac:dyDescent="0.3">
      <c r="A71">
        <v>1</v>
      </c>
      <c r="B71">
        <v>1</v>
      </c>
      <c r="C71">
        <v>1</v>
      </c>
      <c r="D71">
        <v>0</v>
      </c>
    </row>
    <row r="72" spans="1:4" x14ac:dyDescent="0.3">
      <c r="A72">
        <v>1</v>
      </c>
      <c r="B72">
        <v>1</v>
      </c>
      <c r="C72">
        <v>1</v>
      </c>
      <c r="D72">
        <v>0</v>
      </c>
    </row>
    <row r="73" spans="1:4" x14ac:dyDescent="0.3">
      <c r="A73">
        <v>1</v>
      </c>
      <c r="B73">
        <v>1</v>
      </c>
      <c r="C73">
        <v>1</v>
      </c>
      <c r="D73">
        <v>0</v>
      </c>
    </row>
    <row r="74" spans="1:4" x14ac:dyDescent="0.3">
      <c r="A74">
        <v>1</v>
      </c>
      <c r="B74">
        <v>1</v>
      </c>
      <c r="C74">
        <v>1</v>
      </c>
      <c r="D74">
        <v>0</v>
      </c>
    </row>
    <row r="75" spans="1:4" x14ac:dyDescent="0.3">
      <c r="A75">
        <v>1</v>
      </c>
      <c r="B75">
        <v>1</v>
      </c>
      <c r="C75">
        <v>1</v>
      </c>
      <c r="D75">
        <v>0</v>
      </c>
    </row>
    <row r="76" spans="1:4" x14ac:dyDescent="0.3">
      <c r="A76">
        <v>1</v>
      </c>
      <c r="B76">
        <v>1</v>
      </c>
      <c r="C76">
        <v>1</v>
      </c>
      <c r="D76">
        <v>0</v>
      </c>
    </row>
    <row r="77" spans="1:4" x14ac:dyDescent="0.3">
      <c r="A77">
        <v>1</v>
      </c>
      <c r="B77">
        <v>1</v>
      </c>
      <c r="C77">
        <v>1</v>
      </c>
      <c r="D77">
        <v>0</v>
      </c>
    </row>
    <row r="78" spans="1:4" x14ac:dyDescent="0.3">
      <c r="A78">
        <v>1</v>
      </c>
      <c r="B78">
        <v>1</v>
      </c>
      <c r="C78">
        <v>1</v>
      </c>
      <c r="D78">
        <v>0</v>
      </c>
    </row>
    <row r="79" spans="1:4" x14ac:dyDescent="0.3">
      <c r="A79">
        <v>1</v>
      </c>
      <c r="B79">
        <v>1</v>
      </c>
      <c r="C79">
        <v>1</v>
      </c>
      <c r="D79">
        <v>0</v>
      </c>
    </row>
    <row r="80" spans="1:4" x14ac:dyDescent="0.3">
      <c r="A80">
        <v>1</v>
      </c>
      <c r="B80">
        <v>1</v>
      </c>
      <c r="C80">
        <v>1</v>
      </c>
      <c r="D80">
        <v>0</v>
      </c>
    </row>
    <row r="81" spans="1:4" x14ac:dyDescent="0.3">
      <c r="A81">
        <v>1</v>
      </c>
      <c r="B81">
        <v>1</v>
      </c>
      <c r="C81">
        <v>1</v>
      </c>
      <c r="D81">
        <v>0</v>
      </c>
    </row>
    <row r="82" spans="1:4" x14ac:dyDescent="0.3">
      <c r="A82">
        <v>1</v>
      </c>
      <c r="B82">
        <v>1</v>
      </c>
      <c r="C82">
        <v>1</v>
      </c>
      <c r="D82">
        <v>0</v>
      </c>
    </row>
    <row r="83" spans="1:4" x14ac:dyDescent="0.3">
      <c r="A83">
        <v>1</v>
      </c>
      <c r="B83">
        <v>1</v>
      </c>
      <c r="C83">
        <v>1</v>
      </c>
      <c r="D83">
        <v>0</v>
      </c>
    </row>
    <row r="84" spans="1:4" x14ac:dyDescent="0.3">
      <c r="A84">
        <v>1</v>
      </c>
      <c r="B84">
        <v>1</v>
      </c>
      <c r="C84">
        <v>1</v>
      </c>
      <c r="D84">
        <v>0</v>
      </c>
    </row>
    <row r="85" spans="1:4" x14ac:dyDescent="0.3">
      <c r="A85">
        <v>1</v>
      </c>
      <c r="B85">
        <v>1</v>
      </c>
      <c r="C85">
        <v>1</v>
      </c>
      <c r="D85">
        <v>0</v>
      </c>
    </row>
    <row r="86" spans="1:4" x14ac:dyDescent="0.3">
      <c r="A86">
        <v>1</v>
      </c>
      <c r="B86">
        <v>1</v>
      </c>
      <c r="C86">
        <v>1</v>
      </c>
      <c r="D86">
        <v>0</v>
      </c>
    </row>
    <row r="87" spans="1:4" x14ac:dyDescent="0.3">
      <c r="A87">
        <v>1</v>
      </c>
      <c r="B87">
        <v>1</v>
      </c>
      <c r="C87">
        <v>1</v>
      </c>
      <c r="D87">
        <v>0</v>
      </c>
    </row>
    <row r="88" spans="1:4" x14ac:dyDescent="0.3">
      <c r="A88">
        <v>1</v>
      </c>
      <c r="B88">
        <v>1</v>
      </c>
      <c r="C88">
        <v>1</v>
      </c>
      <c r="D88">
        <v>0</v>
      </c>
    </row>
    <row r="89" spans="1:4" x14ac:dyDescent="0.3">
      <c r="A89">
        <v>1</v>
      </c>
      <c r="B89">
        <v>1</v>
      </c>
      <c r="C89">
        <v>1</v>
      </c>
      <c r="D89">
        <v>0</v>
      </c>
    </row>
    <row r="90" spans="1:4" x14ac:dyDescent="0.3">
      <c r="A90">
        <v>1</v>
      </c>
      <c r="B90">
        <v>1</v>
      </c>
      <c r="C90">
        <v>1</v>
      </c>
      <c r="D90">
        <v>0</v>
      </c>
    </row>
    <row r="91" spans="1:4" x14ac:dyDescent="0.3">
      <c r="A91">
        <v>1</v>
      </c>
      <c r="B91">
        <v>1</v>
      </c>
      <c r="C91">
        <v>1</v>
      </c>
      <c r="D91">
        <v>0</v>
      </c>
    </row>
    <row r="92" spans="1:4" x14ac:dyDescent="0.3">
      <c r="A92">
        <v>1</v>
      </c>
      <c r="B92">
        <v>1</v>
      </c>
      <c r="C92">
        <v>1</v>
      </c>
      <c r="D92">
        <v>0</v>
      </c>
    </row>
    <row r="93" spans="1:4" x14ac:dyDescent="0.3">
      <c r="A93">
        <v>1</v>
      </c>
      <c r="B93">
        <v>1</v>
      </c>
      <c r="C93">
        <v>1</v>
      </c>
      <c r="D93">
        <v>0</v>
      </c>
    </row>
    <row r="94" spans="1:4" x14ac:dyDescent="0.3">
      <c r="A94">
        <v>1</v>
      </c>
      <c r="B94">
        <v>1</v>
      </c>
      <c r="C94">
        <v>1</v>
      </c>
      <c r="D94">
        <v>0</v>
      </c>
    </row>
    <row r="95" spans="1:4" x14ac:dyDescent="0.3">
      <c r="A95">
        <v>1</v>
      </c>
      <c r="B95">
        <v>1</v>
      </c>
      <c r="C95">
        <v>1</v>
      </c>
      <c r="D95">
        <v>0</v>
      </c>
    </row>
    <row r="96" spans="1:4" x14ac:dyDescent="0.3">
      <c r="A96">
        <v>1</v>
      </c>
      <c r="B96">
        <v>1</v>
      </c>
      <c r="C96">
        <v>1</v>
      </c>
      <c r="D96">
        <v>0</v>
      </c>
    </row>
    <row r="97" spans="1:4" x14ac:dyDescent="0.3">
      <c r="A97">
        <v>1</v>
      </c>
      <c r="B97">
        <v>1</v>
      </c>
      <c r="C97">
        <v>1</v>
      </c>
      <c r="D97">
        <v>0</v>
      </c>
    </row>
    <row r="98" spans="1:4" x14ac:dyDescent="0.3">
      <c r="A98">
        <v>1</v>
      </c>
      <c r="B98">
        <v>1</v>
      </c>
      <c r="C98">
        <v>1</v>
      </c>
      <c r="D98">
        <v>0</v>
      </c>
    </row>
    <row r="99" spans="1:4" x14ac:dyDescent="0.3">
      <c r="A99">
        <v>1</v>
      </c>
      <c r="B99">
        <v>1</v>
      </c>
      <c r="C99">
        <v>1</v>
      </c>
      <c r="D99">
        <v>0</v>
      </c>
    </row>
    <row r="100" spans="1:4" x14ac:dyDescent="0.3">
      <c r="A100">
        <v>1</v>
      </c>
      <c r="B100">
        <v>1</v>
      </c>
      <c r="C100">
        <v>1</v>
      </c>
      <c r="D100">
        <v>0</v>
      </c>
    </row>
    <row r="101" spans="1:4" x14ac:dyDescent="0.3">
      <c r="A101">
        <v>1</v>
      </c>
      <c r="B101">
        <v>1</v>
      </c>
      <c r="C101">
        <v>1</v>
      </c>
      <c r="D101">
        <v>0</v>
      </c>
    </row>
    <row r="102" spans="1:4" x14ac:dyDescent="0.3">
      <c r="A102">
        <v>1</v>
      </c>
      <c r="B102">
        <v>1</v>
      </c>
      <c r="C102">
        <v>1</v>
      </c>
      <c r="D102">
        <v>0</v>
      </c>
    </row>
    <row r="103" spans="1:4" x14ac:dyDescent="0.3">
      <c r="A103">
        <v>1</v>
      </c>
      <c r="B103">
        <v>1</v>
      </c>
      <c r="C103">
        <v>1</v>
      </c>
      <c r="D103">
        <v>0</v>
      </c>
    </row>
    <row r="104" spans="1:4" x14ac:dyDescent="0.3">
      <c r="A104">
        <v>1</v>
      </c>
      <c r="B104">
        <v>1</v>
      </c>
      <c r="C104">
        <v>1</v>
      </c>
      <c r="D104">
        <v>0</v>
      </c>
    </row>
    <row r="105" spans="1:4" x14ac:dyDescent="0.3">
      <c r="A105">
        <v>1</v>
      </c>
      <c r="B105">
        <v>1</v>
      </c>
      <c r="C105">
        <v>1</v>
      </c>
      <c r="D105">
        <v>0</v>
      </c>
    </row>
    <row r="106" spans="1:4" x14ac:dyDescent="0.3">
      <c r="A106">
        <v>1</v>
      </c>
      <c r="B106">
        <v>1</v>
      </c>
      <c r="C106">
        <v>1</v>
      </c>
      <c r="D106">
        <v>0</v>
      </c>
    </row>
    <row r="107" spans="1:4" x14ac:dyDescent="0.3">
      <c r="A107">
        <v>1</v>
      </c>
      <c r="B107">
        <v>1</v>
      </c>
      <c r="C107">
        <v>1</v>
      </c>
      <c r="D107">
        <v>0</v>
      </c>
    </row>
    <row r="108" spans="1:4" x14ac:dyDescent="0.3">
      <c r="A108">
        <v>1</v>
      </c>
      <c r="B108">
        <v>1</v>
      </c>
      <c r="C108">
        <v>1</v>
      </c>
      <c r="D108">
        <v>0</v>
      </c>
    </row>
    <row r="109" spans="1:4" x14ac:dyDescent="0.3">
      <c r="A109">
        <v>1</v>
      </c>
      <c r="B109">
        <v>1</v>
      </c>
      <c r="C109">
        <v>1</v>
      </c>
      <c r="D109">
        <v>0</v>
      </c>
    </row>
    <row r="110" spans="1:4" x14ac:dyDescent="0.3">
      <c r="A110">
        <v>1</v>
      </c>
      <c r="B110">
        <v>1</v>
      </c>
      <c r="C110">
        <v>1</v>
      </c>
      <c r="D110">
        <v>0</v>
      </c>
    </row>
    <row r="111" spans="1:4" x14ac:dyDescent="0.3">
      <c r="A111">
        <v>1</v>
      </c>
      <c r="B111">
        <v>1</v>
      </c>
      <c r="C111">
        <v>1</v>
      </c>
      <c r="D111">
        <v>0</v>
      </c>
    </row>
    <row r="112" spans="1:4" x14ac:dyDescent="0.3">
      <c r="A112">
        <v>1</v>
      </c>
      <c r="B112">
        <v>1</v>
      </c>
      <c r="C112">
        <v>1</v>
      </c>
      <c r="D112">
        <v>0</v>
      </c>
    </row>
    <row r="113" spans="1:4" x14ac:dyDescent="0.3">
      <c r="A113">
        <v>1</v>
      </c>
      <c r="B113">
        <v>1</v>
      </c>
      <c r="C113">
        <v>1</v>
      </c>
      <c r="D113">
        <v>0</v>
      </c>
    </row>
    <row r="114" spans="1:4" x14ac:dyDescent="0.3">
      <c r="A114">
        <v>1</v>
      </c>
      <c r="B114">
        <v>1</v>
      </c>
      <c r="C114">
        <v>1</v>
      </c>
      <c r="D114">
        <v>0</v>
      </c>
    </row>
    <row r="115" spans="1:4" x14ac:dyDescent="0.3">
      <c r="A115">
        <v>1</v>
      </c>
      <c r="B115">
        <v>1</v>
      </c>
      <c r="C115">
        <v>1</v>
      </c>
      <c r="D115">
        <v>0</v>
      </c>
    </row>
    <row r="116" spans="1:4" x14ac:dyDescent="0.3">
      <c r="A116">
        <v>1</v>
      </c>
      <c r="B116">
        <v>1</v>
      </c>
      <c r="C116">
        <v>1</v>
      </c>
      <c r="D116">
        <v>0</v>
      </c>
    </row>
    <row r="117" spans="1:4" x14ac:dyDescent="0.3">
      <c r="A117">
        <v>1</v>
      </c>
      <c r="B117">
        <v>1</v>
      </c>
      <c r="C117">
        <v>1</v>
      </c>
      <c r="D117">
        <v>0</v>
      </c>
    </row>
    <row r="118" spans="1:4" x14ac:dyDescent="0.3">
      <c r="A118">
        <v>1</v>
      </c>
      <c r="B118">
        <v>1</v>
      </c>
      <c r="C118">
        <v>1</v>
      </c>
      <c r="D118">
        <v>0</v>
      </c>
    </row>
    <row r="119" spans="1:4" x14ac:dyDescent="0.3">
      <c r="A119">
        <v>1</v>
      </c>
      <c r="B119">
        <v>1</v>
      </c>
      <c r="C119">
        <v>1</v>
      </c>
      <c r="D119">
        <v>0</v>
      </c>
    </row>
    <row r="120" spans="1:4" x14ac:dyDescent="0.3">
      <c r="A120">
        <v>1</v>
      </c>
      <c r="B120">
        <v>1</v>
      </c>
      <c r="C120">
        <v>1</v>
      </c>
      <c r="D120">
        <v>0</v>
      </c>
    </row>
    <row r="121" spans="1:4" x14ac:dyDescent="0.3">
      <c r="A121">
        <v>1</v>
      </c>
      <c r="B121">
        <v>1</v>
      </c>
      <c r="C121">
        <v>1</v>
      </c>
      <c r="D121">
        <v>0</v>
      </c>
    </row>
    <row r="122" spans="1:4" x14ac:dyDescent="0.3">
      <c r="A122">
        <v>1</v>
      </c>
      <c r="B122">
        <v>1</v>
      </c>
      <c r="C122">
        <v>1</v>
      </c>
      <c r="D122">
        <v>0</v>
      </c>
    </row>
    <row r="123" spans="1:4" x14ac:dyDescent="0.3">
      <c r="A123">
        <v>1</v>
      </c>
      <c r="B123">
        <v>1</v>
      </c>
      <c r="C123">
        <v>1</v>
      </c>
      <c r="D123">
        <v>0</v>
      </c>
    </row>
    <row r="124" spans="1:4" x14ac:dyDescent="0.3">
      <c r="A124">
        <v>1</v>
      </c>
      <c r="B124">
        <v>1</v>
      </c>
      <c r="C124">
        <v>1</v>
      </c>
      <c r="D124">
        <v>0</v>
      </c>
    </row>
    <row r="125" spans="1:4" x14ac:dyDescent="0.3">
      <c r="A125">
        <v>1</v>
      </c>
      <c r="B125">
        <v>1</v>
      </c>
      <c r="C125">
        <v>1</v>
      </c>
      <c r="D125">
        <v>0</v>
      </c>
    </row>
    <row r="126" spans="1:4" x14ac:dyDescent="0.3">
      <c r="A126">
        <v>1</v>
      </c>
      <c r="B126">
        <v>1</v>
      </c>
      <c r="C126">
        <v>1</v>
      </c>
      <c r="D126">
        <v>0</v>
      </c>
    </row>
    <row r="127" spans="1:4" x14ac:dyDescent="0.3">
      <c r="A127">
        <v>1</v>
      </c>
      <c r="B127">
        <v>1</v>
      </c>
      <c r="C127">
        <v>1</v>
      </c>
      <c r="D127">
        <v>0</v>
      </c>
    </row>
    <row r="128" spans="1:4" x14ac:dyDescent="0.3">
      <c r="A128">
        <v>1</v>
      </c>
      <c r="B128">
        <v>1</v>
      </c>
      <c r="C128">
        <v>1</v>
      </c>
      <c r="D128">
        <v>0</v>
      </c>
    </row>
    <row r="129" spans="1:4" x14ac:dyDescent="0.3">
      <c r="A129">
        <v>1</v>
      </c>
      <c r="B129">
        <v>1</v>
      </c>
      <c r="C129">
        <v>1</v>
      </c>
      <c r="D129">
        <v>0</v>
      </c>
    </row>
    <row r="130" spans="1:4" x14ac:dyDescent="0.3">
      <c r="A130">
        <v>1</v>
      </c>
      <c r="B130">
        <v>1</v>
      </c>
      <c r="C130">
        <v>1</v>
      </c>
      <c r="D130">
        <v>0</v>
      </c>
    </row>
    <row r="131" spans="1:4" x14ac:dyDescent="0.3">
      <c r="A131">
        <v>1</v>
      </c>
      <c r="B131">
        <v>1</v>
      </c>
      <c r="C131">
        <v>1</v>
      </c>
      <c r="D131">
        <v>0</v>
      </c>
    </row>
    <row r="132" spans="1:4" x14ac:dyDescent="0.3">
      <c r="A132">
        <v>1</v>
      </c>
      <c r="B132">
        <v>1</v>
      </c>
      <c r="C132">
        <v>1</v>
      </c>
      <c r="D132">
        <v>0</v>
      </c>
    </row>
    <row r="133" spans="1:4" x14ac:dyDescent="0.3">
      <c r="A133">
        <v>1</v>
      </c>
      <c r="B133">
        <v>1</v>
      </c>
      <c r="C133">
        <v>1</v>
      </c>
      <c r="D133">
        <v>0</v>
      </c>
    </row>
    <row r="134" spans="1:4" x14ac:dyDescent="0.3">
      <c r="A134">
        <v>1</v>
      </c>
      <c r="B134">
        <v>1</v>
      </c>
      <c r="C134">
        <v>1</v>
      </c>
      <c r="D134">
        <v>0</v>
      </c>
    </row>
    <row r="135" spans="1:4" x14ac:dyDescent="0.3">
      <c r="A135">
        <v>1</v>
      </c>
      <c r="B135">
        <v>1</v>
      </c>
      <c r="C135">
        <v>1</v>
      </c>
      <c r="D135">
        <v>0</v>
      </c>
    </row>
    <row r="136" spans="1:4" x14ac:dyDescent="0.3">
      <c r="A136">
        <v>1</v>
      </c>
      <c r="B136">
        <v>1</v>
      </c>
      <c r="C136">
        <v>1</v>
      </c>
      <c r="D136">
        <v>0</v>
      </c>
    </row>
    <row r="137" spans="1:4" x14ac:dyDescent="0.3">
      <c r="A137">
        <v>1</v>
      </c>
      <c r="B137">
        <v>1</v>
      </c>
      <c r="C137">
        <v>1</v>
      </c>
      <c r="D137">
        <v>0</v>
      </c>
    </row>
    <row r="138" spans="1:4" x14ac:dyDescent="0.3">
      <c r="A138">
        <v>1</v>
      </c>
      <c r="B138">
        <v>1</v>
      </c>
      <c r="C138">
        <v>1</v>
      </c>
      <c r="D138">
        <v>0</v>
      </c>
    </row>
    <row r="139" spans="1:4" x14ac:dyDescent="0.3">
      <c r="A139">
        <v>1</v>
      </c>
      <c r="B139">
        <v>1</v>
      </c>
      <c r="C139">
        <v>1</v>
      </c>
      <c r="D139">
        <v>0</v>
      </c>
    </row>
    <row r="140" spans="1:4" x14ac:dyDescent="0.3">
      <c r="A140">
        <v>1</v>
      </c>
      <c r="B140">
        <v>1</v>
      </c>
      <c r="C140">
        <v>1</v>
      </c>
      <c r="D140">
        <v>0</v>
      </c>
    </row>
    <row r="141" spans="1:4" x14ac:dyDescent="0.3">
      <c r="A141">
        <v>1</v>
      </c>
      <c r="B141">
        <v>1</v>
      </c>
      <c r="C141">
        <v>1</v>
      </c>
      <c r="D141">
        <v>0</v>
      </c>
    </row>
    <row r="142" spans="1:4" x14ac:dyDescent="0.3">
      <c r="A142">
        <v>1</v>
      </c>
      <c r="B142">
        <v>1</v>
      </c>
      <c r="C142">
        <v>1</v>
      </c>
      <c r="D142">
        <v>0</v>
      </c>
    </row>
    <row r="143" spans="1:4" x14ac:dyDescent="0.3">
      <c r="A143">
        <v>1</v>
      </c>
      <c r="B143">
        <v>1</v>
      </c>
      <c r="C143">
        <v>1</v>
      </c>
      <c r="D143">
        <v>0</v>
      </c>
    </row>
    <row r="144" spans="1:4" x14ac:dyDescent="0.3">
      <c r="A144">
        <v>1</v>
      </c>
      <c r="B144">
        <v>1</v>
      </c>
      <c r="C144">
        <v>1</v>
      </c>
      <c r="D144">
        <v>0</v>
      </c>
    </row>
    <row r="145" spans="1:4" x14ac:dyDescent="0.3">
      <c r="A145">
        <v>1</v>
      </c>
      <c r="B145">
        <v>1</v>
      </c>
      <c r="C145">
        <v>1</v>
      </c>
      <c r="D145">
        <v>0</v>
      </c>
    </row>
    <row r="146" spans="1:4" x14ac:dyDescent="0.3">
      <c r="A146">
        <v>1</v>
      </c>
      <c r="B146">
        <v>1</v>
      </c>
      <c r="C146">
        <v>1</v>
      </c>
      <c r="D146">
        <v>0</v>
      </c>
    </row>
    <row r="147" spans="1:4" x14ac:dyDescent="0.3">
      <c r="A147">
        <v>1</v>
      </c>
      <c r="B147">
        <v>1</v>
      </c>
      <c r="C147">
        <v>1</v>
      </c>
      <c r="D147">
        <v>0</v>
      </c>
    </row>
    <row r="148" spans="1:4" x14ac:dyDescent="0.3">
      <c r="A148">
        <v>1</v>
      </c>
      <c r="B148">
        <v>1</v>
      </c>
      <c r="C148">
        <v>1</v>
      </c>
      <c r="D148">
        <v>0</v>
      </c>
    </row>
    <row r="149" spans="1:4" x14ac:dyDescent="0.3">
      <c r="A149">
        <v>1</v>
      </c>
      <c r="B149">
        <v>1</v>
      </c>
      <c r="C149">
        <v>1</v>
      </c>
      <c r="D149">
        <v>0</v>
      </c>
    </row>
    <row r="150" spans="1:4" x14ac:dyDescent="0.3">
      <c r="A150">
        <v>1</v>
      </c>
      <c r="B150">
        <v>1</v>
      </c>
      <c r="C150">
        <v>1</v>
      </c>
      <c r="D150">
        <v>0</v>
      </c>
    </row>
    <row r="151" spans="1:4" x14ac:dyDescent="0.3">
      <c r="A151">
        <v>1</v>
      </c>
      <c r="B151">
        <v>1</v>
      </c>
      <c r="C151">
        <v>1</v>
      </c>
      <c r="D151">
        <v>0</v>
      </c>
    </row>
    <row r="152" spans="1:4" x14ac:dyDescent="0.3">
      <c r="A152">
        <v>1</v>
      </c>
      <c r="B152">
        <v>1</v>
      </c>
      <c r="C152">
        <v>1</v>
      </c>
      <c r="D152">
        <v>0</v>
      </c>
    </row>
    <row r="153" spans="1:4" x14ac:dyDescent="0.3">
      <c r="A153">
        <v>1</v>
      </c>
      <c r="B153">
        <v>1</v>
      </c>
      <c r="C153">
        <v>1</v>
      </c>
      <c r="D153">
        <v>0</v>
      </c>
    </row>
    <row r="154" spans="1:4" x14ac:dyDescent="0.3">
      <c r="A154">
        <v>1</v>
      </c>
      <c r="B154">
        <v>1</v>
      </c>
      <c r="C154">
        <v>1</v>
      </c>
      <c r="D154">
        <v>0</v>
      </c>
    </row>
    <row r="155" spans="1:4" x14ac:dyDescent="0.3">
      <c r="A155">
        <v>1</v>
      </c>
      <c r="B155">
        <v>1</v>
      </c>
      <c r="C155">
        <v>1</v>
      </c>
      <c r="D155">
        <v>0</v>
      </c>
    </row>
    <row r="156" spans="1:4" x14ac:dyDescent="0.3">
      <c r="A156">
        <v>1</v>
      </c>
      <c r="B156">
        <v>1</v>
      </c>
      <c r="C156">
        <v>1</v>
      </c>
      <c r="D156">
        <v>0</v>
      </c>
    </row>
    <row r="157" spans="1:4" x14ac:dyDescent="0.3">
      <c r="A157">
        <v>1</v>
      </c>
      <c r="B157">
        <v>1</v>
      </c>
      <c r="C157">
        <v>1</v>
      </c>
      <c r="D157">
        <v>0</v>
      </c>
    </row>
    <row r="158" spans="1:4" x14ac:dyDescent="0.3">
      <c r="A158">
        <v>1</v>
      </c>
      <c r="B158">
        <v>1</v>
      </c>
      <c r="C158">
        <v>1</v>
      </c>
      <c r="D158">
        <v>0</v>
      </c>
    </row>
    <row r="159" spans="1:4" x14ac:dyDescent="0.3">
      <c r="A159">
        <v>1</v>
      </c>
      <c r="B159">
        <v>1</v>
      </c>
      <c r="C159">
        <v>1</v>
      </c>
      <c r="D159">
        <v>0</v>
      </c>
    </row>
    <row r="160" spans="1:4" x14ac:dyDescent="0.3">
      <c r="A160">
        <v>1</v>
      </c>
      <c r="B160">
        <v>1</v>
      </c>
      <c r="C160">
        <v>1</v>
      </c>
      <c r="D160">
        <v>0</v>
      </c>
    </row>
    <row r="161" spans="1:4" x14ac:dyDescent="0.3">
      <c r="A161">
        <v>1</v>
      </c>
      <c r="B161">
        <v>1</v>
      </c>
      <c r="C161">
        <v>1</v>
      </c>
      <c r="D161">
        <v>0</v>
      </c>
    </row>
    <row r="162" spans="1:4" x14ac:dyDescent="0.3">
      <c r="A162">
        <v>1</v>
      </c>
      <c r="B162">
        <v>1</v>
      </c>
      <c r="C162">
        <v>1</v>
      </c>
      <c r="D162">
        <v>0</v>
      </c>
    </row>
    <row r="163" spans="1:4" x14ac:dyDescent="0.3">
      <c r="A163">
        <v>1</v>
      </c>
      <c r="B163">
        <v>1</v>
      </c>
      <c r="C163">
        <v>1</v>
      </c>
      <c r="D163">
        <v>0</v>
      </c>
    </row>
    <row r="164" spans="1:4" x14ac:dyDescent="0.3">
      <c r="A164">
        <v>1</v>
      </c>
      <c r="B164">
        <v>1</v>
      </c>
      <c r="C164">
        <v>1</v>
      </c>
      <c r="D164">
        <v>0</v>
      </c>
    </row>
    <row r="165" spans="1:4" x14ac:dyDescent="0.3">
      <c r="A165">
        <v>1</v>
      </c>
      <c r="B165">
        <v>1</v>
      </c>
      <c r="C165">
        <v>1</v>
      </c>
      <c r="D165">
        <v>0</v>
      </c>
    </row>
    <row r="166" spans="1:4" x14ac:dyDescent="0.3">
      <c r="A166">
        <v>1</v>
      </c>
      <c r="B166">
        <v>1</v>
      </c>
      <c r="C166">
        <v>1</v>
      </c>
      <c r="D166">
        <v>0</v>
      </c>
    </row>
    <row r="167" spans="1:4" x14ac:dyDescent="0.3">
      <c r="A167">
        <v>1</v>
      </c>
      <c r="B167">
        <v>1</v>
      </c>
      <c r="C167">
        <v>1</v>
      </c>
      <c r="D167">
        <v>0</v>
      </c>
    </row>
    <row r="168" spans="1:4" x14ac:dyDescent="0.3">
      <c r="A168">
        <v>1</v>
      </c>
      <c r="B168">
        <v>1</v>
      </c>
      <c r="C168">
        <v>1</v>
      </c>
      <c r="D168">
        <v>0</v>
      </c>
    </row>
    <row r="169" spans="1:4" x14ac:dyDescent="0.3">
      <c r="A169">
        <v>1</v>
      </c>
      <c r="B169">
        <v>1</v>
      </c>
      <c r="C169">
        <v>1</v>
      </c>
      <c r="D169">
        <v>0</v>
      </c>
    </row>
    <row r="170" spans="1:4" x14ac:dyDescent="0.3">
      <c r="A170">
        <v>1</v>
      </c>
      <c r="B170">
        <v>1</v>
      </c>
      <c r="C170">
        <v>1</v>
      </c>
      <c r="D170">
        <v>0</v>
      </c>
    </row>
    <row r="171" spans="1:4" x14ac:dyDescent="0.3">
      <c r="A171">
        <v>1</v>
      </c>
      <c r="B171">
        <v>1</v>
      </c>
      <c r="C171">
        <v>1</v>
      </c>
      <c r="D171">
        <v>0</v>
      </c>
    </row>
    <row r="172" spans="1:4" x14ac:dyDescent="0.3">
      <c r="A172">
        <v>1</v>
      </c>
      <c r="B172">
        <v>1</v>
      </c>
      <c r="C172">
        <v>1</v>
      </c>
      <c r="D172">
        <v>0</v>
      </c>
    </row>
    <row r="173" spans="1:4" x14ac:dyDescent="0.3">
      <c r="A173">
        <v>1</v>
      </c>
      <c r="B173">
        <v>1</v>
      </c>
      <c r="C173">
        <v>1</v>
      </c>
      <c r="D173">
        <v>0</v>
      </c>
    </row>
    <row r="174" spans="1:4" x14ac:dyDescent="0.3">
      <c r="A174">
        <v>1</v>
      </c>
      <c r="B174">
        <v>1</v>
      </c>
      <c r="C174">
        <v>1</v>
      </c>
      <c r="D174">
        <v>0</v>
      </c>
    </row>
    <row r="175" spans="1:4" x14ac:dyDescent="0.3">
      <c r="A175">
        <v>1</v>
      </c>
      <c r="B175">
        <v>1</v>
      </c>
      <c r="C175">
        <v>1</v>
      </c>
      <c r="D175">
        <v>0</v>
      </c>
    </row>
    <row r="176" spans="1:4" x14ac:dyDescent="0.3">
      <c r="A176">
        <v>1</v>
      </c>
      <c r="B176">
        <v>1</v>
      </c>
      <c r="C176">
        <v>1</v>
      </c>
      <c r="D176">
        <v>0</v>
      </c>
    </row>
    <row r="177" spans="1:4" x14ac:dyDescent="0.3">
      <c r="A177">
        <v>1</v>
      </c>
      <c r="B177">
        <v>1</v>
      </c>
      <c r="C177">
        <v>1</v>
      </c>
      <c r="D177">
        <v>0</v>
      </c>
    </row>
    <row r="178" spans="1:4" x14ac:dyDescent="0.3">
      <c r="A178">
        <v>1</v>
      </c>
      <c r="B178">
        <v>1</v>
      </c>
      <c r="C178">
        <v>1</v>
      </c>
      <c r="D178">
        <v>0</v>
      </c>
    </row>
    <row r="179" spans="1:4" x14ac:dyDescent="0.3">
      <c r="A179">
        <v>1</v>
      </c>
      <c r="B179">
        <v>1</v>
      </c>
      <c r="C179">
        <v>1</v>
      </c>
      <c r="D179">
        <v>0</v>
      </c>
    </row>
    <row r="180" spans="1:4" x14ac:dyDescent="0.3">
      <c r="A180">
        <v>1</v>
      </c>
      <c r="B180">
        <v>1</v>
      </c>
      <c r="C180">
        <v>1</v>
      </c>
      <c r="D180">
        <v>0</v>
      </c>
    </row>
    <row r="181" spans="1:4" x14ac:dyDescent="0.3">
      <c r="A181">
        <v>1</v>
      </c>
      <c r="B181">
        <v>1</v>
      </c>
      <c r="C181">
        <v>1</v>
      </c>
      <c r="D181">
        <v>0</v>
      </c>
    </row>
    <row r="182" spans="1:4" x14ac:dyDescent="0.3">
      <c r="A182">
        <v>1</v>
      </c>
      <c r="B182">
        <v>1</v>
      </c>
      <c r="C182">
        <v>1</v>
      </c>
      <c r="D182">
        <v>0</v>
      </c>
    </row>
    <row r="183" spans="1:4" x14ac:dyDescent="0.3">
      <c r="A183">
        <v>1</v>
      </c>
      <c r="B183">
        <v>1</v>
      </c>
      <c r="C183">
        <v>1</v>
      </c>
      <c r="D183">
        <v>0</v>
      </c>
    </row>
    <row r="184" spans="1:4" x14ac:dyDescent="0.3">
      <c r="A184">
        <v>1</v>
      </c>
      <c r="B184">
        <v>1</v>
      </c>
      <c r="C184">
        <v>1</v>
      </c>
      <c r="D184">
        <v>0</v>
      </c>
    </row>
    <row r="185" spans="1:4" x14ac:dyDescent="0.3">
      <c r="A185">
        <v>1</v>
      </c>
      <c r="B185">
        <v>1</v>
      </c>
      <c r="C185">
        <v>1</v>
      </c>
      <c r="D185">
        <v>0</v>
      </c>
    </row>
    <row r="186" spans="1:4" x14ac:dyDescent="0.3">
      <c r="A186">
        <v>1</v>
      </c>
      <c r="B186">
        <v>1</v>
      </c>
      <c r="C186">
        <v>1</v>
      </c>
      <c r="D186">
        <v>0</v>
      </c>
    </row>
    <row r="187" spans="1:4" x14ac:dyDescent="0.3">
      <c r="A187">
        <v>1</v>
      </c>
      <c r="B187">
        <v>1</v>
      </c>
      <c r="C187">
        <v>1</v>
      </c>
      <c r="D187">
        <v>0</v>
      </c>
    </row>
    <row r="188" spans="1:4" x14ac:dyDescent="0.3">
      <c r="A188">
        <v>1</v>
      </c>
      <c r="B188">
        <v>1</v>
      </c>
      <c r="C188">
        <v>1</v>
      </c>
      <c r="D188">
        <v>0</v>
      </c>
    </row>
    <row r="189" spans="1:4" x14ac:dyDescent="0.3">
      <c r="A189">
        <v>1</v>
      </c>
      <c r="B189">
        <v>1</v>
      </c>
      <c r="C189">
        <v>1</v>
      </c>
      <c r="D189">
        <v>0</v>
      </c>
    </row>
    <row r="190" spans="1:4" x14ac:dyDescent="0.3">
      <c r="A190">
        <v>1</v>
      </c>
      <c r="B190">
        <v>1</v>
      </c>
      <c r="C190">
        <v>1</v>
      </c>
      <c r="D190">
        <v>0</v>
      </c>
    </row>
    <row r="191" spans="1:4" x14ac:dyDescent="0.3">
      <c r="A191">
        <v>1</v>
      </c>
      <c r="B191">
        <v>1</v>
      </c>
      <c r="C191">
        <v>1</v>
      </c>
      <c r="D191">
        <v>0</v>
      </c>
    </row>
    <row r="192" spans="1:4" x14ac:dyDescent="0.3">
      <c r="A192">
        <v>1</v>
      </c>
      <c r="B192">
        <v>1</v>
      </c>
      <c r="C192">
        <v>1</v>
      </c>
      <c r="D192">
        <v>0</v>
      </c>
    </row>
    <row r="193" spans="1:4" x14ac:dyDescent="0.3">
      <c r="A193">
        <v>1</v>
      </c>
      <c r="B193">
        <v>1</v>
      </c>
      <c r="C193">
        <v>1</v>
      </c>
      <c r="D193">
        <v>0</v>
      </c>
    </row>
    <row r="194" spans="1:4" x14ac:dyDescent="0.3">
      <c r="A194">
        <v>1</v>
      </c>
      <c r="B194">
        <v>1</v>
      </c>
      <c r="C194">
        <v>1</v>
      </c>
      <c r="D194">
        <v>0</v>
      </c>
    </row>
    <row r="195" spans="1:4" x14ac:dyDescent="0.3">
      <c r="A195">
        <v>1</v>
      </c>
      <c r="B195">
        <v>1</v>
      </c>
      <c r="C195">
        <v>1</v>
      </c>
      <c r="D195">
        <v>0</v>
      </c>
    </row>
    <row r="196" spans="1:4" x14ac:dyDescent="0.3">
      <c r="A196">
        <v>1</v>
      </c>
      <c r="B196">
        <v>1</v>
      </c>
      <c r="C196">
        <v>1</v>
      </c>
      <c r="D196">
        <v>0</v>
      </c>
    </row>
    <row r="197" spans="1:4" x14ac:dyDescent="0.3">
      <c r="A197">
        <v>1</v>
      </c>
      <c r="B197">
        <v>1</v>
      </c>
      <c r="C197">
        <v>1</v>
      </c>
      <c r="D197">
        <v>0</v>
      </c>
    </row>
    <row r="198" spans="1:4" x14ac:dyDescent="0.3">
      <c r="A198">
        <v>1</v>
      </c>
      <c r="B198">
        <v>1</v>
      </c>
      <c r="C198">
        <v>1</v>
      </c>
      <c r="D198">
        <v>0</v>
      </c>
    </row>
    <row r="199" spans="1:4" x14ac:dyDescent="0.3">
      <c r="A199">
        <v>1</v>
      </c>
      <c r="B199">
        <v>1</v>
      </c>
      <c r="C199">
        <v>1</v>
      </c>
      <c r="D199">
        <v>0</v>
      </c>
    </row>
    <row r="200" spans="1:4" x14ac:dyDescent="0.3">
      <c r="A200">
        <v>1</v>
      </c>
      <c r="B200">
        <v>1</v>
      </c>
      <c r="C200">
        <v>1</v>
      </c>
      <c r="D200">
        <v>0</v>
      </c>
    </row>
    <row r="201" spans="1:4" x14ac:dyDescent="0.3">
      <c r="A201">
        <v>1</v>
      </c>
      <c r="B201">
        <v>1</v>
      </c>
      <c r="C201">
        <v>1</v>
      </c>
      <c r="D201">
        <v>0</v>
      </c>
    </row>
    <row r="202" spans="1:4" x14ac:dyDescent="0.3">
      <c r="A202">
        <v>1</v>
      </c>
      <c r="B202">
        <v>1</v>
      </c>
      <c r="C202">
        <v>1</v>
      </c>
      <c r="D202">
        <v>0</v>
      </c>
    </row>
    <row r="203" spans="1:4" x14ac:dyDescent="0.3">
      <c r="A203">
        <v>1</v>
      </c>
      <c r="B203">
        <v>1</v>
      </c>
      <c r="C203">
        <v>1</v>
      </c>
      <c r="D203">
        <v>0</v>
      </c>
    </row>
    <row r="204" spans="1:4" x14ac:dyDescent="0.3">
      <c r="A204">
        <v>1</v>
      </c>
      <c r="B204">
        <v>1</v>
      </c>
      <c r="C204">
        <v>1</v>
      </c>
      <c r="D204">
        <v>0</v>
      </c>
    </row>
    <row r="205" spans="1:4" x14ac:dyDescent="0.3">
      <c r="A205">
        <v>1</v>
      </c>
      <c r="B205">
        <v>1</v>
      </c>
      <c r="C205">
        <v>1</v>
      </c>
      <c r="D205">
        <v>0</v>
      </c>
    </row>
    <row r="206" spans="1:4" x14ac:dyDescent="0.3">
      <c r="A206">
        <v>1</v>
      </c>
      <c r="B206">
        <v>1</v>
      </c>
      <c r="C206">
        <v>1</v>
      </c>
      <c r="D206">
        <v>0</v>
      </c>
    </row>
    <row r="207" spans="1:4" x14ac:dyDescent="0.3">
      <c r="A207">
        <v>1</v>
      </c>
      <c r="B207">
        <v>1</v>
      </c>
      <c r="C207">
        <v>1</v>
      </c>
      <c r="D207">
        <v>0</v>
      </c>
    </row>
    <row r="208" spans="1:4" x14ac:dyDescent="0.3">
      <c r="A208">
        <v>1</v>
      </c>
      <c r="B208">
        <v>1</v>
      </c>
      <c r="C208">
        <v>1</v>
      </c>
      <c r="D208">
        <v>0</v>
      </c>
    </row>
    <row r="209" spans="1:4" x14ac:dyDescent="0.3">
      <c r="A209">
        <v>1</v>
      </c>
      <c r="B209">
        <v>1</v>
      </c>
      <c r="C209">
        <v>1</v>
      </c>
      <c r="D209">
        <v>0</v>
      </c>
    </row>
    <row r="210" spans="1:4" x14ac:dyDescent="0.3">
      <c r="A210">
        <v>1</v>
      </c>
      <c r="B210">
        <v>1</v>
      </c>
      <c r="C210">
        <v>1</v>
      </c>
      <c r="D210">
        <v>0</v>
      </c>
    </row>
    <row r="211" spans="1:4" x14ac:dyDescent="0.3">
      <c r="A211">
        <v>1</v>
      </c>
      <c r="B211">
        <v>1</v>
      </c>
      <c r="C211">
        <v>1</v>
      </c>
      <c r="D211">
        <v>0</v>
      </c>
    </row>
    <row r="212" spans="1:4" x14ac:dyDescent="0.3">
      <c r="A212">
        <v>1</v>
      </c>
      <c r="B212">
        <v>1</v>
      </c>
      <c r="C212">
        <v>1</v>
      </c>
      <c r="D212">
        <v>0</v>
      </c>
    </row>
    <row r="213" spans="1:4" x14ac:dyDescent="0.3">
      <c r="A213">
        <v>1</v>
      </c>
      <c r="B213">
        <v>1</v>
      </c>
      <c r="C213">
        <v>1</v>
      </c>
      <c r="D213">
        <v>0</v>
      </c>
    </row>
    <row r="214" spans="1:4" x14ac:dyDescent="0.3">
      <c r="A214">
        <v>1</v>
      </c>
      <c r="B214">
        <v>1</v>
      </c>
      <c r="C214">
        <v>1</v>
      </c>
      <c r="D214">
        <v>0</v>
      </c>
    </row>
    <row r="215" spans="1:4" x14ac:dyDescent="0.3">
      <c r="A215">
        <v>1</v>
      </c>
      <c r="B215">
        <v>1</v>
      </c>
      <c r="C215">
        <v>1</v>
      </c>
      <c r="D215">
        <v>0</v>
      </c>
    </row>
    <row r="216" spans="1:4" x14ac:dyDescent="0.3">
      <c r="A216">
        <v>1</v>
      </c>
      <c r="B216">
        <v>1</v>
      </c>
      <c r="C216">
        <v>1</v>
      </c>
      <c r="D216">
        <v>0</v>
      </c>
    </row>
    <row r="217" spans="1:4" x14ac:dyDescent="0.3">
      <c r="A217">
        <v>1</v>
      </c>
      <c r="B217">
        <v>1</v>
      </c>
      <c r="C217">
        <v>1</v>
      </c>
      <c r="D217">
        <v>0</v>
      </c>
    </row>
    <row r="218" spans="1:4" x14ac:dyDescent="0.3">
      <c r="A218">
        <v>1</v>
      </c>
      <c r="B218">
        <v>1</v>
      </c>
      <c r="C218">
        <v>1</v>
      </c>
      <c r="D218">
        <v>0</v>
      </c>
    </row>
    <row r="219" spans="1:4" x14ac:dyDescent="0.3">
      <c r="A219">
        <v>1</v>
      </c>
      <c r="B219">
        <v>1</v>
      </c>
      <c r="C219">
        <v>1</v>
      </c>
      <c r="D219">
        <v>0</v>
      </c>
    </row>
    <row r="220" spans="1:4" x14ac:dyDescent="0.3">
      <c r="A220">
        <v>1</v>
      </c>
      <c r="B220">
        <v>1</v>
      </c>
      <c r="C220">
        <v>1</v>
      </c>
      <c r="D220">
        <v>0</v>
      </c>
    </row>
    <row r="221" spans="1:4" x14ac:dyDescent="0.3">
      <c r="A221">
        <v>1</v>
      </c>
      <c r="B221">
        <v>1</v>
      </c>
      <c r="C221">
        <v>1</v>
      </c>
      <c r="D221">
        <v>0</v>
      </c>
    </row>
    <row r="222" spans="1:4" x14ac:dyDescent="0.3">
      <c r="A222">
        <v>1</v>
      </c>
      <c r="B222">
        <v>1</v>
      </c>
      <c r="C222">
        <v>1</v>
      </c>
      <c r="D222">
        <v>0</v>
      </c>
    </row>
    <row r="223" spans="1:4" x14ac:dyDescent="0.3">
      <c r="A223">
        <v>1</v>
      </c>
      <c r="B223">
        <v>1</v>
      </c>
      <c r="C223">
        <v>1</v>
      </c>
      <c r="D223">
        <v>0</v>
      </c>
    </row>
    <row r="224" spans="1:4" x14ac:dyDescent="0.3">
      <c r="A224">
        <v>1</v>
      </c>
      <c r="B224">
        <v>1</v>
      </c>
      <c r="C224">
        <v>1</v>
      </c>
      <c r="D224">
        <v>0</v>
      </c>
    </row>
    <row r="225" spans="1:4" x14ac:dyDescent="0.3">
      <c r="A225">
        <v>1</v>
      </c>
      <c r="B225">
        <v>1</v>
      </c>
      <c r="C225">
        <v>1</v>
      </c>
      <c r="D225">
        <v>0</v>
      </c>
    </row>
    <row r="226" spans="1:4" x14ac:dyDescent="0.3">
      <c r="A226">
        <v>1</v>
      </c>
      <c r="B226">
        <v>1</v>
      </c>
      <c r="C226">
        <v>1</v>
      </c>
      <c r="D226">
        <v>0</v>
      </c>
    </row>
    <row r="227" spans="1:4" x14ac:dyDescent="0.3">
      <c r="A227">
        <v>1</v>
      </c>
      <c r="B227">
        <v>1</v>
      </c>
      <c r="C227">
        <v>1</v>
      </c>
      <c r="D227">
        <v>0</v>
      </c>
    </row>
    <row r="228" spans="1:4" x14ac:dyDescent="0.3">
      <c r="A228">
        <v>1</v>
      </c>
      <c r="B228">
        <v>1</v>
      </c>
      <c r="C228">
        <v>1</v>
      </c>
      <c r="D228">
        <v>0</v>
      </c>
    </row>
    <row r="229" spans="1:4" x14ac:dyDescent="0.3">
      <c r="A229">
        <v>1</v>
      </c>
      <c r="B229">
        <v>1</v>
      </c>
      <c r="C229">
        <v>1</v>
      </c>
      <c r="D229">
        <v>0</v>
      </c>
    </row>
    <row r="230" spans="1:4" x14ac:dyDescent="0.3">
      <c r="A230">
        <v>1</v>
      </c>
      <c r="B230">
        <v>1</v>
      </c>
      <c r="C230">
        <v>1</v>
      </c>
      <c r="D230">
        <v>0</v>
      </c>
    </row>
    <row r="231" spans="1:4" x14ac:dyDescent="0.3">
      <c r="A231">
        <v>1</v>
      </c>
      <c r="B231">
        <v>1</v>
      </c>
      <c r="C231">
        <v>1</v>
      </c>
      <c r="D231">
        <v>0</v>
      </c>
    </row>
    <row r="232" spans="1:4" x14ac:dyDescent="0.3">
      <c r="A232">
        <v>1</v>
      </c>
      <c r="B232">
        <v>1</v>
      </c>
      <c r="C232">
        <v>1</v>
      </c>
      <c r="D232">
        <v>0</v>
      </c>
    </row>
    <row r="233" spans="1:4" x14ac:dyDescent="0.3">
      <c r="A233">
        <v>1</v>
      </c>
      <c r="B233">
        <v>1</v>
      </c>
      <c r="C233">
        <v>1</v>
      </c>
      <c r="D233">
        <v>0</v>
      </c>
    </row>
    <row r="234" spans="1:4" x14ac:dyDescent="0.3">
      <c r="A234">
        <v>1</v>
      </c>
      <c r="B234">
        <v>1</v>
      </c>
      <c r="C234">
        <v>1</v>
      </c>
      <c r="D234">
        <v>0</v>
      </c>
    </row>
    <row r="235" spans="1:4" x14ac:dyDescent="0.3">
      <c r="A235">
        <v>1</v>
      </c>
      <c r="B235">
        <v>1</v>
      </c>
      <c r="C235">
        <v>1</v>
      </c>
      <c r="D235">
        <v>0</v>
      </c>
    </row>
    <row r="236" spans="1:4" x14ac:dyDescent="0.3">
      <c r="A236">
        <v>1</v>
      </c>
      <c r="B236">
        <v>1</v>
      </c>
      <c r="C236">
        <v>1</v>
      </c>
      <c r="D236">
        <v>0</v>
      </c>
    </row>
    <row r="237" spans="1:4" x14ac:dyDescent="0.3">
      <c r="A237">
        <v>1</v>
      </c>
      <c r="B237">
        <v>1</v>
      </c>
      <c r="C237">
        <v>1</v>
      </c>
      <c r="D237">
        <v>0</v>
      </c>
    </row>
    <row r="238" spans="1:4" x14ac:dyDescent="0.3">
      <c r="A238">
        <v>1</v>
      </c>
      <c r="B238">
        <v>1</v>
      </c>
      <c r="C238">
        <v>1</v>
      </c>
      <c r="D238">
        <v>0</v>
      </c>
    </row>
    <row r="239" spans="1:4" x14ac:dyDescent="0.3">
      <c r="A239">
        <v>1</v>
      </c>
      <c r="B239">
        <v>1</v>
      </c>
      <c r="C239">
        <v>1</v>
      </c>
      <c r="D239">
        <v>0</v>
      </c>
    </row>
    <row r="240" spans="1:4" x14ac:dyDescent="0.3">
      <c r="A240">
        <v>1</v>
      </c>
      <c r="B240">
        <v>1</v>
      </c>
      <c r="C240">
        <v>1</v>
      </c>
      <c r="D240">
        <v>0</v>
      </c>
    </row>
    <row r="241" spans="1:4" x14ac:dyDescent="0.3">
      <c r="A241">
        <v>1</v>
      </c>
      <c r="B241">
        <v>1</v>
      </c>
      <c r="C241">
        <v>1</v>
      </c>
      <c r="D241">
        <v>0</v>
      </c>
    </row>
    <row r="242" spans="1:4" x14ac:dyDescent="0.3">
      <c r="A242">
        <v>1</v>
      </c>
      <c r="B242">
        <v>1</v>
      </c>
      <c r="C242">
        <v>1</v>
      </c>
      <c r="D242">
        <v>0</v>
      </c>
    </row>
    <row r="243" spans="1:4" x14ac:dyDescent="0.3">
      <c r="A243">
        <v>1</v>
      </c>
      <c r="B243">
        <v>1</v>
      </c>
      <c r="C243">
        <v>1</v>
      </c>
      <c r="D243">
        <v>0</v>
      </c>
    </row>
    <row r="244" spans="1:4" x14ac:dyDescent="0.3">
      <c r="A244">
        <v>1</v>
      </c>
      <c r="B244">
        <v>1</v>
      </c>
      <c r="C244">
        <v>1</v>
      </c>
      <c r="D244">
        <v>0</v>
      </c>
    </row>
    <row r="245" spans="1:4" x14ac:dyDescent="0.3">
      <c r="A245">
        <v>1</v>
      </c>
      <c r="B245">
        <v>1</v>
      </c>
      <c r="C245">
        <v>1</v>
      </c>
      <c r="D245">
        <v>0</v>
      </c>
    </row>
    <row r="246" spans="1:4" x14ac:dyDescent="0.3">
      <c r="A246">
        <v>1</v>
      </c>
      <c r="B246">
        <v>1</v>
      </c>
      <c r="C246">
        <v>1</v>
      </c>
      <c r="D246">
        <v>0</v>
      </c>
    </row>
    <row r="247" spans="1:4" x14ac:dyDescent="0.3">
      <c r="A247">
        <v>1</v>
      </c>
      <c r="B247">
        <v>1</v>
      </c>
      <c r="C247">
        <v>1</v>
      </c>
      <c r="D247">
        <v>0</v>
      </c>
    </row>
    <row r="248" spans="1:4" x14ac:dyDescent="0.3">
      <c r="A248">
        <v>1</v>
      </c>
      <c r="B248">
        <v>1</v>
      </c>
      <c r="C248">
        <v>1</v>
      </c>
      <c r="D248">
        <v>0</v>
      </c>
    </row>
    <row r="249" spans="1:4" x14ac:dyDescent="0.3">
      <c r="A249">
        <v>1</v>
      </c>
      <c r="B249">
        <v>1</v>
      </c>
      <c r="C249">
        <v>1</v>
      </c>
      <c r="D249">
        <v>0</v>
      </c>
    </row>
    <row r="250" spans="1:4" x14ac:dyDescent="0.3">
      <c r="A250">
        <v>1</v>
      </c>
      <c r="B250">
        <v>1</v>
      </c>
      <c r="C250">
        <v>1</v>
      </c>
      <c r="D250">
        <v>0</v>
      </c>
    </row>
    <row r="251" spans="1:4" x14ac:dyDescent="0.3">
      <c r="A251">
        <v>1</v>
      </c>
      <c r="B251">
        <v>1</v>
      </c>
      <c r="C251">
        <v>1</v>
      </c>
      <c r="D251">
        <v>0</v>
      </c>
    </row>
    <row r="252" spans="1:4" x14ac:dyDescent="0.3">
      <c r="A252">
        <v>1</v>
      </c>
      <c r="B252">
        <v>1</v>
      </c>
      <c r="C252">
        <v>1</v>
      </c>
      <c r="D252">
        <v>0</v>
      </c>
    </row>
    <row r="253" spans="1:4" x14ac:dyDescent="0.3">
      <c r="A253">
        <v>1</v>
      </c>
      <c r="B253">
        <v>1</v>
      </c>
      <c r="C253">
        <v>1</v>
      </c>
      <c r="D253">
        <v>0</v>
      </c>
    </row>
    <row r="254" spans="1:4" x14ac:dyDescent="0.3">
      <c r="A254">
        <v>1</v>
      </c>
      <c r="B254">
        <v>1</v>
      </c>
      <c r="C254">
        <v>1</v>
      </c>
      <c r="D254">
        <v>0</v>
      </c>
    </row>
    <row r="255" spans="1:4" x14ac:dyDescent="0.3">
      <c r="A255">
        <v>1</v>
      </c>
      <c r="B255">
        <v>1</v>
      </c>
      <c r="C255">
        <v>1</v>
      </c>
      <c r="D255">
        <v>0</v>
      </c>
    </row>
    <row r="256" spans="1:4" x14ac:dyDescent="0.3">
      <c r="A256">
        <v>1</v>
      </c>
      <c r="B256">
        <v>1</v>
      </c>
      <c r="C256">
        <v>1</v>
      </c>
      <c r="D256">
        <v>0</v>
      </c>
    </row>
    <row r="257" spans="1:4" x14ac:dyDescent="0.3">
      <c r="A257">
        <v>1</v>
      </c>
      <c r="B257">
        <v>1</v>
      </c>
      <c r="C257">
        <v>1</v>
      </c>
      <c r="D257">
        <v>0</v>
      </c>
    </row>
    <row r="258" spans="1:4" x14ac:dyDescent="0.3">
      <c r="A258">
        <v>1</v>
      </c>
      <c r="B258">
        <v>1</v>
      </c>
      <c r="C258">
        <v>1</v>
      </c>
      <c r="D258">
        <v>0</v>
      </c>
    </row>
    <row r="259" spans="1:4" x14ac:dyDescent="0.3">
      <c r="A259">
        <v>1</v>
      </c>
      <c r="B259">
        <v>1</v>
      </c>
      <c r="C259">
        <v>1</v>
      </c>
      <c r="D259">
        <v>0</v>
      </c>
    </row>
    <row r="260" spans="1:4" x14ac:dyDescent="0.3">
      <c r="A260">
        <v>1</v>
      </c>
      <c r="B260">
        <v>1</v>
      </c>
      <c r="C260">
        <v>1</v>
      </c>
      <c r="D260">
        <v>0</v>
      </c>
    </row>
    <row r="261" spans="1:4" x14ac:dyDescent="0.3">
      <c r="A261">
        <v>1</v>
      </c>
      <c r="B261">
        <v>1</v>
      </c>
      <c r="C261">
        <v>1</v>
      </c>
      <c r="D261">
        <v>0</v>
      </c>
    </row>
    <row r="262" spans="1:4" x14ac:dyDescent="0.3">
      <c r="A262">
        <v>1</v>
      </c>
      <c r="B262">
        <v>1</v>
      </c>
      <c r="C262">
        <v>1</v>
      </c>
      <c r="D262">
        <v>0</v>
      </c>
    </row>
    <row r="263" spans="1:4" x14ac:dyDescent="0.3">
      <c r="A263">
        <v>1</v>
      </c>
      <c r="B263">
        <v>1</v>
      </c>
      <c r="C263">
        <v>1</v>
      </c>
      <c r="D263">
        <v>0</v>
      </c>
    </row>
    <row r="264" spans="1:4" x14ac:dyDescent="0.3">
      <c r="A264">
        <v>1</v>
      </c>
      <c r="B264">
        <v>1</v>
      </c>
      <c r="C264">
        <v>1</v>
      </c>
      <c r="D264">
        <v>0</v>
      </c>
    </row>
    <row r="265" spans="1:4" x14ac:dyDescent="0.3">
      <c r="A265">
        <v>1</v>
      </c>
      <c r="B265">
        <v>1</v>
      </c>
      <c r="C265">
        <v>1</v>
      </c>
      <c r="D265">
        <v>0</v>
      </c>
    </row>
    <row r="266" spans="1:4" x14ac:dyDescent="0.3">
      <c r="A266">
        <v>1</v>
      </c>
      <c r="B266">
        <v>1</v>
      </c>
      <c r="C266">
        <v>1</v>
      </c>
      <c r="D266">
        <v>0</v>
      </c>
    </row>
    <row r="267" spans="1:4" x14ac:dyDescent="0.3">
      <c r="A267">
        <v>1</v>
      </c>
      <c r="B267">
        <v>1</v>
      </c>
      <c r="C267">
        <v>1</v>
      </c>
      <c r="D267">
        <v>0</v>
      </c>
    </row>
    <row r="268" spans="1:4" x14ac:dyDescent="0.3">
      <c r="A268">
        <v>1</v>
      </c>
      <c r="B268">
        <v>1</v>
      </c>
      <c r="C268">
        <v>1</v>
      </c>
      <c r="D268">
        <v>0</v>
      </c>
    </row>
    <row r="269" spans="1:4" x14ac:dyDescent="0.3">
      <c r="A269">
        <v>1</v>
      </c>
      <c r="B269">
        <v>1</v>
      </c>
      <c r="C269">
        <v>1</v>
      </c>
      <c r="D269">
        <v>0</v>
      </c>
    </row>
    <row r="270" spans="1:4" x14ac:dyDescent="0.3">
      <c r="A270">
        <v>1</v>
      </c>
      <c r="B270">
        <v>1</v>
      </c>
      <c r="C270">
        <v>1</v>
      </c>
      <c r="D270">
        <v>0</v>
      </c>
    </row>
    <row r="271" spans="1:4" x14ac:dyDescent="0.3">
      <c r="A271">
        <v>1</v>
      </c>
      <c r="B271">
        <v>1</v>
      </c>
      <c r="C271">
        <v>1</v>
      </c>
      <c r="D271">
        <v>0</v>
      </c>
    </row>
    <row r="272" spans="1:4" x14ac:dyDescent="0.3">
      <c r="A272">
        <v>1</v>
      </c>
      <c r="B272">
        <v>1</v>
      </c>
      <c r="C272">
        <v>1</v>
      </c>
      <c r="D272">
        <v>0</v>
      </c>
    </row>
    <row r="273" spans="1:4" x14ac:dyDescent="0.3">
      <c r="A273">
        <v>1</v>
      </c>
      <c r="B273">
        <v>1</v>
      </c>
      <c r="C273">
        <v>1</v>
      </c>
      <c r="D273">
        <v>0</v>
      </c>
    </row>
    <row r="274" spans="1:4" x14ac:dyDescent="0.3">
      <c r="A274">
        <v>1</v>
      </c>
      <c r="B274">
        <v>1</v>
      </c>
      <c r="C274">
        <v>1</v>
      </c>
      <c r="D274">
        <v>0</v>
      </c>
    </row>
    <row r="275" spans="1:4" x14ac:dyDescent="0.3">
      <c r="A275">
        <v>1</v>
      </c>
      <c r="B275">
        <v>1</v>
      </c>
      <c r="C275">
        <v>1</v>
      </c>
      <c r="D275">
        <v>0</v>
      </c>
    </row>
    <row r="276" spans="1:4" x14ac:dyDescent="0.3">
      <c r="A276">
        <v>1</v>
      </c>
      <c r="B276">
        <v>1</v>
      </c>
      <c r="C276">
        <v>1</v>
      </c>
      <c r="D276">
        <v>0</v>
      </c>
    </row>
    <row r="277" spans="1:4" x14ac:dyDescent="0.3">
      <c r="A277">
        <v>1</v>
      </c>
      <c r="B277">
        <v>1</v>
      </c>
      <c r="C277">
        <v>1</v>
      </c>
      <c r="D277">
        <v>0</v>
      </c>
    </row>
    <row r="278" spans="1:4" x14ac:dyDescent="0.3">
      <c r="A278">
        <v>1</v>
      </c>
      <c r="B278">
        <v>1</v>
      </c>
      <c r="C278">
        <v>1</v>
      </c>
      <c r="D278">
        <v>0</v>
      </c>
    </row>
    <row r="279" spans="1:4" x14ac:dyDescent="0.3">
      <c r="A279">
        <v>1</v>
      </c>
      <c r="B279">
        <v>1</v>
      </c>
      <c r="C279">
        <v>1</v>
      </c>
      <c r="D279">
        <v>0</v>
      </c>
    </row>
    <row r="280" spans="1:4" x14ac:dyDescent="0.3">
      <c r="A280">
        <v>1</v>
      </c>
      <c r="B280">
        <v>1</v>
      </c>
      <c r="C280">
        <v>1</v>
      </c>
      <c r="D280">
        <v>0</v>
      </c>
    </row>
    <row r="281" spans="1:4" x14ac:dyDescent="0.3">
      <c r="A281">
        <v>1</v>
      </c>
      <c r="B281">
        <v>1</v>
      </c>
      <c r="C281">
        <v>1</v>
      </c>
      <c r="D281">
        <v>0</v>
      </c>
    </row>
    <row r="282" spans="1:4" x14ac:dyDescent="0.3">
      <c r="A282">
        <v>1</v>
      </c>
      <c r="B282">
        <v>1</v>
      </c>
      <c r="C282">
        <v>1</v>
      </c>
      <c r="D282">
        <v>0</v>
      </c>
    </row>
    <row r="283" spans="1:4" x14ac:dyDescent="0.3">
      <c r="A283">
        <v>1</v>
      </c>
      <c r="B283">
        <v>1</v>
      </c>
      <c r="C283">
        <v>1</v>
      </c>
      <c r="D283">
        <v>0</v>
      </c>
    </row>
    <row r="284" spans="1:4" x14ac:dyDescent="0.3">
      <c r="A284">
        <v>1</v>
      </c>
      <c r="B284">
        <v>1</v>
      </c>
      <c r="C284">
        <v>1</v>
      </c>
      <c r="D284">
        <v>0</v>
      </c>
    </row>
    <row r="285" spans="1:4" x14ac:dyDescent="0.3">
      <c r="A285">
        <v>1</v>
      </c>
      <c r="B285">
        <v>1</v>
      </c>
      <c r="C285">
        <v>1</v>
      </c>
      <c r="D285">
        <v>0</v>
      </c>
    </row>
    <row r="286" spans="1:4" x14ac:dyDescent="0.3">
      <c r="A286">
        <v>1</v>
      </c>
      <c r="B286">
        <v>1</v>
      </c>
      <c r="C286">
        <v>1</v>
      </c>
      <c r="D286">
        <v>0</v>
      </c>
    </row>
    <row r="287" spans="1:4" x14ac:dyDescent="0.3">
      <c r="A287">
        <v>1</v>
      </c>
      <c r="B287">
        <v>1</v>
      </c>
      <c r="C287">
        <v>1</v>
      </c>
      <c r="D287">
        <v>0</v>
      </c>
    </row>
    <row r="288" spans="1:4" x14ac:dyDescent="0.3">
      <c r="A288">
        <v>1</v>
      </c>
      <c r="B288">
        <v>1</v>
      </c>
      <c r="C288">
        <v>1</v>
      </c>
      <c r="D288">
        <v>0</v>
      </c>
    </row>
    <row r="289" spans="1:4" x14ac:dyDescent="0.3">
      <c r="A289">
        <v>1</v>
      </c>
      <c r="B289">
        <v>1</v>
      </c>
      <c r="C289">
        <v>1</v>
      </c>
      <c r="D289">
        <v>0</v>
      </c>
    </row>
    <row r="290" spans="1:4" x14ac:dyDescent="0.3">
      <c r="A290">
        <v>1</v>
      </c>
      <c r="B290">
        <v>1</v>
      </c>
      <c r="C290">
        <v>1</v>
      </c>
      <c r="D290">
        <v>0</v>
      </c>
    </row>
    <row r="291" spans="1:4" x14ac:dyDescent="0.3">
      <c r="A291">
        <v>1</v>
      </c>
      <c r="B291">
        <v>1</v>
      </c>
      <c r="C291">
        <v>1</v>
      </c>
      <c r="D291">
        <v>0</v>
      </c>
    </row>
    <row r="292" spans="1:4" x14ac:dyDescent="0.3">
      <c r="A292">
        <v>1</v>
      </c>
      <c r="B292">
        <v>1</v>
      </c>
      <c r="C292">
        <v>1</v>
      </c>
      <c r="D292">
        <v>0</v>
      </c>
    </row>
    <row r="293" spans="1:4" x14ac:dyDescent="0.3">
      <c r="A293">
        <v>1</v>
      </c>
      <c r="B293">
        <v>1</v>
      </c>
      <c r="C293">
        <v>1</v>
      </c>
      <c r="D293">
        <v>0</v>
      </c>
    </row>
    <row r="294" spans="1:4" x14ac:dyDescent="0.3">
      <c r="A294">
        <v>1</v>
      </c>
      <c r="B294">
        <v>1</v>
      </c>
      <c r="C294">
        <v>1</v>
      </c>
      <c r="D294">
        <v>0</v>
      </c>
    </row>
    <row r="295" spans="1:4" x14ac:dyDescent="0.3">
      <c r="A295">
        <v>1</v>
      </c>
      <c r="B295">
        <v>1</v>
      </c>
      <c r="C295">
        <v>1</v>
      </c>
      <c r="D295">
        <v>0</v>
      </c>
    </row>
    <row r="296" spans="1:4" x14ac:dyDescent="0.3">
      <c r="A296">
        <v>1</v>
      </c>
      <c r="B296">
        <v>1</v>
      </c>
      <c r="C296">
        <v>1</v>
      </c>
      <c r="D296">
        <v>0</v>
      </c>
    </row>
    <row r="297" spans="1:4" x14ac:dyDescent="0.3">
      <c r="A297">
        <v>1</v>
      </c>
      <c r="B297">
        <v>1</v>
      </c>
      <c r="C297">
        <v>1</v>
      </c>
      <c r="D297">
        <v>0</v>
      </c>
    </row>
    <row r="298" spans="1:4" x14ac:dyDescent="0.3">
      <c r="A298">
        <v>1</v>
      </c>
      <c r="B298">
        <v>1</v>
      </c>
      <c r="C298">
        <v>1</v>
      </c>
      <c r="D298">
        <v>0</v>
      </c>
    </row>
    <row r="299" spans="1:4" x14ac:dyDescent="0.3">
      <c r="A299">
        <v>1</v>
      </c>
      <c r="B299">
        <v>1</v>
      </c>
      <c r="C299">
        <v>1</v>
      </c>
      <c r="D299">
        <v>0</v>
      </c>
    </row>
    <row r="300" spans="1:4" x14ac:dyDescent="0.3">
      <c r="A300">
        <v>1</v>
      </c>
      <c r="B300">
        <v>1</v>
      </c>
      <c r="C300">
        <v>1</v>
      </c>
      <c r="D300">
        <v>0</v>
      </c>
    </row>
    <row r="301" spans="1:4" x14ac:dyDescent="0.3">
      <c r="A301">
        <v>1</v>
      </c>
      <c r="B301">
        <v>1</v>
      </c>
      <c r="C301">
        <v>1</v>
      </c>
      <c r="D301">
        <v>0</v>
      </c>
    </row>
    <row r="302" spans="1:4" x14ac:dyDescent="0.3">
      <c r="A302">
        <v>1</v>
      </c>
      <c r="B302">
        <v>1</v>
      </c>
      <c r="C302">
        <v>1</v>
      </c>
      <c r="D302">
        <v>0</v>
      </c>
    </row>
    <row r="303" spans="1:4" x14ac:dyDescent="0.3">
      <c r="A303">
        <v>1</v>
      </c>
      <c r="B303">
        <v>1</v>
      </c>
      <c r="C303">
        <v>1</v>
      </c>
      <c r="D303">
        <v>0</v>
      </c>
    </row>
    <row r="304" spans="1:4" x14ac:dyDescent="0.3">
      <c r="A304">
        <v>1</v>
      </c>
      <c r="B304">
        <v>1</v>
      </c>
      <c r="C304">
        <v>1</v>
      </c>
      <c r="D304">
        <v>0</v>
      </c>
    </row>
    <row r="305" spans="1:4" x14ac:dyDescent="0.3">
      <c r="A305">
        <v>1</v>
      </c>
      <c r="B305">
        <v>1</v>
      </c>
      <c r="C305">
        <v>1</v>
      </c>
      <c r="D305">
        <v>0</v>
      </c>
    </row>
    <row r="306" spans="1:4" x14ac:dyDescent="0.3">
      <c r="A306">
        <v>1</v>
      </c>
      <c r="B306">
        <v>1</v>
      </c>
      <c r="C306">
        <v>1</v>
      </c>
      <c r="D306">
        <v>0</v>
      </c>
    </row>
    <row r="307" spans="1:4" x14ac:dyDescent="0.3">
      <c r="A307">
        <v>1</v>
      </c>
      <c r="B307">
        <v>1</v>
      </c>
      <c r="C307">
        <v>1</v>
      </c>
      <c r="D307">
        <v>0</v>
      </c>
    </row>
    <row r="308" spans="1:4" x14ac:dyDescent="0.3">
      <c r="A308">
        <v>1</v>
      </c>
      <c r="B308">
        <v>1</v>
      </c>
      <c r="C308">
        <v>1</v>
      </c>
      <c r="D308">
        <v>0</v>
      </c>
    </row>
    <row r="309" spans="1:4" x14ac:dyDescent="0.3">
      <c r="A309">
        <v>1</v>
      </c>
      <c r="B309">
        <v>1</v>
      </c>
      <c r="C309">
        <v>1</v>
      </c>
      <c r="D309">
        <v>0</v>
      </c>
    </row>
    <row r="310" spans="1:4" x14ac:dyDescent="0.3">
      <c r="A310">
        <v>1</v>
      </c>
      <c r="B310">
        <v>1</v>
      </c>
      <c r="C310">
        <v>1</v>
      </c>
      <c r="D310">
        <v>0</v>
      </c>
    </row>
    <row r="311" spans="1:4" x14ac:dyDescent="0.3">
      <c r="A311">
        <v>1</v>
      </c>
      <c r="B311">
        <v>1</v>
      </c>
      <c r="C311">
        <v>1</v>
      </c>
      <c r="D311">
        <v>0</v>
      </c>
    </row>
    <row r="312" spans="1:4" x14ac:dyDescent="0.3">
      <c r="A312">
        <v>1</v>
      </c>
      <c r="B312">
        <v>1</v>
      </c>
      <c r="C312">
        <v>1</v>
      </c>
      <c r="D312">
        <v>0</v>
      </c>
    </row>
    <row r="313" spans="1:4" x14ac:dyDescent="0.3">
      <c r="A313">
        <v>1</v>
      </c>
      <c r="B313">
        <v>1</v>
      </c>
      <c r="C313">
        <v>1</v>
      </c>
      <c r="D313">
        <v>0</v>
      </c>
    </row>
    <row r="314" spans="1:4" x14ac:dyDescent="0.3">
      <c r="A314">
        <v>1</v>
      </c>
      <c r="B314">
        <v>1</v>
      </c>
      <c r="C314">
        <v>1</v>
      </c>
      <c r="D314">
        <v>0</v>
      </c>
    </row>
    <row r="315" spans="1:4" x14ac:dyDescent="0.3">
      <c r="A315">
        <v>1</v>
      </c>
      <c r="B315">
        <v>1</v>
      </c>
      <c r="C315">
        <v>1</v>
      </c>
      <c r="D315">
        <v>0</v>
      </c>
    </row>
    <row r="316" spans="1:4" x14ac:dyDescent="0.3">
      <c r="A316">
        <v>1</v>
      </c>
      <c r="B316">
        <v>1</v>
      </c>
      <c r="C316">
        <v>1</v>
      </c>
      <c r="D316">
        <v>0</v>
      </c>
    </row>
    <row r="317" spans="1:4" x14ac:dyDescent="0.3">
      <c r="A317">
        <v>1</v>
      </c>
      <c r="B317">
        <v>1</v>
      </c>
      <c r="C317">
        <v>1</v>
      </c>
      <c r="D317">
        <v>0</v>
      </c>
    </row>
    <row r="318" spans="1:4" x14ac:dyDescent="0.3">
      <c r="A318">
        <v>1</v>
      </c>
      <c r="B318">
        <v>1</v>
      </c>
      <c r="C318">
        <v>1</v>
      </c>
      <c r="D318">
        <v>0</v>
      </c>
    </row>
    <row r="319" spans="1:4" x14ac:dyDescent="0.3">
      <c r="A319">
        <v>1</v>
      </c>
      <c r="B319">
        <v>1</v>
      </c>
      <c r="C319">
        <v>1</v>
      </c>
      <c r="D319">
        <v>0</v>
      </c>
    </row>
    <row r="320" spans="1:4" x14ac:dyDescent="0.3">
      <c r="A320">
        <v>1</v>
      </c>
      <c r="B320">
        <v>1</v>
      </c>
      <c r="C320">
        <v>1</v>
      </c>
      <c r="D320">
        <v>0</v>
      </c>
    </row>
    <row r="321" spans="1:4" x14ac:dyDescent="0.3">
      <c r="A321">
        <v>1</v>
      </c>
      <c r="B321">
        <v>1</v>
      </c>
      <c r="C321">
        <v>1</v>
      </c>
      <c r="D321">
        <v>0</v>
      </c>
    </row>
    <row r="322" spans="1:4" x14ac:dyDescent="0.3">
      <c r="A322">
        <v>1</v>
      </c>
      <c r="B322">
        <v>1</v>
      </c>
      <c r="C322">
        <v>1</v>
      </c>
      <c r="D322">
        <v>0</v>
      </c>
    </row>
    <row r="323" spans="1:4" x14ac:dyDescent="0.3">
      <c r="A323">
        <v>1</v>
      </c>
      <c r="B323">
        <v>1</v>
      </c>
      <c r="C323">
        <v>1</v>
      </c>
      <c r="D323">
        <v>0</v>
      </c>
    </row>
    <row r="324" spans="1:4" x14ac:dyDescent="0.3">
      <c r="A324">
        <v>1</v>
      </c>
      <c r="B324">
        <v>1</v>
      </c>
      <c r="C324">
        <v>1</v>
      </c>
      <c r="D324">
        <v>0</v>
      </c>
    </row>
    <row r="325" spans="1:4" x14ac:dyDescent="0.3">
      <c r="A325">
        <v>1</v>
      </c>
      <c r="B325">
        <v>1</v>
      </c>
      <c r="C325">
        <v>1</v>
      </c>
      <c r="D325">
        <v>0</v>
      </c>
    </row>
    <row r="326" spans="1:4" x14ac:dyDescent="0.3">
      <c r="A326">
        <v>1</v>
      </c>
      <c r="B326">
        <v>1</v>
      </c>
      <c r="C326">
        <v>1</v>
      </c>
      <c r="D326">
        <v>0</v>
      </c>
    </row>
    <row r="327" spans="1:4" x14ac:dyDescent="0.3">
      <c r="A327">
        <v>1</v>
      </c>
      <c r="B327">
        <v>1</v>
      </c>
      <c r="C327">
        <v>1</v>
      </c>
      <c r="D327">
        <v>0</v>
      </c>
    </row>
    <row r="328" spans="1:4" x14ac:dyDescent="0.3">
      <c r="A328">
        <v>1</v>
      </c>
      <c r="B328">
        <v>1</v>
      </c>
      <c r="C328">
        <v>1</v>
      </c>
      <c r="D328">
        <v>0</v>
      </c>
    </row>
    <row r="329" spans="1:4" x14ac:dyDescent="0.3">
      <c r="A329">
        <v>1</v>
      </c>
      <c r="B329">
        <v>1</v>
      </c>
      <c r="C329">
        <v>1</v>
      </c>
      <c r="D329">
        <v>0</v>
      </c>
    </row>
    <row r="330" spans="1:4" x14ac:dyDescent="0.3">
      <c r="A330">
        <v>1</v>
      </c>
      <c r="B330">
        <v>1</v>
      </c>
      <c r="C330">
        <v>1</v>
      </c>
      <c r="D330">
        <v>0</v>
      </c>
    </row>
    <row r="331" spans="1:4" x14ac:dyDescent="0.3">
      <c r="A331">
        <v>1</v>
      </c>
      <c r="B331">
        <v>1</v>
      </c>
      <c r="C331">
        <v>1</v>
      </c>
      <c r="D331">
        <v>0</v>
      </c>
    </row>
    <row r="332" spans="1:4" x14ac:dyDescent="0.3">
      <c r="A332">
        <v>1</v>
      </c>
      <c r="B332">
        <v>1</v>
      </c>
      <c r="C332">
        <v>1</v>
      </c>
      <c r="D332">
        <v>0</v>
      </c>
    </row>
    <row r="333" spans="1:4" x14ac:dyDescent="0.3">
      <c r="A333">
        <v>1</v>
      </c>
      <c r="B333">
        <v>1</v>
      </c>
      <c r="C333">
        <v>1</v>
      </c>
      <c r="D333">
        <v>0</v>
      </c>
    </row>
    <row r="334" spans="1:4" x14ac:dyDescent="0.3">
      <c r="A334">
        <v>1</v>
      </c>
      <c r="B334">
        <v>1</v>
      </c>
      <c r="C334">
        <v>1</v>
      </c>
      <c r="D334">
        <v>0</v>
      </c>
    </row>
    <row r="335" spans="1:4" x14ac:dyDescent="0.3">
      <c r="A335">
        <v>1</v>
      </c>
      <c r="B335">
        <v>1</v>
      </c>
      <c r="C335">
        <v>1</v>
      </c>
      <c r="D335">
        <v>0</v>
      </c>
    </row>
    <row r="336" spans="1:4" x14ac:dyDescent="0.3">
      <c r="A336">
        <v>1</v>
      </c>
      <c r="B336">
        <v>1</v>
      </c>
      <c r="C336">
        <v>1</v>
      </c>
      <c r="D336">
        <v>0</v>
      </c>
    </row>
    <row r="337" spans="1:4" x14ac:dyDescent="0.3">
      <c r="A337">
        <v>1</v>
      </c>
      <c r="B337">
        <v>1</v>
      </c>
      <c r="C337">
        <v>1</v>
      </c>
      <c r="D337">
        <v>0</v>
      </c>
    </row>
    <row r="338" spans="1:4" x14ac:dyDescent="0.3">
      <c r="A338">
        <v>1</v>
      </c>
      <c r="B338">
        <v>1</v>
      </c>
      <c r="C338">
        <v>1</v>
      </c>
      <c r="D338">
        <v>0</v>
      </c>
    </row>
    <row r="339" spans="1:4" x14ac:dyDescent="0.3">
      <c r="A339">
        <v>1</v>
      </c>
      <c r="B339">
        <v>1</v>
      </c>
      <c r="C339">
        <v>1</v>
      </c>
      <c r="D339">
        <v>0</v>
      </c>
    </row>
    <row r="340" spans="1:4" x14ac:dyDescent="0.3">
      <c r="A340">
        <v>1</v>
      </c>
      <c r="B340">
        <v>1</v>
      </c>
      <c r="C340">
        <v>1</v>
      </c>
      <c r="D340">
        <v>0</v>
      </c>
    </row>
    <row r="341" spans="1:4" x14ac:dyDescent="0.3">
      <c r="A341">
        <v>1</v>
      </c>
      <c r="B341">
        <v>1</v>
      </c>
      <c r="C341">
        <v>1</v>
      </c>
      <c r="D341">
        <v>0</v>
      </c>
    </row>
    <row r="342" spans="1:4" x14ac:dyDescent="0.3">
      <c r="A342">
        <v>1</v>
      </c>
      <c r="B342">
        <v>1</v>
      </c>
      <c r="C342">
        <v>1</v>
      </c>
      <c r="D342">
        <v>0</v>
      </c>
    </row>
    <row r="343" spans="1:4" x14ac:dyDescent="0.3">
      <c r="A343">
        <v>1</v>
      </c>
      <c r="B343">
        <v>1</v>
      </c>
      <c r="C343">
        <v>1</v>
      </c>
      <c r="D343">
        <v>0</v>
      </c>
    </row>
    <row r="344" spans="1:4" x14ac:dyDescent="0.3">
      <c r="A344">
        <v>1</v>
      </c>
      <c r="B344">
        <v>1</v>
      </c>
      <c r="C344">
        <v>1</v>
      </c>
      <c r="D344">
        <v>0</v>
      </c>
    </row>
    <row r="345" spans="1:4" x14ac:dyDescent="0.3">
      <c r="A345">
        <v>1</v>
      </c>
      <c r="B345">
        <v>1</v>
      </c>
      <c r="C345">
        <v>1</v>
      </c>
      <c r="D345">
        <v>0</v>
      </c>
    </row>
    <row r="346" spans="1:4" x14ac:dyDescent="0.3">
      <c r="A346">
        <v>1</v>
      </c>
      <c r="B346">
        <v>1</v>
      </c>
      <c r="C346">
        <v>1</v>
      </c>
      <c r="D346">
        <v>0</v>
      </c>
    </row>
    <row r="347" spans="1:4" x14ac:dyDescent="0.3">
      <c r="A347">
        <v>1</v>
      </c>
      <c r="B347">
        <v>1</v>
      </c>
      <c r="C347">
        <v>1</v>
      </c>
      <c r="D347">
        <v>0</v>
      </c>
    </row>
    <row r="348" spans="1:4" x14ac:dyDescent="0.3">
      <c r="A348">
        <v>1</v>
      </c>
      <c r="B348">
        <v>1</v>
      </c>
      <c r="C348">
        <v>1</v>
      </c>
      <c r="D348">
        <v>0</v>
      </c>
    </row>
    <row r="349" spans="1:4" x14ac:dyDescent="0.3">
      <c r="A349">
        <v>1</v>
      </c>
      <c r="B349">
        <v>1</v>
      </c>
      <c r="C349">
        <v>1</v>
      </c>
      <c r="D349">
        <v>0</v>
      </c>
    </row>
    <row r="350" spans="1:4" x14ac:dyDescent="0.3">
      <c r="A350">
        <v>1</v>
      </c>
      <c r="B350">
        <v>1</v>
      </c>
      <c r="C350">
        <v>1</v>
      </c>
      <c r="D350">
        <v>0</v>
      </c>
    </row>
    <row r="351" spans="1:4" x14ac:dyDescent="0.3">
      <c r="A351">
        <v>1</v>
      </c>
      <c r="B351">
        <v>1</v>
      </c>
      <c r="C351">
        <v>1</v>
      </c>
      <c r="D351">
        <v>0</v>
      </c>
    </row>
    <row r="352" spans="1:4" x14ac:dyDescent="0.3">
      <c r="A352">
        <v>1</v>
      </c>
      <c r="B352">
        <v>1</v>
      </c>
      <c r="C352">
        <v>1</v>
      </c>
      <c r="D352">
        <v>0</v>
      </c>
    </row>
    <row r="353" spans="1:4" x14ac:dyDescent="0.3">
      <c r="A353">
        <v>1</v>
      </c>
      <c r="B353">
        <v>1</v>
      </c>
      <c r="C353">
        <v>1</v>
      </c>
      <c r="D353">
        <v>0</v>
      </c>
    </row>
    <row r="354" spans="1:4" x14ac:dyDescent="0.3">
      <c r="A354">
        <v>1</v>
      </c>
      <c r="B354">
        <v>1</v>
      </c>
      <c r="C354">
        <v>1</v>
      </c>
      <c r="D354">
        <v>0</v>
      </c>
    </row>
    <row r="355" spans="1:4" x14ac:dyDescent="0.3">
      <c r="A355">
        <v>1</v>
      </c>
      <c r="B355">
        <v>1</v>
      </c>
      <c r="C355">
        <v>1</v>
      </c>
      <c r="D355">
        <v>0</v>
      </c>
    </row>
    <row r="356" spans="1:4" x14ac:dyDescent="0.3">
      <c r="A356">
        <v>1</v>
      </c>
      <c r="B356">
        <v>1</v>
      </c>
      <c r="C356">
        <v>1</v>
      </c>
      <c r="D356">
        <v>0</v>
      </c>
    </row>
    <row r="357" spans="1:4" x14ac:dyDescent="0.3">
      <c r="A357">
        <v>1</v>
      </c>
      <c r="B357">
        <v>1</v>
      </c>
      <c r="C357">
        <v>1</v>
      </c>
      <c r="D357">
        <v>0</v>
      </c>
    </row>
    <row r="358" spans="1:4" x14ac:dyDescent="0.3">
      <c r="A358">
        <v>1</v>
      </c>
      <c r="B358">
        <v>1</v>
      </c>
      <c r="C358">
        <v>1</v>
      </c>
      <c r="D358">
        <v>0</v>
      </c>
    </row>
    <row r="359" spans="1:4" x14ac:dyDescent="0.3">
      <c r="A359">
        <v>1</v>
      </c>
      <c r="B359">
        <v>1</v>
      </c>
      <c r="C359">
        <v>1</v>
      </c>
      <c r="D359">
        <v>0</v>
      </c>
    </row>
    <row r="360" spans="1:4" x14ac:dyDescent="0.3">
      <c r="A360">
        <v>1</v>
      </c>
      <c r="B360">
        <v>1</v>
      </c>
      <c r="C360">
        <v>1</v>
      </c>
      <c r="D360">
        <v>0</v>
      </c>
    </row>
    <row r="361" spans="1:4" x14ac:dyDescent="0.3">
      <c r="A361">
        <v>1</v>
      </c>
      <c r="B361">
        <v>1</v>
      </c>
      <c r="C361">
        <v>1</v>
      </c>
      <c r="D361">
        <v>0</v>
      </c>
    </row>
    <row r="362" spans="1:4" x14ac:dyDescent="0.3">
      <c r="A362">
        <v>1</v>
      </c>
      <c r="B362">
        <v>1</v>
      </c>
      <c r="C362">
        <v>1</v>
      </c>
      <c r="D362">
        <v>0</v>
      </c>
    </row>
    <row r="363" spans="1:4" x14ac:dyDescent="0.3">
      <c r="A363">
        <v>1</v>
      </c>
      <c r="B363">
        <v>1</v>
      </c>
      <c r="C363">
        <v>1</v>
      </c>
      <c r="D363">
        <v>0</v>
      </c>
    </row>
    <row r="364" spans="1:4" x14ac:dyDescent="0.3">
      <c r="A364">
        <v>1</v>
      </c>
      <c r="B364">
        <v>1</v>
      </c>
      <c r="C364">
        <v>1</v>
      </c>
      <c r="D364">
        <v>0</v>
      </c>
    </row>
    <row r="365" spans="1:4" x14ac:dyDescent="0.3">
      <c r="A365">
        <v>1</v>
      </c>
      <c r="B365">
        <v>1</v>
      </c>
      <c r="C365">
        <v>1</v>
      </c>
      <c r="D365">
        <v>0</v>
      </c>
    </row>
    <row r="366" spans="1:4" x14ac:dyDescent="0.3">
      <c r="A366">
        <v>1</v>
      </c>
      <c r="B366">
        <v>1</v>
      </c>
      <c r="C366">
        <v>1</v>
      </c>
      <c r="D366">
        <v>0</v>
      </c>
    </row>
    <row r="367" spans="1:4" x14ac:dyDescent="0.3">
      <c r="A367">
        <v>1</v>
      </c>
      <c r="B367">
        <v>1</v>
      </c>
      <c r="C367">
        <v>1</v>
      </c>
      <c r="D367">
        <v>0</v>
      </c>
    </row>
    <row r="368" spans="1:4" x14ac:dyDescent="0.3">
      <c r="A368">
        <v>1</v>
      </c>
      <c r="B368">
        <v>1</v>
      </c>
      <c r="C368">
        <v>1</v>
      </c>
      <c r="D368">
        <v>0</v>
      </c>
    </row>
    <row r="369" spans="1:4" x14ac:dyDescent="0.3">
      <c r="A369">
        <v>1</v>
      </c>
      <c r="B369">
        <v>1</v>
      </c>
      <c r="C369">
        <v>1</v>
      </c>
      <c r="D369">
        <v>0</v>
      </c>
    </row>
    <row r="370" spans="1:4" x14ac:dyDescent="0.3">
      <c r="A370">
        <v>1</v>
      </c>
      <c r="B370">
        <v>1</v>
      </c>
      <c r="C370">
        <v>1</v>
      </c>
      <c r="D370">
        <v>0</v>
      </c>
    </row>
    <row r="371" spans="1:4" x14ac:dyDescent="0.3">
      <c r="A371">
        <v>1</v>
      </c>
      <c r="B371">
        <v>1</v>
      </c>
      <c r="C371">
        <v>1</v>
      </c>
      <c r="D371">
        <v>0</v>
      </c>
    </row>
    <row r="372" spans="1:4" x14ac:dyDescent="0.3">
      <c r="A372">
        <v>1</v>
      </c>
      <c r="B372">
        <v>1</v>
      </c>
      <c r="C372">
        <v>1</v>
      </c>
      <c r="D372">
        <v>0</v>
      </c>
    </row>
    <row r="373" spans="1:4" x14ac:dyDescent="0.3">
      <c r="A373">
        <v>1</v>
      </c>
      <c r="B373">
        <v>1</v>
      </c>
      <c r="C373">
        <v>1</v>
      </c>
      <c r="D373">
        <v>0</v>
      </c>
    </row>
    <row r="374" spans="1:4" x14ac:dyDescent="0.3">
      <c r="A374">
        <v>1</v>
      </c>
      <c r="B374">
        <v>1</v>
      </c>
      <c r="C374">
        <v>1</v>
      </c>
      <c r="D374">
        <v>0</v>
      </c>
    </row>
    <row r="375" spans="1:4" x14ac:dyDescent="0.3">
      <c r="A375">
        <v>1</v>
      </c>
      <c r="B375">
        <v>1</v>
      </c>
      <c r="C375">
        <v>1</v>
      </c>
      <c r="D375">
        <v>0</v>
      </c>
    </row>
    <row r="376" spans="1:4" x14ac:dyDescent="0.3">
      <c r="A376">
        <v>1</v>
      </c>
      <c r="B376">
        <v>1</v>
      </c>
      <c r="C376">
        <v>1</v>
      </c>
      <c r="D376">
        <v>0</v>
      </c>
    </row>
    <row r="377" spans="1:4" x14ac:dyDescent="0.3">
      <c r="A377">
        <v>1</v>
      </c>
      <c r="B377">
        <v>1</v>
      </c>
      <c r="C377">
        <v>1</v>
      </c>
      <c r="D377">
        <v>0</v>
      </c>
    </row>
    <row r="378" spans="1:4" x14ac:dyDescent="0.3">
      <c r="A378">
        <v>1</v>
      </c>
      <c r="B378">
        <v>1</v>
      </c>
      <c r="C378">
        <v>1</v>
      </c>
      <c r="D378">
        <v>0</v>
      </c>
    </row>
    <row r="379" spans="1:4" x14ac:dyDescent="0.3">
      <c r="A379">
        <v>1</v>
      </c>
      <c r="B379">
        <v>1</v>
      </c>
      <c r="C379">
        <v>1</v>
      </c>
      <c r="D379">
        <v>0</v>
      </c>
    </row>
    <row r="380" spans="1:4" x14ac:dyDescent="0.3">
      <c r="A380">
        <v>1</v>
      </c>
      <c r="B380">
        <v>1</v>
      </c>
      <c r="C380">
        <v>1</v>
      </c>
      <c r="D380">
        <v>0</v>
      </c>
    </row>
    <row r="381" spans="1:4" x14ac:dyDescent="0.3">
      <c r="A381">
        <v>1</v>
      </c>
      <c r="B381">
        <v>1</v>
      </c>
      <c r="C381">
        <v>1</v>
      </c>
      <c r="D381">
        <v>0</v>
      </c>
    </row>
    <row r="382" spans="1:4" x14ac:dyDescent="0.3">
      <c r="A382">
        <v>1</v>
      </c>
      <c r="B382">
        <v>1</v>
      </c>
      <c r="C382">
        <v>1</v>
      </c>
      <c r="D382">
        <v>0</v>
      </c>
    </row>
    <row r="383" spans="1:4" x14ac:dyDescent="0.3">
      <c r="A383">
        <v>1</v>
      </c>
      <c r="B383">
        <v>1</v>
      </c>
      <c r="C383">
        <v>1</v>
      </c>
      <c r="D383">
        <v>0</v>
      </c>
    </row>
    <row r="384" spans="1:4" x14ac:dyDescent="0.3">
      <c r="A384">
        <v>1</v>
      </c>
      <c r="B384">
        <v>1</v>
      </c>
      <c r="C384">
        <v>1</v>
      </c>
      <c r="D384">
        <v>0</v>
      </c>
    </row>
    <row r="385" spans="1:4" x14ac:dyDescent="0.3">
      <c r="A385">
        <v>1</v>
      </c>
      <c r="B385">
        <v>1</v>
      </c>
      <c r="C385">
        <v>1</v>
      </c>
      <c r="D385">
        <v>0</v>
      </c>
    </row>
    <row r="386" spans="1:4" x14ac:dyDescent="0.3">
      <c r="A386">
        <v>1</v>
      </c>
      <c r="B386">
        <v>1</v>
      </c>
      <c r="C386">
        <v>1</v>
      </c>
      <c r="D386">
        <v>0</v>
      </c>
    </row>
    <row r="387" spans="1:4" x14ac:dyDescent="0.3">
      <c r="A387">
        <v>1</v>
      </c>
      <c r="B387">
        <v>1</v>
      </c>
      <c r="C387">
        <v>1</v>
      </c>
      <c r="D387">
        <v>0</v>
      </c>
    </row>
    <row r="388" spans="1:4" x14ac:dyDescent="0.3">
      <c r="A388">
        <v>1</v>
      </c>
      <c r="B388">
        <v>1</v>
      </c>
      <c r="C388">
        <v>1</v>
      </c>
      <c r="D388">
        <v>0</v>
      </c>
    </row>
    <row r="389" spans="1:4" x14ac:dyDescent="0.3">
      <c r="A389">
        <v>1</v>
      </c>
      <c r="B389">
        <v>1</v>
      </c>
      <c r="C389">
        <v>1</v>
      </c>
      <c r="D389">
        <v>0</v>
      </c>
    </row>
    <row r="390" spans="1:4" x14ac:dyDescent="0.3">
      <c r="A390">
        <v>1</v>
      </c>
      <c r="B390">
        <v>1</v>
      </c>
      <c r="C390">
        <v>1</v>
      </c>
      <c r="D390">
        <v>0</v>
      </c>
    </row>
    <row r="391" spans="1:4" x14ac:dyDescent="0.3">
      <c r="A391">
        <v>1</v>
      </c>
      <c r="B391">
        <v>1</v>
      </c>
      <c r="C391">
        <v>1</v>
      </c>
      <c r="D391">
        <v>0</v>
      </c>
    </row>
    <row r="392" spans="1:4" x14ac:dyDescent="0.3">
      <c r="A392">
        <v>1</v>
      </c>
      <c r="B392">
        <v>1</v>
      </c>
      <c r="C392">
        <v>1</v>
      </c>
      <c r="D392">
        <v>0</v>
      </c>
    </row>
    <row r="393" spans="1:4" x14ac:dyDescent="0.3">
      <c r="A393">
        <v>1</v>
      </c>
      <c r="B393">
        <v>1</v>
      </c>
      <c r="C393">
        <v>1</v>
      </c>
      <c r="D393">
        <v>0</v>
      </c>
    </row>
    <row r="394" spans="1:4" x14ac:dyDescent="0.3">
      <c r="A394">
        <v>1</v>
      </c>
      <c r="B394">
        <v>1</v>
      </c>
      <c r="C394">
        <v>1</v>
      </c>
      <c r="D394">
        <v>0</v>
      </c>
    </row>
    <row r="395" spans="1:4" x14ac:dyDescent="0.3">
      <c r="A395">
        <v>1</v>
      </c>
      <c r="B395">
        <v>1</v>
      </c>
      <c r="C395">
        <v>1</v>
      </c>
      <c r="D395">
        <v>0</v>
      </c>
    </row>
    <row r="396" spans="1:4" x14ac:dyDescent="0.3">
      <c r="A396">
        <v>1</v>
      </c>
      <c r="B396">
        <v>1</v>
      </c>
      <c r="C396">
        <v>1</v>
      </c>
      <c r="D396">
        <v>0</v>
      </c>
    </row>
    <row r="397" spans="1:4" x14ac:dyDescent="0.3">
      <c r="A397">
        <v>1</v>
      </c>
      <c r="B397">
        <v>1</v>
      </c>
      <c r="C397">
        <v>1</v>
      </c>
      <c r="D397">
        <v>0</v>
      </c>
    </row>
    <row r="398" spans="1:4" x14ac:dyDescent="0.3">
      <c r="A398">
        <v>1</v>
      </c>
      <c r="B398">
        <v>1</v>
      </c>
      <c r="C398">
        <v>1</v>
      </c>
      <c r="D398">
        <v>0</v>
      </c>
    </row>
    <row r="399" spans="1:4" x14ac:dyDescent="0.3">
      <c r="A399">
        <v>1</v>
      </c>
      <c r="B399">
        <v>1</v>
      </c>
      <c r="C399">
        <v>1</v>
      </c>
      <c r="D399">
        <v>0</v>
      </c>
    </row>
    <row r="400" spans="1:4" x14ac:dyDescent="0.3">
      <c r="A400">
        <v>1</v>
      </c>
      <c r="B400">
        <v>1</v>
      </c>
      <c r="C400">
        <v>1</v>
      </c>
      <c r="D400">
        <v>0</v>
      </c>
    </row>
    <row r="401" spans="1:4" x14ac:dyDescent="0.3">
      <c r="A401">
        <v>1</v>
      </c>
      <c r="B401">
        <v>1</v>
      </c>
      <c r="C401">
        <v>1</v>
      </c>
      <c r="D401">
        <v>0</v>
      </c>
    </row>
    <row r="402" spans="1:4" x14ac:dyDescent="0.3">
      <c r="A402">
        <v>1</v>
      </c>
      <c r="B402">
        <v>1</v>
      </c>
      <c r="C402">
        <v>1</v>
      </c>
      <c r="D402">
        <v>0</v>
      </c>
    </row>
    <row r="403" spans="1:4" x14ac:dyDescent="0.3">
      <c r="A403">
        <v>1</v>
      </c>
      <c r="B403">
        <v>1</v>
      </c>
      <c r="C403">
        <v>1</v>
      </c>
      <c r="D403">
        <v>0</v>
      </c>
    </row>
    <row r="404" spans="1:4" x14ac:dyDescent="0.3">
      <c r="A404">
        <v>1</v>
      </c>
      <c r="B404">
        <v>1</v>
      </c>
      <c r="C404">
        <v>1</v>
      </c>
      <c r="D404">
        <v>0</v>
      </c>
    </row>
    <row r="405" spans="1:4" x14ac:dyDescent="0.3">
      <c r="A405">
        <v>1</v>
      </c>
      <c r="B405">
        <v>1</v>
      </c>
      <c r="C405">
        <v>1</v>
      </c>
      <c r="D405">
        <v>0</v>
      </c>
    </row>
    <row r="406" spans="1:4" x14ac:dyDescent="0.3">
      <c r="A406">
        <v>1</v>
      </c>
      <c r="B406">
        <v>1</v>
      </c>
      <c r="C406">
        <v>1</v>
      </c>
      <c r="D406">
        <v>0</v>
      </c>
    </row>
    <row r="407" spans="1:4" x14ac:dyDescent="0.3">
      <c r="A407">
        <v>1</v>
      </c>
      <c r="B407">
        <v>1</v>
      </c>
      <c r="C407">
        <v>1</v>
      </c>
      <c r="D407">
        <v>0</v>
      </c>
    </row>
    <row r="408" spans="1:4" x14ac:dyDescent="0.3">
      <c r="A408">
        <v>1</v>
      </c>
      <c r="B408">
        <v>1</v>
      </c>
      <c r="C408">
        <v>1</v>
      </c>
      <c r="D408">
        <v>0</v>
      </c>
    </row>
    <row r="409" spans="1:4" x14ac:dyDescent="0.3">
      <c r="A409">
        <v>1</v>
      </c>
      <c r="B409">
        <v>1</v>
      </c>
      <c r="C409">
        <v>1</v>
      </c>
      <c r="D409">
        <v>0</v>
      </c>
    </row>
    <row r="410" spans="1:4" x14ac:dyDescent="0.3">
      <c r="A410">
        <v>1</v>
      </c>
      <c r="B410">
        <v>1</v>
      </c>
      <c r="C410">
        <v>1</v>
      </c>
      <c r="D410">
        <v>0</v>
      </c>
    </row>
    <row r="411" spans="1:4" x14ac:dyDescent="0.3">
      <c r="A411">
        <v>1</v>
      </c>
      <c r="B411">
        <v>1</v>
      </c>
      <c r="C411">
        <v>1</v>
      </c>
      <c r="D411">
        <v>0</v>
      </c>
    </row>
    <row r="412" spans="1:4" x14ac:dyDescent="0.3">
      <c r="A412">
        <v>1</v>
      </c>
      <c r="B412">
        <v>1</v>
      </c>
      <c r="C412">
        <v>1</v>
      </c>
      <c r="D412">
        <v>0</v>
      </c>
    </row>
    <row r="413" spans="1:4" x14ac:dyDescent="0.3">
      <c r="A413">
        <v>1</v>
      </c>
      <c r="B413">
        <v>1</v>
      </c>
      <c r="C413">
        <v>1</v>
      </c>
      <c r="D413">
        <v>0</v>
      </c>
    </row>
    <row r="414" spans="1:4" x14ac:dyDescent="0.3">
      <c r="A414">
        <v>1</v>
      </c>
      <c r="B414">
        <v>1</v>
      </c>
      <c r="C414">
        <v>1</v>
      </c>
      <c r="D414">
        <v>0</v>
      </c>
    </row>
    <row r="415" spans="1:4" x14ac:dyDescent="0.3">
      <c r="A415">
        <v>1</v>
      </c>
      <c r="B415">
        <v>1</v>
      </c>
      <c r="C415">
        <v>1</v>
      </c>
      <c r="D415">
        <v>0</v>
      </c>
    </row>
    <row r="416" spans="1:4" x14ac:dyDescent="0.3">
      <c r="A416">
        <v>1</v>
      </c>
      <c r="B416">
        <v>1</v>
      </c>
      <c r="C416">
        <v>1</v>
      </c>
      <c r="D416">
        <v>0</v>
      </c>
    </row>
    <row r="417" spans="1:4" x14ac:dyDescent="0.3">
      <c r="A417">
        <v>1</v>
      </c>
      <c r="B417">
        <v>1</v>
      </c>
      <c r="C417">
        <v>1</v>
      </c>
      <c r="D417">
        <v>0</v>
      </c>
    </row>
    <row r="418" spans="1:4" x14ac:dyDescent="0.3">
      <c r="A418">
        <v>1</v>
      </c>
      <c r="B418">
        <v>1</v>
      </c>
      <c r="C418">
        <v>1</v>
      </c>
      <c r="D418">
        <v>0</v>
      </c>
    </row>
    <row r="419" spans="1:4" x14ac:dyDescent="0.3">
      <c r="A419">
        <v>1</v>
      </c>
      <c r="B419">
        <v>1</v>
      </c>
      <c r="C419">
        <v>1</v>
      </c>
      <c r="D419">
        <v>0</v>
      </c>
    </row>
    <row r="420" spans="1:4" x14ac:dyDescent="0.3">
      <c r="A420">
        <v>1</v>
      </c>
      <c r="B420">
        <v>1</v>
      </c>
      <c r="C420">
        <v>1</v>
      </c>
      <c r="D420">
        <v>0</v>
      </c>
    </row>
    <row r="421" spans="1:4" x14ac:dyDescent="0.3">
      <c r="A421">
        <v>1</v>
      </c>
      <c r="B421">
        <v>1</v>
      </c>
      <c r="C421">
        <v>1</v>
      </c>
      <c r="D421">
        <v>0</v>
      </c>
    </row>
    <row r="422" spans="1:4" x14ac:dyDescent="0.3">
      <c r="A422">
        <v>1</v>
      </c>
      <c r="B422">
        <v>1</v>
      </c>
      <c r="C422">
        <v>1</v>
      </c>
      <c r="D422">
        <v>0</v>
      </c>
    </row>
    <row r="423" spans="1:4" x14ac:dyDescent="0.3">
      <c r="A423">
        <v>1</v>
      </c>
      <c r="B423">
        <v>1</v>
      </c>
      <c r="C423">
        <v>1</v>
      </c>
      <c r="D423">
        <v>0</v>
      </c>
    </row>
    <row r="424" spans="1:4" x14ac:dyDescent="0.3">
      <c r="A424">
        <v>1</v>
      </c>
      <c r="B424">
        <v>1</v>
      </c>
      <c r="C424">
        <v>1</v>
      </c>
      <c r="D424">
        <v>0</v>
      </c>
    </row>
    <row r="425" spans="1:4" x14ac:dyDescent="0.3">
      <c r="A425">
        <v>1</v>
      </c>
      <c r="B425">
        <v>1</v>
      </c>
      <c r="C425">
        <v>1</v>
      </c>
      <c r="D425">
        <v>0</v>
      </c>
    </row>
    <row r="426" spans="1:4" x14ac:dyDescent="0.3">
      <c r="A426">
        <v>1</v>
      </c>
      <c r="B426">
        <v>1</v>
      </c>
      <c r="C426">
        <v>1</v>
      </c>
      <c r="D426">
        <v>0</v>
      </c>
    </row>
    <row r="427" spans="1:4" x14ac:dyDescent="0.3">
      <c r="A427">
        <v>1</v>
      </c>
      <c r="B427">
        <v>1</v>
      </c>
      <c r="C427">
        <v>1</v>
      </c>
      <c r="D427">
        <v>0</v>
      </c>
    </row>
    <row r="428" spans="1:4" x14ac:dyDescent="0.3">
      <c r="A428">
        <v>1</v>
      </c>
      <c r="B428">
        <v>1</v>
      </c>
      <c r="C428">
        <v>1</v>
      </c>
      <c r="D428">
        <v>0</v>
      </c>
    </row>
    <row r="429" spans="1:4" x14ac:dyDescent="0.3">
      <c r="A429">
        <v>1</v>
      </c>
      <c r="B429">
        <v>1</v>
      </c>
      <c r="C429">
        <v>1</v>
      </c>
      <c r="D429">
        <v>0</v>
      </c>
    </row>
    <row r="430" spans="1:4" x14ac:dyDescent="0.3">
      <c r="A430">
        <v>1</v>
      </c>
      <c r="B430">
        <v>1</v>
      </c>
      <c r="C430">
        <v>1</v>
      </c>
      <c r="D430">
        <v>0</v>
      </c>
    </row>
    <row r="431" spans="1:4" x14ac:dyDescent="0.3">
      <c r="A431">
        <v>1</v>
      </c>
      <c r="B431">
        <v>1</v>
      </c>
      <c r="C431">
        <v>1</v>
      </c>
      <c r="D431">
        <v>0</v>
      </c>
    </row>
    <row r="432" spans="1:4" x14ac:dyDescent="0.3">
      <c r="A432">
        <v>1</v>
      </c>
      <c r="B432">
        <v>1</v>
      </c>
      <c r="C432">
        <v>1</v>
      </c>
      <c r="D432">
        <v>0</v>
      </c>
    </row>
    <row r="433" spans="1:4" x14ac:dyDescent="0.3">
      <c r="A433">
        <v>1</v>
      </c>
      <c r="B433">
        <v>1</v>
      </c>
      <c r="C433">
        <v>1</v>
      </c>
      <c r="D433">
        <v>0</v>
      </c>
    </row>
    <row r="434" spans="1:4" x14ac:dyDescent="0.3">
      <c r="A434">
        <v>1</v>
      </c>
      <c r="B434">
        <v>1</v>
      </c>
      <c r="C434">
        <v>1</v>
      </c>
      <c r="D434">
        <v>0</v>
      </c>
    </row>
    <row r="435" spans="1:4" x14ac:dyDescent="0.3">
      <c r="A435">
        <v>1</v>
      </c>
      <c r="B435">
        <v>1</v>
      </c>
      <c r="C435">
        <v>1</v>
      </c>
      <c r="D435">
        <v>0</v>
      </c>
    </row>
    <row r="436" spans="1:4" x14ac:dyDescent="0.3">
      <c r="A436">
        <v>1</v>
      </c>
      <c r="B436">
        <v>1</v>
      </c>
      <c r="C436">
        <v>1</v>
      </c>
      <c r="D436">
        <v>0</v>
      </c>
    </row>
    <row r="437" spans="1:4" x14ac:dyDescent="0.3">
      <c r="A437">
        <v>1</v>
      </c>
      <c r="B437">
        <v>1</v>
      </c>
      <c r="C437">
        <v>1</v>
      </c>
      <c r="D437">
        <v>0</v>
      </c>
    </row>
    <row r="438" spans="1:4" x14ac:dyDescent="0.3">
      <c r="A438">
        <v>1</v>
      </c>
      <c r="B438">
        <v>1</v>
      </c>
      <c r="C438">
        <v>1</v>
      </c>
      <c r="D438">
        <v>0</v>
      </c>
    </row>
    <row r="439" spans="1:4" x14ac:dyDescent="0.3">
      <c r="A439">
        <v>1</v>
      </c>
      <c r="B439">
        <v>1</v>
      </c>
      <c r="C439">
        <v>1</v>
      </c>
      <c r="D439">
        <v>0</v>
      </c>
    </row>
    <row r="440" spans="1:4" x14ac:dyDescent="0.3">
      <c r="A440">
        <v>1</v>
      </c>
      <c r="B440">
        <v>1</v>
      </c>
      <c r="C440">
        <v>1</v>
      </c>
      <c r="D440">
        <v>0</v>
      </c>
    </row>
    <row r="441" spans="1:4" x14ac:dyDescent="0.3">
      <c r="A441">
        <v>1</v>
      </c>
      <c r="B441">
        <v>1</v>
      </c>
      <c r="C441">
        <v>1</v>
      </c>
      <c r="D441">
        <v>0</v>
      </c>
    </row>
    <row r="442" spans="1:4" x14ac:dyDescent="0.3">
      <c r="A442">
        <v>1</v>
      </c>
      <c r="B442">
        <v>1</v>
      </c>
      <c r="C442">
        <v>1</v>
      </c>
      <c r="D442">
        <v>0</v>
      </c>
    </row>
    <row r="443" spans="1:4" x14ac:dyDescent="0.3">
      <c r="A443">
        <v>1</v>
      </c>
      <c r="B443">
        <v>1</v>
      </c>
      <c r="C443">
        <v>1</v>
      </c>
      <c r="D443">
        <v>0</v>
      </c>
    </row>
    <row r="444" spans="1:4" x14ac:dyDescent="0.3">
      <c r="A444">
        <v>1</v>
      </c>
      <c r="B444">
        <v>1</v>
      </c>
      <c r="C444">
        <v>1</v>
      </c>
      <c r="D444">
        <v>0</v>
      </c>
    </row>
    <row r="445" spans="1:4" x14ac:dyDescent="0.3">
      <c r="A445">
        <v>1</v>
      </c>
      <c r="B445">
        <v>1</v>
      </c>
      <c r="C445">
        <v>1</v>
      </c>
      <c r="D445">
        <v>0</v>
      </c>
    </row>
    <row r="446" spans="1:4" x14ac:dyDescent="0.3">
      <c r="A446">
        <v>1</v>
      </c>
      <c r="B446">
        <v>1</v>
      </c>
      <c r="C446">
        <v>1</v>
      </c>
      <c r="D446">
        <v>0</v>
      </c>
    </row>
    <row r="447" spans="1:4" x14ac:dyDescent="0.3">
      <c r="A447">
        <v>1</v>
      </c>
      <c r="B447">
        <v>1</v>
      </c>
      <c r="C447">
        <v>1</v>
      </c>
      <c r="D447">
        <v>0</v>
      </c>
    </row>
    <row r="448" spans="1:4" x14ac:dyDescent="0.3">
      <c r="A448">
        <v>1</v>
      </c>
      <c r="B448">
        <v>1</v>
      </c>
      <c r="C448">
        <v>1</v>
      </c>
      <c r="D448">
        <v>0</v>
      </c>
    </row>
    <row r="449" spans="1:4" x14ac:dyDescent="0.3">
      <c r="A449">
        <v>1</v>
      </c>
      <c r="B449">
        <v>1</v>
      </c>
      <c r="C449">
        <v>1</v>
      </c>
      <c r="D449">
        <v>0</v>
      </c>
    </row>
    <row r="450" spans="1:4" x14ac:dyDescent="0.3">
      <c r="A450">
        <v>1</v>
      </c>
      <c r="B450">
        <v>1</v>
      </c>
      <c r="C450">
        <v>1</v>
      </c>
      <c r="D450">
        <v>0</v>
      </c>
    </row>
    <row r="451" spans="1:4" x14ac:dyDescent="0.3">
      <c r="A451">
        <v>1</v>
      </c>
      <c r="B451">
        <v>1</v>
      </c>
      <c r="C451">
        <v>1</v>
      </c>
      <c r="D451">
        <v>0</v>
      </c>
    </row>
    <row r="452" spans="1:4" x14ac:dyDescent="0.3">
      <c r="A452">
        <v>1</v>
      </c>
      <c r="B452">
        <v>1</v>
      </c>
      <c r="C452">
        <v>1</v>
      </c>
      <c r="D452">
        <v>0</v>
      </c>
    </row>
    <row r="453" spans="1:4" x14ac:dyDescent="0.3">
      <c r="A453">
        <v>1</v>
      </c>
      <c r="B453">
        <v>1</v>
      </c>
      <c r="C453">
        <v>1</v>
      </c>
      <c r="D453">
        <v>0</v>
      </c>
    </row>
    <row r="454" spans="1:4" x14ac:dyDescent="0.3">
      <c r="A454">
        <v>1</v>
      </c>
      <c r="B454">
        <v>1</v>
      </c>
      <c r="C454">
        <v>1</v>
      </c>
      <c r="D454">
        <v>0</v>
      </c>
    </row>
    <row r="455" spans="1:4" x14ac:dyDescent="0.3">
      <c r="A455">
        <v>1</v>
      </c>
      <c r="B455">
        <v>1</v>
      </c>
      <c r="C455">
        <v>1</v>
      </c>
      <c r="D455">
        <v>0</v>
      </c>
    </row>
    <row r="456" spans="1:4" x14ac:dyDescent="0.3">
      <c r="A456">
        <v>1</v>
      </c>
      <c r="B456">
        <v>1</v>
      </c>
      <c r="C456">
        <v>1</v>
      </c>
      <c r="D456">
        <v>0</v>
      </c>
    </row>
    <row r="457" spans="1:4" x14ac:dyDescent="0.3">
      <c r="A457">
        <v>1</v>
      </c>
      <c r="B457">
        <v>1</v>
      </c>
      <c r="C457">
        <v>1</v>
      </c>
      <c r="D457">
        <v>0</v>
      </c>
    </row>
    <row r="458" spans="1:4" x14ac:dyDescent="0.3">
      <c r="A458">
        <v>1</v>
      </c>
      <c r="B458">
        <v>1</v>
      </c>
      <c r="C458">
        <v>1</v>
      </c>
      <c r="D458">
        <v>0</v>
      </c>
    </row>
    <row r="459" spans="1:4" x14ac:dyDescent="0.3">
      <c r="A459">
        <v>1</v>
      </c>
      <c r="B459">
        <v>1</v>
      </c>
      <c r="C459">
        <v>1</v>
      </c>
      <c r="D459">
        <v>0</v>
      </c>
    </row>
    <row r="460" spans="1:4" x14ac:dyDescent="0.3">
      <c r="A460">
        <v>1</v>
      </c>
      <c r="B460">
        <v>1</v>
      </c>
      <c r="C460">
        <v>1</v>
      </c>
      <c r="D460">
        <v>0</v>
      </c>
    </row>
    <row r="461" spans="1:4" x14ac:dyDescent="0.3">
      <c r="A461">
        <v>1</v>
      </c>
      <c r="B461">
        <v>1</v>
      </c>
      <c r="C461">
        <v>1</v>
      </c>
      <c r="D461">
        <v>0</v>
      </c>
    </row>
    <row r="462" spans="1:4" x14ac:dyDescent="0.3">
      <c r="A462">
        <v>1</v>
      </c>
      <c r="B462">
        <v>1</v>
      </c>
      <c r="C462">
        <v>1</v>
      </c>
      <c r="D462">
        <v>0</v>
      </c>
    </row>
    <row r="463" spans="1:4" x14ac:dyDescent="0.3">
      <c r="A463">
        <v>1</v>
      </c>
      <c r="B463">
        <v>1</v>
      </c>
      <c r="C463">
        <v>1</v>
      </c>
      <c r="D463">
        <v>0</v>
      </c>
    </row>
    <row r="464" spans="1:4" x14ac:dyDescent="0.3">
      <c r="A464">
        <v>1</v>
      </c>
      <c r="B464">
        <v>1</v>
      </c>
      <c r="C464">
        <v>1</v>
      </c>
      <c r="D464">
        <v>0</v>
      </c>
    </row>
    <row r="465" spans="1:4" x14ac:dyDescent="0.3">
      <c r="A465">
        <v>1</v>
      </c>
      <c r="B465">
        <v>1</v>
      </c>
      <c r="C465">
        <v>1</v>
      </c>
      <c r="D465">
        <v>0</v>
      </c>
    </row>
    <row r="466" spans="1:4" x14ac:dyDescent="0.3">
      <c r="A466">
        <v>1</v>
      </c>
      <c r="B466">
        <v>1</v>
      </c>
      <c r="C466">
        <v>1</v>
      </c>
      <c r="D466">
        <v>0</v>
      </c>
    </row>
    <row r="467" spans="1:4" x14ac:dyDescent="0.3">
      <c r="A467">
        <v>1</v>
      </c>
      <c r="B467">
        <v>1</v>
      </c>
      <c r="C467">
        <v>1</v>
      </c>
      <c r="D467">
        <v>0</v>
      </c>
    </row>
    <row r="468" spans="1:4" x14ac:dyDescent="0.3">
      <c r="A468">
        <v>1</v>
      </c>
      <c r="B468">
        <v>1</v>
      </c>
      <c r="C468">
        <v>1</v>
      </c>
      <c r="D468">
        <v>0</v>
      </c>
    </row>
    <row r="469" spans="1:4" x14ac:dyDescent="0.3">
      <c r="A469">
        <v>1</v>
      </c>
      <c r="B469">
        <v>1</v>
      </c>
      <c r="C469">
        <v>1</v>
      </c>
      <c r="D469">
        <v>0</v>
      </c>
    </row>
    <row r="470" spans="1:4" x14ac:dyDescent="0.3">
      <c r="A470">
        <v>1</v>
      </c>
      <c r="B470">
        <v>1</v>
      </c>
      <c r="C470">
        <v>1</v>
      </c>
      <c r="D470">
        <v>0</v>
      </c>
    </row>
    <row r="471" spans="1:4" x14ac:dyDescent="0.3">
      <c r="A471">
        <v>1</v>
      </c>
      <c r="B471">
        <v>1</v>
      </c>
      <c r="C471">
        <v>1</v>
      </c>
      <c r="D471">
        <v>0</v>
      </c>
    </row>
    <row r="472" spans="1:4" x14ac:dyDescent="0.3">
      <c r="A472">
        <v>1</v>
      </c>
      <c r="B472">
        <v>1</v>
      </c>
      <c r="C472">
        <v>1</v>
      </c>
      <c r="D472">
        <v>0</v>
      </c>
    </row>
    <row r="473" spans="1:4" x14ac:dyDescent="0.3">
      <c r="A473">
        <v>1</v>
      </c>
      <c r="B473">
        <v>1</v>
      </c>
      <c r="C473">
        <v>1</v>
      </c>
      <c r="D473">
        <v>0</v>
      </c>
    </row>
    <row r="474" spans="1:4" x14ac:dyDescent="0.3">
      <c r="A474">
        <v>1</v>
      </c>
      <c r="B474">
        <v>1</v>
      </c>
      <c r="C474">
        <v>1</v>
      </c>
      <c r="D474">
        <v>0</v>
      </c>
    </row>
    <row r="475" spans="1:4" x14ac:dyDescent="0.3">
      <c r="A475">
        <v>1</v>
      </c>
      <c r="B475">
        <v>1</v>
      </c>
      <c r="C475">
        <v>1</v>
      </c>
      <c r="D475">
        <v>0</v>
      </c>
    </row>
    <row r="476" spans="1:4" x14ac:dyDescent="0.3">
      <c r="A476">
        <v>1</v>
      </c>
      <c r="B476">
        <v>1</v>
      </c>
      <c r="C476">
        <v>1</v>
      </c>
      <c r="D476">
        <v>0</v>
      </c>
    </row>
    <row r="477" spans="1:4" x14ac:dyDescent="0.3">
      <c r="A477">
        <v>1</v>
      </c>
      <c r="B477">
        <v>1</v>
      </c>
      <c r="C477">
        <v>1</v>
      </c>
      <c r="D477">
        <v>0</v>
      </c>
    </row>
    <row r="478" spans="1:4" x14ac:dyDescent="0.3">
      <c r="A478">
        <v>1</v>
      </c>
      <c r="B478">
        <v>1</v>
      </c>
      <c r="C478">
        <v>1</v>
      </c>
      <c r="D478">
        <v>0</v>
      </c>
    </row>
    <row r="479" spans="1:4" x14ac:dyDescent="0.3">
      <c r="A479">
        <v>1</v>
      </c>
      <c r="B479">
        <v>1</v>
      </c>
      <c r="C479">
        <v>1</v>
      </c>
      <c r="D479">
        <v>0</v>
      </c>
    </row>
    <row r="480" spans="1:4" x14ac:dyDescent="0.3">
      <c r="A480">
        <v>1</v>
      </c>
      <c r="B480">
        <v>1</v>
      </c>
      <c r="C480">
        <v>1</v>
      </c>
      <c r="D480">
        <v>0</v>
      </c>
    </row>
    <row r="481" spans="1:4" x14ac:dyDescent="0.3">
      <c r="A481">
        <v>1</v>
      </c>
      <c r="B481">
        <v>1</v>
      </c>
      <c r="C481">
        <v>1</v>
      </c>
      <c r="D481">
        <v>0</v>
      </c>
    </row>
    <row r="482" spans="1:4" x14ac:dyDescent="0.3">
      <c r="A482">
        <v>1</v>
      </c>
      <c r="B482">
        <v>1</v>
      </c>
      <c r="C482">
        <v>1</v>
      </c>
      <c r="D482">
        <v>0</v>
      </c>
    </row>
    <row r="483" spans="1:4" x14ac:dyDescent="0.3">
      <c r="A483">
        <v>1</v>
      </c>
      <c r="B483">
        <v>1</v>
      </c>
      <c r="C483">
        <v>1</v>
      </c>
      <c r="D483">
        <v>0</v>
      </c>
    </row>
    <row r="484" spans="1:4" x14ac:dyDescent="0.3">
      <c r="A484">
        <v>1</v>
      </c>
      <c r="B484">
        <v>1</v>
      </c>
      <c r="C484">
        <v>1</v>
      </c>
      <c r="D484">
        <v>0</v>
      </c>
    </row>
    <row r="485" spans="1:4" x14ac:dyDescent="0.3">
      <c r="A485">
        <v>1</v>
      </c>
      <c r="B485">
        <v>1</v>
      </c>
      <c r="C485">
        <v>1</v>
      </c>
      <c r="D485">
        <v>0</v>
      </c>
    </row>
    <row r="486" spans="1:4" x14ac:dyDescent="0.3">
      <c r="A486">
        <v>1</v>
      </c>
      <c r="B486">
        <v>1</v>
      </c>
      <c r="C486">
        <v>1</v>
      </c>
      <c r="D486">
        <v>0</v>
      </c>
    </row>
    <row r="487" spans="1:4" x14ac:dyDescent="0.3">
      <c r="A487">
        <v>1</v>
      </c>
      <c r="B487">
        <v>1</v>
      </c>
      <c r="C487">
        <v>1</v>
      </c>
      <c r="D487">
        <v>0</v>
      </c>
    </row>
    <row r="488" spans="1:4" x14ac:dyDescent="0.3">
      <c r="A488">
        <v>1</v>
      </c>
      <c r="B488">
        <v>1</v>
      </c>
      <c r="C488">
        <v>1</v>
      </c>
      <c r="D488">
        <v>0</v>
      </c>
    </row>
    <row r="489" spans="1:4" x14ac:dyDescent="0.3">
      <c r="A489">
        <v>1</v>
      </c>
      <c r="B489">
        <v>1</v>
      </c>
      <c r="C489">
        <v>1</v>
      </c>
      <c r="D489">
        <v>0</v>
      </c>
    </row>
    <row r="490" spans="1:4" x14ac:dyDescent="0.3">
      <c r="A490">
        <v>1</v>
      </c>
      <c r="B490">
        <v>1</v>
      </c>
      <c r="C490">
        <v>1</v>
      </c>
      <c r="D490">
        <v>0</v>
      </c>
    </row>
    <row r="491" spans="1:4" x14ac:dyDescent="0.3">
      <c r="A491">
        <v>1</v>
      </c>
      <c r="B491">
        <v>1</v>
      </c>
      <c r="C491">
        <v>1</v>
      </c>
      <c r="D491">
        <v>0</v>
      </c>
    </row>
    <row r="492" spans="1:4" x14ac:dyDescent="0.3">
      <c r="A492">
        <v>1</v>
      </c>
      <c r="B492">
        <v>1</v>
      </c>
      <c r="C492">
        <v>1</v>
      </c>
      <c r="D492">
        <v>0</v>
      </c>
    </row>
    <row r="493" spans="1:4" x14ac:dyDescent="0.3">
      <c r="A493">
        <v>1</v>
      </c>
      <c r="B493">
        <v>1</v>
      </c>
      <c r="C493">
        <v>1</v>
      </c>
      <c r="D493">
        <v>0</v>
      </c>
    </row>
    <row r="494" spans="1:4" x14ac:dyDescent="0.3">
      <c r="A494">
        <v>1</v>
      </c>
      <c r="B494">
        <v>1</v>
      </c>
      <c r="C494">
        <v>1</v>
      </c>
      <c r="D494">
        <v>0</v>
      </c>
    </row>
    <row r="495" spans="1:4" x14ac:dyDescent="0.3">
      <c r="A495">
        <v>1</v>
      </c>
      <c r="B495">
        <v>1</v>
      </c>
      <c r="C495">
        <v>1</v>
      </c>
      <c r="D495">
        <v>0</v>
      </c>
    </row>
    <row r="496" spans="1:4" x14ac:dyDescent="0.3">
      <c r="A496">
        <v>1</v>
      </c>
      <c r="B496">
        <v>1</v>
      </c>
      <c r="C496">
        <v>1</v>
      </c>
      <c r="D496">
        <v>0</v>
      </c>
    </row>
    <row r="497" spans="1:4" x14ac:dyDescent="0.3">
      <c r="A497">
        <v>1</v>
      </c>
      <c r="B497">
        <v>1</v>
      </c>
      <c r="C497">
        <v>1</v>
      </c>
      <c r="D497">
        <v>0</v>
      </c>
    </row>
    <row r="498" spans="1:4" x14ac:dyDescent="0.3">
      <c r="A498">
        <v>1</v>
      </c>
      <c r="B498">
        <v>1</v>
      </c>
      <c r="C498">
        <v>1</v>
      </c>
      <c r="D498">
        <v>0</v>
      </c>
    </row>
    <row r="499" spans="1:4" x14ac:dyDescent="0.3">
      <c r="A499">
        <v>1</v>
      </c>
      <c r="B499">
        <v>1</v>
      </c>
      <c r="C499">
        <v>1</v>
      </c>
      <c r="D499">
        <v>0</v>
      </c>
    </row>
    <row r="500" spans="1:4" x14ac:dyDescent="0.3">
      <c r="A500">
        <v>1</v>
      </c>
      <c r="B500">
        <v>1</v>
      </c>
      <c r="C500">
        <v>1</v>
      </c>
      <c r="D500">
        <v>0</v>
      </c>
    </row>
    <row r="501" spans="1:4" x14ac:dyDescent="0.3">
      <c r="A501">
        <v>1</v>
      </c>
      <c r="B501">
        <v>1</v>
      </c>
      <c r="C501">
        <v>1</v>
      </c>
      <c r="D501">
        <v>0</v>
      </c>
    </row>
    <row r="502" spans="1:4" x14ac:dyDescent="0.3">
      <c r="A502">
        <v>1</v>
      </c>
      <c r="B502">
        <v>1</v>
      </c>
      <c r="C502">
        <v>1</v>
      </c>
      <c r="D502">
        <v>0</v>
      </c>
    </row>
    <row r="503" spans="1:4" x14ac:dyDescent="0.3">
      <c r="A503">
        <v>1</v>
      </c>
      <c r="B503">
        <v>1</v>
      </c>
      <c r="C503">
        <v>1</v>
      </c>
      <c r="D503">
        <v>0</v>
      </c>
    </row>
    <row r="504" spans="1:4" x14ac:dyDescent="0.3">
      <c r="A504">
        <v>1</v>
      </c>
      <c r="B504">
        <v>1</v>
      </c>
      <c r="C504">
        <v>1</v>
      </c>
      <c r="D504">
        <v>0</v>
      </c>
    </row>
    <row r="505" spans="1:4" x14ac:dyDescent="0.3">
      <c r="A505">
        <v>1</v>
      </c>
      <c r="B505">
        <v>1</v>
      </c>
      <c r="C505">
        <v>1</v>
      </c>
      <c r="D505">
        <v>0</v>
      </c>
    </row>
    <row r="506" spans="1:4" x14ac:dyDescent="0.3">
      <c r="A506">
        <v>1</v>
      </c>
      <c r="B506">
        <v>1</v>
      </c>
      <c r="C506">
        <v>1</v>
      </c>
      <c r="D506">
        <v>0</v>
      </c>
    </row>
    <row r="507" spans="1:4" x14ac:dyDescent="0.3">
      <c r="A507">
        <v>1</v>
      </c>
      <c r="B507">
        <v>1</v>
      </c>
      <c r="C507">
        <v>1</v>
      </c>
      <c r="D507">
        <v>0</v>
      </c>
    </row>
    <row r="508" spans="1:4" x14ac:dyDescent="0.3">
      <c r="A508">
        <v>1</v>
      </c>
      <c r="B508">
        <v>1</v>
      </c>
      <c r="C508">
        <v>1</v>
      </c>
      <c r="D508">
        <v>0</v>
      </c>
    </row>
    <row r="509" spans="1:4" x14ac:dyDescent="0.3">
      <c r="A509">
        <v>1</v>
      </c>
      <c r="B509">
        <v>1</v>
      </c>
      <c r="C509">
        <v>1</v>
      </c>
      <c r="D509">
        <v>0</v>
      </c>
    </row>
    <row r="510" spans="1:4" x14ac:dyDescent="0.3">
      <c r="A510">
        <v>1</v>
      </c>
      <c r="B510">
        <v>1</v>
      </c>
      <c r="C510">
        <v>1</v>
      </c>
      <c r="D510">
        <v>0</v>
      </c>
    </row>
    <row r="511" spans="1:4" x14ac:dyDescent="0.3">
      <c r="A511">
        <v>1</v>
      </c>
      <c r="B511">
        <v>1</v>
      </c>
      <c r="C511">
        <v>1</v>
      </c>
      <c r="D511">
        <v>0</v>
      </c>
    </row>
    <row r="512" spans="1:4" x14ac:dyDescent="0.3">
      <c r="A512">
        <v>1</v>
      </c>
      <c r="B512">
        <v>1</v>
      </c>
      <c r="C512">
        <v>1</v>
      </c>
      <c r="D512">
        <v>0</v>
      </c>
    </row>
    <row r="513" spans="1:4" x14ac:dyDescent="0.3">
      <c r="A513">
        <v>1</v>
      </c>
      <c r="B513">
        <v>1</v>
      </c>
      <c r="C513">
        <v>1</v>
      </c>
      <c r="D513">
        <v>0</v>
      </c>
    </row>
    <row r="514" spans="1:4" x14ac:dyDescent="0.3">
      <c r="A514">
        <v>1</v>
      </c>
      <c r="B514">
        <v>1</v>
      </c>
      <c r="C514">
        <v>1</v>
      </c>
      <c r="D514">
        <v>0</v>
      </c>
    </row>
    <row r="515" spans="1:4" x14ac:dyDescent="0.3">
      <c r="A515">
        <v>1</v>
      </c>
      <c r="B515">
        <v>1</v>
      </c>
      <c r="C515">
        <v>1</v>
      </c>
      <c r="D515">
        <v>0</v>
      </c>
    </row>
    <row r="516" spans="1:4" x14ac:dyDescent="0.3">
      <c r="A516">
        <v>1</v>
      </c>
      <c r="B516">
        <v>1</v>
      </c>
      <c r="C516">
        <v>1</v>
      </c>
      <c r="D516">
        <v>0</v>
      </c>
    </row>
    <row r="517" spans="1:4" x14ac:dyDescent="0.3">
      <c r="A517">
        <v>1</v>
      </c>
      <c r="B517">
        <v>1</v>
      </c>
      <c r="C517">
        <v>1</v>
      </c>
      <c r="D517">
        <v>0</v>
      </c>
    </row>
    <row r="518" spans="1:4" x14ac:dyDescent="0.3">
      <c r="A518">
        <v>1</v>
      </c>
      <c r="B518">
        <v>1</v>
      </c>
      <c r="C518">
        <v>1</v>
      </c>
      <c r="D518">
        <v>0</v>
      </c>
    </row>
    <row r="519" spans="1:4" x14ac:dyDescent="0.3">
      <c r="A519">
        <v>1</v>
      </c>
      <c r="B519">
        <v>1</v>
      </c>
      <c r="C519">
        <v>1</v>
      </c>
      <c r="D519">
        <v>0</v>
      </c>
    </row>
    <row r="520" spans="1:4" x14ac:dyDescent="0.3">
      <c r="A520">
        <v>1</v>
      </c>
      <c r="B520">
        <v>1</v>
      </c>
      <c r="C520">
        <v>1</v>
      </c>
      <c r="D520">
        <v>0</v>
      </c>
    </row>
    <row r="521" spans="1:4" x14ac:dyDescent="0.3">
      <c r="A521">
        <v>1</v>
      </c>
      <c r="B521">
        <v>1</v>
      </c>
      <c r="C521">
        <v>1</v>
      </c>
      <c r="D521">
        <v>0</v>
      </c>
    </row>
    <row r="522" spans="1:4" x14ac:dyDescent="0.3">
      <c r="A522">
        <v>1</v>
      </c>
      <c r="B522">
        <v>1</v>
      </c>
      <c r="C522">
        <v>1</v>
      </c>
      <c r="D522">
        <v>0</v>
      </c>
    </row>
    <row r="523" spans="1:4" x14ac:dyDescent="0.3">
      <c r="A523">
        <v>1</v>
      </c>
      <c r="B523">
        <v>1</v>
      </c>
      <c r="C523">
        <v>1</v>
      </c>
      <c r="D523">
        <v>0</v>
      </c>
    </row>
    <row r="524" spans="1:4" x14ac:dyDescent="0.3">
      <c r="A524">
        <v>1</v>
      </c>
      <c r="B524">
        <v>1</v>
      </c>
      <c r="C524">
        <v>1</v>
      </c>
      <c r="D524">
        <v>0</v>
      </c>
    </row>
    <row r="525" spans="1:4" x14ac:dyDescent="0.3">
      <c r="A525">
        <v>1</v>
      </c>
      <c r="B525">
        <v>1</v>
      </c>
      <c r="C525">
        <v>1</v>
      </c>
      <c r="D525">
        <v>0</v>
      </c>
    </row>
    <row r="526" spans="1:4" x14ac:dyDescent="0.3">
      <c r="A526">
        <v>1</v>
      </c>
      <c r="B526">
        <v>1</v>
      </c>
      <c r="C526">
        <v>1</v>
      </c>
      <c r="D526">
        <v>0</v>
      </c>
    </row>
    <row r="527" spans="1:4" x14ac:dyDescent="0.3">
      <c r="A527">
        <v>1</v>
      </c>
      <c r="B527">
        <v>1</v>
      </c>
      <c r="C527">
        <v>1</v>
      </c>
      <c r="D527">
        <v>0</v>
      </c>
    </row>
    <row r="528" spans="1:4" x14ac:dyDescent="0.3">
      <c r="A528">
        <v>1</v>
      </c>
      <c r="B528">
        <v>1</v>
      </c>
      <c r="C528">
        <v>1</v>
      </c>
      <c r="D528">
        <v>0</v>
      </c>
    </row>
    <row r="529" spans="1:4" x14ac:dyDescent="0.3">
      <c r="A529">
        <v>1</v>
      </c>
      <c r="B529">
        <v>1</v>
      </c>
      <c r="C529">
        <v>1</v>
      </c>
      <c r="D529">
        <v>0</v>
      </c>
    </row>
    <row r="530" spans="1:4" x14ac:dyDescent="0.3">
      <c r="A530">
        <v>1</v>
      </c>
      <c r="B530">
        <v>1</v>
      </c>
      <c r="C530">
        <v>1</v>
      </c>
      <c r="D530">
        <v>0</v>
      </c>
    </row>
    <row r="531" spans="1:4" x14ac:dyDescent="0.3">
      <c r="A531">
        <v>1</v>
      </c>
      <c r="B531">
        <v>1</v>
      </c>
      <c r="C531">
        <v>1</v>
      </c>
      <c r="D531">
        <v>0</v>
      </c>
    </row>
    <row r="532" spans="1:4" x14ac:dyDescent="0.3">
      <c r="A532">
        <v>1</v>
      </c>
      <c r="B532">
        <v>1</v>
      </c>
      <c r="C532">
        <v>1</v>
      </c>
      <c r="D532">
        <v>0</v>
      </c>
    </row>
    <row r="533" spans="1:4" x14ac:dyDescent="0.3">
      <c r="A533">
        <v>1</v>
      </c>
      <c r="B533">
        <v>1</v>
      </c>
      <c r="C533">
        <v>1</v>
      </c>
      <c r="D533">
        <v>0</v>
      </c>
    </row>
    <row r="534" spans="1:4" x14ac:dyDescent="0.3">
      <c r="A534">
        <v>1</v>
      </c>
      <c r="B534">
        <v>1</v>
      </c>
      <c r="C534">
        <v>1</v>
      </c>
      <c r="D534">
        <v>0</v>
      </c>
    </row>
    <row r="535" spans="1:4" x14ac:dyDescent="0.3">
      <c r="A535">
        <v>1</v>
      </c>
      <c r="B535">
        <v>1</v>
      </c>
      <c r="C535">
        <v>1</v>
      </c>
      <c r="D535">
        <v>0</v>
      </c>
    </row>
    <row r="536" spans="1:4" x14ac:dyDescent="0.3">
      <c r="A536">
        <v>1</v>
      </c>
      <c r="B536">
        <v>1</v>
      </c>
      <c r="C536">
        <v>1</v>
      </c>
      <c r="D536">
        <v>0</v>
      </c>
    </row>
    <row r="537" spans="1:4" x14ac:dyDescent="0.3">
      <c r="A537">
        <v>1</v>
      </c>
      <c r="B537">
        <v>1</v>
      </c>
      <c r="C537">
        <v>1</v>
      </c>
      <c r="D537">
        <v>0</v>
      </c>
    </row>
    <row r="538" spans="1:4" x14ac:dyDescent="0.3">
      <c r="A538">
        <v>1</v>
      </c>
      <c r="B538">
        <v>1</v>
      </c>
      <c r="C538">
        <v>1</v>
      </c>
      <c r="D538">
        <v>0</v>
      </c>
    </row>
    <row r="539" spans="1:4" x14ac:dyDescent="0.3">
      <c r="A539">
        <v>1</v>
      </c>
      <c r="B539">
        <v>1</v>
      </c>
      <c r="C539">
        <v>1</v>
      </c>
      <c r="D539">
        <v>0</v>
      </c>
    </row>
    <row r="540" spans="1:4" x14ac:dyDescent="0.3">
      <c r="A540">
        <v>1</v>
      </c>
      <c r="B540">
        <v>1</v>
      </c>
      <c r="C540">
        <v>1</v>
      </c>
      <c r="D540">
        <v>0</v>
      </c>
    </row>
    <row r="541" spans="1:4" x14ac:dyDescent="0.3">
      <c r="A541">
        <v>1</v>
      </c>
      <c r="B541">
        <v>1</v>
      </c>
      <c r="C541">
        <v>1</v>
      </c>
      <c r="D541">
        <v>0</v>
      </c>
    </row>
    <row r="542" spans="1:4" x14ac:dyDescent="0.3">
      <c r="A542">
        <v>1</v>
      </c>
      <c r="B542">
        <v>1</v>
      </c>
      <c r="C542">
        <v>1</v>
      </c>
      <c r="D542">
        <v>0</v>
      </c>
    </row>
    <row r="543" spans="1:4" x14ac:dyDescent="0.3">
      <c r="A543">
        <v>1</v>
      </c>
      <c r="B543">
        <v>1</v>
      </c>
      <c r="C543">
        <v>1</v>
      </c>
      <c r="D543">
        <v>0</v>
      </c>
    </row>
    <row r="544" spans="1:4" x14ac:dyDescent="0.3">
      <c r="A544">
        <v>1</v>
      </c>
      <c r="B544">
        <v>1</v>
      </c>
      <c r="C544">
        <v>1</v>
      </c>
      <c r="D544">
        <v>0</v>
      </c>
    </row>
    <row r="545" spans="1:4" x14ac:dyDescent="0.3">
      <c r="A545">
        <v>1</v>
      </c>
      <c r="B545">
        <v>1</v>
      </c>
      <c r="C545">
        <v>1</v>
      </c>
      <c r="D545">
        <v>0</v>
      </c>
    </row>
    <row r="546" spans="1:4" x14ac:dyDescent="0.3">
      <c r="A546">
        <v>1</v>
      </c>
      <c r="B546">
        <v>1</v>
      </c>
      <c r="C546">
        <v>1</v>
      </c>
      <c r="D546">
        <v>0</v>
      </c>
    </row>
    <row r="547" spans="1:4" x14ac:dyDescent="0.3">
      <c r="A547">
        <v>1</v>
      </c>
      <c r="B547">
        <v>1</v>
      </c>
      <c r="C547">
        <v>1</v>
      </c>
      <c r="D547">
        <v>0</v>
      </c>
    </row>
    <row r="548" spans="1:4" x14ac:dyDescent="0.3">
      <c r="A548">
        <v>1</v>
      </c>
      <c r="B548">
        <v>1</v>
      </c>
      <c r="C548">
        <v>1</v>
      </c>
      <c r="D548">
        <v>0</v>
      </c>
    </row>
    <row r="549" spans="1:4" x14ac:dyDescent="0.3">
      <c r="A549">
        <v>1</v>
      </c>
      <c r="B549">
        <v>1</v>
      </c>
      <c r="C549">
        <v>1</v>
      </c>
      <c r="D549">
        <v>0</v>
      </c>
    </row>
    <row r="550" spans="1:4" x14ac:dyDescent="0.3">
      <c r="A550">
        <v>1</v>
      </c>
      <c r="B550">
        <v>1</v>
      </c>
      <c r="C550">
        <v>1</v>
      </c>
      <c r="D550">
        <v>0</v>
      </c>
    </row>
    <row r="551" spans="1:4" x14ac:dyDescent="0.3">
      <c r="A551">
        <v>1</v>
      </c>
      <c r="B551">
        <v>1</v>
      </c>
      <c r="C551">
        <v>1</v>
      </c>
      <c r="D551">
        <v>0</v>
      </c>
    </row>
    <row r="552" spans="1:4" x14ac:dyDescent="0.3">
      <c r="A552">
        <v>1</v>
      </c>
      <c r="B552">
        <v>1</v>
      </c>
      <c r="C552">
        <v>1</v>
      </c>
      <c r="D552">
        <v>0</v>
      </c>
    </row>
    <row r="553" spans="1:4" x14ac:dyDescent="0.3">
      <c r="A553">
        <v>1</v>
      </c>
      <c r="B553">
        <v>1</v>
      </c>
      <c r="C553">
        <v>1</v>
      </c>
      <c r="D553">
        <v>0</v>
      </c>
    </row>
    <row r="554" spans="1:4" x14ac:dyDescent="0.3">
      <c r="A554">
        <v>1</v>
      </c>
      <c r="B554">
        <v>1</v>
      </c>
      <c r="C554">
        <v>1</v>
      </c>
      <c r="D554">
        <v>0</v>
      </c>
    </row>
    <row r="555" spans="1:4" x14ac:dyDescent="0.3">
      <c r="A555">
        <v>1</v>
      </c>
      <c r="B555">
        <v>1</v>
      </c>
      <c r="C555">
        <v>1</v>
      </c>
      <c r="D555">
        <v>0</v>
      </c>
    </row>
    <row r="556" spans="1:4" x14ac:dyDescent="0.3">
      <c r="A556">
        <v>1</v>
      </c>
      <c r="B556">
        <v>1</v>
      </c>
      <c r="C556">
        <v>1</v>
      </c>
      <c r="D556">
        <v>0</v>
      </c>
    </row>
    <row r="557" spans="1:4" x14ac:dyDescent="0.3">
      <c r="A557">
        <v>1</v>
      </c>
      <c r="B557">
        <v>1</v>
      </c>
      <c r="C557">
        <v>1</v>
      </c>
      <c r="D557">
        <v>0</v>
      </c>
    </row>
    <row r="558" spans="1:4" x14ac:dyDescent="0.3">
      <c r="A558">
        <v>1</v>
      </c>
      <c r="B558">
        <v>1</v>
      </c>
      <c r="C558">
        <v>1</v>
      </c>
      <c r="D558">
        <v>0</v>
      </c>
    </row>
    <row r="559" spans="1:4" x14ac:dyDescent="0.3">
      <c r="A559">
        <v>1</v>
      </c>
      <c r="B559">
        <v>1</v>
      </c>
      <c r="C559">
        <v>1</v>
      </c>
      <c r="D559">
        <v>0</v>
      </c>
    </row>
    <row r="560" spans="1:4" x14ac:dyDescent="0.3">
      <c r="A560">
        <v>1</v>
      </c>
      <c r="B560">
        <v>1</v>
      </c>
      <c r="C560">
        <v>1</v>
      </c>
      <c r="D560">
        <v>0</v>
      </c>
    </row>
    <row r="561" spans="1:4" x14ac:dyDescent="0.3">
      <c r="A561">
        <v>1</v>
      </c>
      <c r="B561">
        <v>1</v>
      </c>
      <c r="C561">
        <v>1</v>
      </c>
      <c r="D561">
        <v>0</v>
      </c>
    </row>
    <row r="562" spans="1:4" x14ac:dyDescent="0.3">
      <c r="A562">
        <v>1</v>
      </c>
      <c r="B562">
        <v>1</v>
      </c>
      <c r="C562">
        <v>1</v>
      </c>
      <c r="D562">
        <v>0</v>
      </c>
    </row>
    <row r="563" spans="1:4" x14ac:dyDescent="0.3">
      <c r="A563">
        <v>1</v>
      </c>
      <c r="B563">
        <v>1</v>
      </c>
      <c r="C563">
        <v>1</v>
      </c>
      <c r="D563">
        <v>0</v>
      </c>
    </row>
    <row r="564" spans="1:4" x14ac:dyDescent="0.3">
      <c r="A564">
        <v>1</v>
      </c>
      <c r="B564">
        <v>1</v>
      </c>
      <c r="C564">
        <v>1</v>
      </c>
      <c r="D564">
        <v>0</v>
      </c>
    </row>
    <row r="565" spans="1:4" x14ac:dyDescent="0.3">
      <c r="A565">
        <v>1</v>
      </c>
      <c r="B565">
        <v>1</v>
      </c>
      <c r="C565">
        <v>1</v>
      </c>
      <c r="D565">
        <v>0</v>
      </c>
    </row>
    <row r="566" spans="1:4" x14ac:dyDescent="0.3">
      <c r="A566">
        <v>1</v>
      </c>
      <c r="B566">
        <v>1</v>
      </c>
      <c r="C566">
        <v>1</v>
      </c>
      <c r="D566">
        <v>0</v>
      </c>
    </row>
    <row r="567" spans="1:4" x14ac:dyDescent="0.3">
      <c r="A567">
        <v>1</v>
      </c>
      <c r="B567">
        <v>1</v>
      </c>
      <c r="C567">
        <v>1</v>
      </c>
      <c r="D567">
        <v>0</v>
      </c>
    </row>
    <row r="568" spans="1:4" x14ac:dyDescent="0.3">
      <c r="A568">
        <v>1</v>
      </c>
      <c r="B568">
        <v>1</v>
      </c>
      <c r="C568">
        <v>1</v>
      </c>
      <c r="D568">
        <v>0</v>
      </c>
    </row>
    <row r="569" spans="1:4" x14ac:dyDescent="0.3">
      <c r="A569">
        <v>1</v>
      </c>
      <c r="B569">
        <v>1</v>
      </c>
      <c r="C569">
        <v>1</v>
      </c>
      <c r="D569">
        <v>0</v>
      </c>
    </row>
    <row r="570" spans="1:4" x14ac:dyDescent="0.3">
      <c r="A570">
        <v>1</v>
      </c>
      <c r="B570">
        <v>1</v>
      </c>
      <c r="C570">
        <v>1</v>
      </c>
      <c r="D570">
        <v>0</v>
      </c>
    </row>
    <row r="571" spans="1:4" x14ac:dyDescent="0.3">
      <c r="A571">
        <v>1</v>
      </c>
      <c r="B571">
        <v>1</v>
      </c>
      <c r="C571">
        <v>1</v>
      </c>
      <c r="D571">
        <v>0</v>
      </c>
    </row>
    <row r="572" spans="1:4" x14ac:dyDescent="0.3">
      <c r="A572">
        <v>1</v>
      </c>
      <c r="B572">
        <v>1</v>
      </c>
      <c r="C572">
        <v>1</v>
      </c>
      <c r="D572">
        <v>0</v>
      </c>
    </row>
    <row r="573" spans="1:4" x14ac:dyDescent="0.3">
      <c r="A573">
        <v>1</v>
      </c>
      <c r="B573">
        <v>1</v>
      </c>
      <c r="C573">
        <v>1</v>
      </c>
      <c r="D573">
        <v>0</v>
      </c>
    </row>
    <row r="574" spans="1:4" x14ac:dyDescent="0.3">
      <c r="A574">
        <v>1</v>
      </c>
      <c r="B574">
        <v>1</v>
      </c>
      <c r="C574">
        <v>1</v>
      </c>
      <c r="D574">
        <v>0</v>
      </c>
    </row>
    <row r="575" spans="1:4" x14ac:dyDescent="0.3">
      <c r="A575">
        <v>1</v>
      </c>
      <c r="B575">
        <v>1</v>
      </c>
      <c r="C575">
        <v>1</v>
      </c>
      <c r="D575">
        <v>0</v>
      </c>
    </row>
    <row r="576" spans="1:4" x14ac:dyDescent="0.3">
      <c r="A576">
        <v>1</v>
      </c>
      <c r="B576">
        <v>1</v>
      </c>
      <c r="C576">
        <v>1</v>
      </c>
      <c r="D576">
        <v>0</v>
      </c>
    </row>
    <row r="577" spans="1:4" x14ac:dyDescent="0.3">
      <c r="A577">
        <v>1</v>
      </c>
      <c r="B577">
        <v>1</v>
      </c>
      <c r="C577">
        <v>1</v>
      </c>
      <c r="D577">
        <v>0</v>
      </c>
    </row>
    <row r="578" spans="1:4" x14ac:dyDescent="0.3">
      <c r="A578">
        <v>1</v>
      </c>
      <c r="B578">
        <v>1</v>
      </c>
      <c r="C578">
        <v>1</v>
      </c>
      <c r="D578">
        <v>0</v>
      </c>
    </row>
    <row r="579" spans="1:4" x14ac:dyDescent="0.3">
      <c r="A579">
        <v>1</v>
      </c>
      <c r="B579">
        <v>1</v>
      </c>
      <c r="C579">
        <v>1</v>
      </c>
      <c r="D579">
        <v>0</v>
      </c>
    </row>
    <row r="580" spans="1:4" x14ac:dyDescent="0.3">
      <c r="A580">
        <v>1</v>
      </c>
      <c r="B580">
        <v>1</v>
      </c>
      <c r="C580">
        <v>1</v>
      </c>
      <c r="D580">
        <v>0</v>
      </c>
    </row>
    <row r="581" spans="1:4" x14ac:dyDescent="0.3">
      <c r="A581">
        <v>1</v>
      </c>
      <c r="B581">
        <v>1</v>
      </c>
      <c r="C581">
        <v>1</v>
      </c>
      <c r="D581">
        <v>0</v>
      </c>
    </row>
    <row r="582" spans="1:4" x14ac:dyDescent="0.3">
      <c r="A582">
        <v>1</v>
      </c>
      <c r="B582">
        <v>1</v>
      </c>
      <c r="C582">
        <v>1</v>
      </c>
      <c r="D582">
        <v>0</v>
      </c>
    </row>
    <row r="583" spans="1:4" x14ac:dyDescent="0.3">
      <c r="A583">
        <v>1</v>
      </c>
      <c r="B583">
        <v>1</v>
      </c>
      <c r="C583">
        <v>1</v>
      </c>
      <c r="D583">
        <v>0</v>
      </c>
    </row>
    <row r="584" spans="1:4" x14ac:dyDescent="0.3">
      <c r="A584">
        <v>1</v>
      </c>
      <c r="B584">
        <v>1</v>
      </c>
      <c r="C584">
        <v>1</v>
      </c>
      <c r="D584">
        <v>0</v>
      </c>
    </row>
    <row r="585" spans="1:4" x14ac:dyDescent="0.3">
      <c r="A585">
        <v>1</v>
      </c>
      <c r="B585">
        <v>1</v>
      </c>
      <c r="C585">
        <v>1</v>
      </c>
      <c r="D585">
        <v>0</v>
      </c>
    </row>
    <row r="586" spans="1:4" x14ac:dyDescent="0.3">
      <c r="A586">
        <v>1</v>
      </c>
      <c r="B586">
        <v>1</v>
      </c>
      <c r="C586">
        <v>1</v>
      </c>
      <c r="D586">
        <v>0</v>
      </c>
    </row>
    <row r="587" spans="1:4" x14ac:dyDescent="0.3">
      <c r="A587">
        <v>1</v>
      </c>
      <c r="B587">
        <v>1</v>
      </c>
      <c r="C587">
        <v>1</v>
      </c>
      <c r="D587">
        <v>0</v>
      </c>
    </row>
    <row r="588" spans="1:4" x14ac:dyDescent="0.3">
      <c r="A588">
        <v>1</v>
      </c>
      <c r="B588">
        <v>1</v>
      </c>
      <c r="C588">
        <v>1</v>
      </c>
      <c r="D588">
        <v>0</v>
      </c>
    </row>
    <row r="589" spans="1:4" x14ac:dyDescent="0.3">
      <c r="A589">
        <v>1</v>
      </c>
      <c r="B589">
        <v>1</v>
      </c>
      <c r="C589">
        <v>1</v>
      </c>
      <c r="D589">
        <v>0</v>
      </c>
    </row>
    <row r="590" spans="1:4" x14ac:dyDescent="0.3">
      <c r="A590">
        <v>1</v>
      </c>
      <c r="B590">
        <v>1</v>
      </c>
      <c r="C590">
        <v>1</v>
      </c>
      <c r="D590">
        <v>0</v>
      </c>
    </row>
    <row r="591" spans="1:4" x14ac:dyDescent="0.3">
      <c r="A591">
        <v>1</v>
      </c>
      <c r="B591">
        <v>1</v>
      </c>
      <c r="C591">
        <v>1</v>
      </c>
      <c r="D591">
        <v>0</v>
      </c>
    </row>
    <row r="592" spans="1:4" x14ac:dyDescent="0.3">
      <c r="A592">
        <v>1</v>
      </c>
      <c r="B592">
        <v>1</v>
      </c>
      <c r="C592">
        <v>1</v>
      </c>
      <c r="D592">
        <v>0</v>
      </c>
    </row>
    <row r="593" spans="1:4" x14ac:dyDescent="0.3">
      <c r="A593">
        <v>1</v>
      </c>
      <c r="B593">
        <v>1</v>
      </c>
      <c r="C593">
        <v>1</v>
      </c>
      <c r="D593">
        <v>0</v>
      </c>
    </row>
    <row r="594" spans="1:4" x14ac:dyDescent="0.3">
      <c r="A594">
        <v>1</v>
      </c>
      <c r="B594">
        <v>1</v>
      </c>
      <c r="C594">
        <v>1</v>
      </c>
      <c r="D594">
        <v>0</v>
      </c>
    </row>
    <row r="595" spans="1:4" x14ac:dyDescent="0.3">
      <c r="A595">
        <v>1</v>
      </c>
      <c r="B595">
        <v>1</v>
      </c>
      <c r="C595">
        <v>1</v>
      </c>
      <c r="D595">
        <v>0</v>
      </c>
    </row>
    <row r="596" spans="1:4" x14ac:dyDescent="0.3">
      <c r="A596">
        <v>1</v>
      </c>
      <c r="B596">
        <v>1</v>
      </c>
      <c r="C596">
        <v>1</v>
      </c>
      <c r="D596">
        <v>0</v>
      </c>
    </row>
    <row r="597" spans="1:4" x14ac:dyDescent="0.3">
      <c r="A597">
        <v>1</v>
      </c>
      <c r="B597">
        <v>1</v>
      </c>
      <c r="C597">
        <v>1</v>
      </c>
      <c r="D597">
        <v>0</v>
      </c>
    </row>
    <row r="598" spans="1:4" x14ac:dyDescent="0.3">
      <c r="A598">
        <v>1</v>
      </c>
      <c r="B598">
        <v>1</v>
      </c>
      <c r="C598">
        <v>1</v>
      </c>
      <c r="D598">
        <v>0</v>
      </c>
    </row>
    <row r="599" spans="1:4" x14ac:dyDescent="0.3">
      <c r="A599">
        <v>1</v>
      </c>
      <c r="B599">
        <v>1</v>
      </c>
      <c r="C599">
        <v>1</v>
      </c>
      <c r="D599">
        <v>0</v>
      </c>
    </row>
    <row r="600" spans="1:4" x14ac:dyDescent="0.3">
      <c r="A600">
        <v>1</v>
      </c>
      <c r="B600">
        <v>1</v>
      </c>
      <c r="C600">
        <v>1</v>
      </c>
      <c r="D600">
        <v>0</v>
      </c>
    </row>
    <row r="601" spans="1:4" x14ac:dyDescent="0.3">
      <c r="A601">
        <v>1</v>
      </c>
      <c r="B601">
        <v>1</v>
      </c>
      <c r="C601">
        <v>1</v>
      </c>
      <c r="D601">
        <v>0</v>
      </c>
    </row>
    <row r="602" spans="1:4" x14ac:dyDescent="0.3">
      <c r="A602">
        <v>1</v>
      </c>
      <c r="B602">
        <v>1</v>
      </c>
      <c r="C602">
        <v>1</v>
      </c>
      <c r="D602">
        <v>0</v>
      </c>
    </row>
    <row r="603" spans="1:4" x14ac:dyDescent="0.3">
      <c r="A603">
        <v>1</v>
      </c>
      <c r="B603">
        <v>1</v>
      </c>
      <c r="C603">
        <v>1</v>
      </c>
      <c r="D603">
        <v>0</v>
      </c>
    </row>
    <row r="604" spans="1:4" x14ac:dyDescent="0.3">
      <c r="A604">
        <v>1</v>
      </c>
      <c r="B604">
        <v>1</v>
      </c>
      <c r="C604">
        <v>1</v>
      </c>
      <c r="D604">
        <v>0</v>
      </c>
    </row>
    <row r="605" spans="1:4" x14ac:dyDescent="0.3">
      <c r="A605">
        <v>1</v>
      </c>
      <c r="B605">
        <v>1</v>
      </c>
      <c r="C605">
        <v>1</v>
      </c>
      <c r="D605">
        <v>0</v>
      </c>
    </row>
    <row r="606" spans="1:4" x14ac:dyDescent="0.3">
      <c r="A606">
        <v>1</v>
      </c>
      <c r="B606">
        <v>1</v>
      </c>
      <c r="C606">
        <v>1</v>
      </c>
      <c r="D606">
        <v>0</v>
      </c>
    </row>
    <row r="607" spans="1:4" x14ac:dyDescent="0.3">
      <c r="A607">
        <v>1</v>
      </c>
      <c r="B607">
        <v>1</v>
      </c>
      <c r="C607">
        <v>1</v>
      </c>
      <c r="D607">
        <v>0</v>
      </c>
    </row>
    <row r="608" spans="1:4" x14ac:dyDescent="0.3">
      <c r="A608">
        <v>1</v>
      </c>
      <c r="B608">
        <v>1</v>
      </c>
      <c r="C608">
        <v>1</v>
      </c>
      <c r="D608">
        <v>0</v>
      </c>
    </row>
    <row r="609" spans="1:4" x14ac:dyDescent="0.3">
      <c r="A609">
        <v>1</v>
      </c>
      <c r="B609">
        <v>1</v>
      </c>
      <c r="C609">
        <v>1</v>
      </c>
      <c r="D609">
        <v>0</v>
      </c>
    </row>
    <row r="610" spans="1:4" x14ac:dyDescent="0.3">
      <c r="A610">
        <v>1</v>
      </c>
      <c r="B610">
        <v>1</v>
      </c>
      <c r="C610">
        <v>1</v>
      </c>
      <c r="D610">
        <v>0</v>
      </c>
    </row>
    <row r="611" spans="1:4" x14ac:dyDescent="0.3">
      <c r="A611">
        <v>1</v>
      </c>
      <c r="B611">
        <v>1</v>
      </c>
      <c r="C611">
        <v>1</v>
      </c>
      <c r="D611">
        <v>0</v>
      </c>
    </row>
    <row r="612" spans="1:4" x14ac:dyDescent="0.3">
      <c r="A612">
        <v>1</v>
      </c>
      <c r="B612">
        <v>1</v>
      </c>
      <c r="C612">
        <v>1</v>
      </c>
      <c r="D612">
        <v>0</v>
      </c>
    </row>
    <row r="613" spans="1:4" x14ac:dyDescent="0.3">
      <c r="A613">
        <v>1</v>
      </c>
      <c r="B613">
        <v>1</v>
      </c>
      <c r="C613">
        <v>1</v>
      </c>
      <c r="D613">
        <v>0</v>
      </c>
    </row>
    <row r="614" spans="1:4" x14ac:dyDescent="0.3">
      <c r="A614">
        <v>1</v>
      </c>
      <c r="B614">
        <v>1</v>
      </c>
      <c r="C614">
        <v>1</v>
      </c>
      <c r="D614">
        <v>0</v>
      </c>
    </row>
    <row r="615" spans="1:4" x14ac:dyDescent="0.3">
      <c r="A615">
        <v>1</v>
      </c>
      <c r="B615">
        <v>1</v>
      </c>
      <c r="C615">
        <v>1</v>
      </c>
      <c r="D615">
        <v>0</v>
      </c>
    </row>
    <row r="616" spans="1:4" x14ac:dyDescent="0.3">
      <c r="A616">
        <v>1</v>
      </c>
      <c r="B616">
        <v>1</v>
      </c>
      <c r="C616">
        <v>1</v>
      </c>
      <c r="D616">
        <v>0</v>
      </c>
    </row>
    <row r="617" spans="1:4" x14ac:dyDescent="0.3">
      <c r="A617">
        <v>1</v>
      </c>
      <c r="B617">
        <v>1</v>
      </c>
      <c r="C617">
        <v>1</v>
      </c>
      <c r="D617">
        <v>0</v>
      </c>
    </row>
    <row r="618" spans="1:4" x14ac:dyDescent="0.3">
      <c r="A618">
        <v>1</v>
      </c>
      <c r="B618">
        <v>1</v>
      </c>
      <c r="C618">
        <v>1</v>
      </c>
      <c r="D618">
        <v>0</v>
      </c>
    </row>
    <row r="619" spans="1:4" x14ac:dyDescent="0.3">
      <c r="A619">
        <v>1</v>
      </c>
      <c r="B619">
        <v>1</v>
      </c>
      <c r="C619">
        <v>1</v>
      </c>
      <c r="D619">
        <v>0</v>
      </c>
    </row>
    <row r="620" spans="1:4" x14ac:dyDescent="0.3">
      <c r="A620">
        <v>1</v>
      </c>
      <c r="B620">
        <v>1</v>
      </c>
      <c r="C620">
        <v>1</v>
      </c>
      <c r="D620">
        <v>0</v>
      </c>
    </row>
    <row r="621" spans="1:4" x14ac:dyDescent="0.3">
      <c r="A621">
        <v>1</v>
      </c>
      <c r="B621">
        <v>1</v>
      </c>
      <c r="C621">
        <v>1</v>
      </c>
      <c r="D621">
        <v>0</v>
      </c>
    </row>
    <row r="622" spans="1:4" x14ac:dyDescent="0.3">
      <c r="A622">
        <v>1</v>
      </c>
      <c r="B622">
        <v>1</v>
      </c>
      <c r="C622">
        <v>1</v>
      </c>
      <c r="D622">
        <v>0</v>
      </c>
    </row>
    <row r="623" spans="1:4" x14ac:dyDescent="0.3">
      <c r="A623">
        <v>1</v>
      </c>
      <c r="B623">
        <v>1</v>
      </c>
      <c r="C623">
        <v>1</v>
      </c>
      <c r="D623">
        <v>0</v>
      </c>
    </row>
    <row r="624" spans="1:4" x14ac:dyDescent="0.3">
      <c r="A624">
        <v>1</v>
      </c>
      <c r="B624">
        <v>1</v>
      </c>
      <c r="C624">
        <v>1</v>
      </c>
      <c r="D624">
        <v>0</v>
      </c>
    </row>
    <row r="625" spans="1:4" x14ac:dyDescent="0.3">
      <c r="A625">
        <v>1</v>
      </c>
      <c r="B625">
        <v>1</v>
      </c>
      <c r="C625">
        <v>1</v>
      </c>
      <c r="D625">
        <v>0</v>
      </c>
    </row>
    <row r="626" spans="1:4" x14ac:dyDescent="0.3">
      <c r="A626">
        <v>1</v>
      </c>
      <c r="B626">
        <v>1</v>
      </c>
      <c r="C626">
        <v>1</v>
      </c>
      <c r="D626">
        <v>0</v>
      </c>
    </row>
    <row r="627" spans="1:4" x14ac:dyDescent="0.3">
      <c r="A627">
        <v>1</v>
      </c>
      <c r="B627">
        <v>1</v>
      </c>
      <c r="C627">
        <v>1</v>
      </c>
      <c r="D627">
        <v>0</v>
      </c>
    </row>
    <row r="628" spans="1:4" x14ac:dyDescent="0.3">
      <c r="A628">
        <v>1</v>
      </c>
      <c r="B628">
        <v>1</v>
      </c>
      <c r="C628">
        <v>1</v>
      </c>
      <c r="D628">
        <v>0</v>
      </c>
    </row>
    <row r="629" spans="1:4" x14ac:dyDescent="0.3">
      <c r="A629">
        <v>1</v>
      </c>
      <c r="B629">
        <v>1</v>
      </c>
      <c r="C629">
        <v>1</v>
      </c>
      <c r="D629">
        <v>0</v>
      </c>
    </row>
    <row r="630" spans="1:4" x14ac:dyDescent="0.3">
      <c r="A630">
        <v>1</v>
      </c>
      <c r="B630">
        <v>1</v>
      </c>
      <c r="C630">
        <v>1</v>
      </c>
      <c r="D630">
        <v>0</v>
      </c>
    </row>
    <row r="631" spans="1:4" x14ac:dyDescent="0.3">
      <c r="A631">
        <v>1</v>
      </c>
      <c r="B631">
        <v>1</v>
      </c>
      <c r="C631">
        <v>1</v>
      </c>
      <c r="D631">
        <v>0</v>
      </c>
    </row>
    <row r="632" spans="1:4" x14ac:dyDescent="0.3">
      <c r="A632">
        <v>1</v>
      </c>
      <c r="B632">
        <v>1</v>
      </c>
      <c r="C632">
        <v>1</v>
      </c>
      <c r="D632">
        <v>0</v>
      </c>
    </row>
    <row r="633" spans="1:4" x14ac:dyDescent="0.3">
      <c r="A633">
        <v>1</v>
      </c>
      <c r="B633">
        <v>1</v>
      </c>
      <c r="C633">
        <v>1</v>
      </c>
      <c r="D633">
        <v>0</v>
      </c>
    </row>
    <row r="634" spans="1:4" x14ac:dyDescent="0.3">
      <c r="A634">
        <v>1</v>
      </c>
      <c r="B634">
        <v>1</v>
      </c>
      <c r="C634">
        <v>1</v>
      </c>
      <c r="D634">
        <v>0</v>
      </c>
    </row>
    <row r="635" spans="1:4" x14ac:dyDescent="0.3">
      <c r="A635">
        <v>1</v>
      </c>
      <c r="B635">
        <v>1</v>
      </c>
      <c r="C635">
        <v>1</v>
      </c>
      <c r="D635">
        <v>0</v>
      </c>
    </row>
    <row r="636" spans="1:4" x14ac:dyDescent="0.3">
      <c r="A636">
        <v>1</v>
      </c>
      <c r="B636">
        <v>1</v>
      </c>
      <c r="C636">
        <v>1</v>
      </c>
      <c r="D636">
        <v>0</v>
      </c>
    </row>
    <row r="637" spans="1:4" x14ac:dyDescent="0.3">
      <c r="A637">
        <v>1</v>
      </c>
      <c r="B637">
        <v>1</v>
      </c>
      <c r="C637">
        <v>1</v>
      </c>
      <c r="D637">
        <v>0</v>
      </c>
    </row>
    <row r="638" spans="1:4" x14ac:dyDescent="0.3">
      <c r="A638">
        <v>1</v>
      </c>
      <c r="B638">
        <v>1</v>
      </c>
      <c r="C638">
        <v>1</v>
      </c>
      <c r="D638">
        <v>0</v>
      </c>
    </row>
    <row r="639" spans="1:4" x14ac:dyDescent="0.3">
      <c r="A639">
        <v>1</v>
      </c>
      <c r="B639">
        <v>1</v>
      </c>
      <c r="C639">
        <v>1</v>
      </c>
      <c r="D639">
        <v>0</v>
      </c>
    </row>
    <row r="640" spans="1:4" x14ac:dyDescent="0.3">
      <c r="A640">
        <v>1</v>
      </c>
      <c r="B640">
        <v>1</v>
      </c>
      <c r="C640">
        <v>1</v>
      </c>
      <c r="D640">
        <v>0</v>
      </c>
    </row>
    <row r="641" spans="1:4" x14ac:dyDescent="0.3">
      <c r="A641">
        <v>1</v>
      </c>
      <c r="B641">
        <v>1</v>
      </c>
      <c r="C641">
        <v>1</v>
      </c>
      <c r="D641">
        <v>0</v>
      </c>
    </row>
    <row r="642" spans="1:4" x14ac:dyDescent="0.3">
      <c r="A642">
        <v>1</v>
      </c>
      <c r="B642">
        <v>1</v>
      </c>
      <c r="C642">
        <v>1</v>
      </c>
      <c r="D642">
        <v>0</v>
      </c>
    </row>
    <row r="643" spans="1:4" x14ac:dyDescent="0.3">
      <c r="A643">
        <v>1</v>
      </c>
      <c r="B643">
        <v>1</v>
      </c>
      <c r="C643">
        <v>1</v>
      </c>
      <c r="D643">
        <v>0</v>
      </c>
    </row>
    <row r="644" spans="1:4" x14ac:dyDescent="0.3">
      <c r="A644">
        <v>1</v>
      </c>
      <c r="B644">
        <v>1</v>
      </c>
      <c r="C644">
        <v>1</v>
      </c>
      <c r="D644">
        <v>0</v>
      </c>
    </row>
    <row r="645" spans="1:4" x14ac:dyDescent="0.3">
      <c r="A645">
        <v>1</v>
      </c>
      <c r="B645">
        <v>1</v>
      </c>
      <c r="C645">
        <v>1</v>
      </c>
      <c r="D645">
        <v>0</v>
      </c>
    </row>
    <row r="646" spans="1:4" x14ac:dyDescent="0.3">
      <c r="A646">
        <v>1</v>
      </c>
      <c r="B646">
        <v>1</v>
      </c>
      <c r="C646">
        <v>1</v>
      </c>
      <c r="D646">
        <v>0</v>
      </c>
    </row>
    <row r="647" spans="1:4" x14ac:dyDescent="0.3">
      <c r="A647">
        <v>1</v>
      </c>
      <c r="B647">
        <v>1</v>
      </c>
      <c r="C647">
        <v>1</v>
      </c>
      <c r="D647">
        <v>0</v>
      </c>
    </row>
    <row r="648" spans="1:4" x14ac:dyDescent="0.3">
      <c r="A648">
        <v>1</v>
      </c>
      <c r="B648">
        <v>1</v>
      </c>
      <c r="C648">
        <v>1</v>
      </c>
      <c r="D648">
        <v>0</v>
      </c>
    </row>
    <row r="649" spans="1:4" x14ac:dyDescent="0.3">
      <c r="A649">
        <v>1</v>
      </c>
      <c r="B649">
        <v>1</v>
      </c>
      <c r="C649">
        <v>1</v>
      </c>
      <c r="D649">
        <v>0</v>
      </c>
    </row>
    <row r="650" spans="1:4" x14ac:dyDescent="0.3">
      <c r="A650">
        <v>1</v>
      </c>
      <c r="B650">
        <v>1</v>
      </c>
      <c r="C650">
        <v>1</v>
      </c>
      <c r="D650">
        <v>0</v>
      </c>
    </row>
    <row r="651" spans="1:4" x14ac:dyDescent="0.3">
      <c r="A651">
        <v>1</v>
      </c>
      <c r="B651">
        <v>1</v>
      </c>
      <c r="C651">
        <v>1</v>
      </c>
      <c r="D651">
        <v>0</v>
      </c>
    </row>
    <row r="652" spans="1:4" x14ac:dyDescent="0.3">
      <c r="A652">
        <v>1</v>
      </c>
      <c r="B652">
        <v>1</v>
      </c>
      <c r="C652">
        <v>1</v>
      </c>
      <c r="D652">
        <v>0</v>
      </c>
    </row>
    <row r="653" spans="1:4" x14ac:dyDescent="0.3">
      <c r="A653">
        <v>1</v>
      </c>
      <c r="B653">
        <v>1</v>
      </c>
      <c r="C653">
        <v>1</v>
      </c>
      <c r="D653">
        <v>0</v>
      </c>
    </row>
    <row r="654" spans="1:4" x14ac:dyDescent="0.3">
      <c r="A654">
        <v>1</v>
      </c>
      <c r="B654">
        <v>1</v>
      </c>
      <c r="C654">
        <v>1</v>
      </c>
      <c r="D654">
        <v>0</v>
      </c>
    </row>
    <row r="655" spans="1:4" x14ac:dyDescent="0.3">
      <c r="A655">
        <v>1</v>
      </c>
      <c r="B655">
        <v>1</v>
      </c>
      <c r="C655">
        <v>1</v>
      </c>
      <c r="D655">
        <v>0</v>
      </c>
    </row>
    <row r="656" spans="1:4" x14ac:dyDescent="0.3">
      <c r="A656">
        <v>1</v>
      </c>
      <c r="B656">
        <v>1</v>
      </c>
      <c r="C656">
        <v>1</v>
      </c>
      <c r="D656">
        <v>0</v>
      </c>
    </row>
    <row r="657" spans="1:4" x14ac:dyDescent="0.3">
      <c r="A657">
        <v>1</v>
      </c>
      <c r="B657">
        <v>1</v>
      </c>
      <c r="C657">
        <v>1</v>
      </c>
      <c r="D657">
        <v>0</v>
      </c>
    </row>
    <row r="658" spans="1:4" x14ac:dyDescent="0.3">
      <c r="A658">
        <v>1</v>
      </c>
      <c r="B658">
        <v>1</v>
      </c>
      <c r="C658">
        <v>1</v>
      </c>
      <c r="D658">
        <v>0</v>
      </c>
    </row>
    <row r="659" spans="1:4" x14ac:dyDescent="0.3">
      <c r="A659">
        <v>1</v>
      </c>
      <c r="B659">
        <v>1</v>
      </c>
      <c r="C659">
        <v>1</v>
      </c>
      <c r="D659">
        <v>0</v>
      </c>
    </row>
    <row r="660" spans="1:4" x14ac:dyDescent="0.3">
      <c r="A660">
        <v>1</v>
      </c>
      <c r="B660">
        <v>1</v>
      </c>
      <c r="C660">
        <v>1</v>
      </c>
      <c r="D660">
        <v>0</v>
      </c>
    </row>
    <row r="661" spans="1:4" x14ac:dyDescent="0.3">
      <c r="A661">
        <v>1</v>
      </c>
      <c r="B661">
        <v>1</v>
      </c>
      <c r="C661">
        <v>1</v>
      </c>
      <c r="D661">
        <v>0</v>
      </c>
    </row>
    <row r="662" spans="1:4" x14ac:dyDescent="0.3">
      <c r="A662">
        <v>1</v>
      </c>
      <c r="B662">
        <v>1</v>
      </c>
      <c r="C662">
        <v>1</v>
      </c>
      <c r="D662">
        <v>0</v>
      </c>
    </row>
    <row r="663" spans="1:4" x14ac:dyDescent="0.3">
      <c r="A663">
        <v>1</v>
      </c>
      <c r="B663">
        <v>1</v>
      </c>
      <c r="C663">
        <v>1</v>
      </c>
      <c r="D663">
        <v>0</v>
      </c>
    </row>
    <row r="664" spans="1:4" x14ac:dyDescent="0.3">
      <c r="A664">
        <v>1</v>
      </c>
      <c r="B664">
        <v>1</v>
      </c>
      <c r="C664">
        <v>1</v>
      </c>
      <c r="D664">
        <v>0</v>
      </c>
    </row>
    <row r="665" spans="1:4" x14ac:dyDescent="0.3">
      <c r="A665">
        <v>1</v>
      </c>
      <c r="B665">
        <v>1</v>
      </c>
      <c r="C665">
        <v>1</v>
      </c>
      <c r="D665">
        <v>0</v>
      </c>
    </row>
    <row r="666" spans="1:4" x14ac:dyDescent="0.3">
      <c r="A666">
        <v>1</v>
      </c>
      <c r="B666">
        <v>1</v>
      </c>
      <c r="C666">
        <v>1</v>
      </c>
      <c r="D666">
        <v>0</v>
      </c>
    </row>
    <row r="667" spans="1:4" x14ac:dyDescent="0.3">
      <c r="A667">
        <v>1</v>
      </c>
      <c r="B667">
        <v>1</v>
      </c>
      <c r="C667">
        <v>1</v>
      </c>
      <c r="D667">
        <v>0</v>
      </c>
    </row>
    <row r="668" spans="1:4" x14ac:dyDescent="0.3">
      <c r="A668">
        <v>1</v>
      </c>
      <c r="B668">
        <v>1</v>
      </c>
      <c r="C668">
        <v>1</v>
      </c>
      <c r="D668">
        <v>0</v>
      </c>
    </row>
    <row r="669" spans="1:4" x14ac:dyDescent="0.3">
      <c r="A669">
        <v>1</v>
      </c>
      <c r="B669">
        <v>1</v>
      </c>
      <c r="C669">
        <v>1</v>
      </c>
      <c r="D669">
        <v>0</v>
      </c>
    </row>
    <row r="670" spans="1:4" x14ac:dyDescent="0.3">
      <c r="A670">
        <v>1</v>
      </c>
      <c r="B670">
        <v>1</v>
      </c>
      <c r="C670">
        <v>1</v>
      </c>
      <c r="D670">
        <v>0</v>
      </c>
    </row>
    <row r="671" spans="1:4" x14ac:dyDescent="0.3">
      <c r="A671">
        <v>1</v>
      </c>
      <c r="B671">
        <v>1</v>
      </c>
      <c r="C671">
        <v>1</v>
      </c>
      <c r="D671">
        <v>0</v>
      </c>
    </row>
    <row r="672" spans="1:4" x14ac:dyDescent="0.3">
      <c r="A672">
        <v>1</v>
      </c>
      <c r="B672">
        <v>1</v>
      </c>
      <c r="C672">
        <v>1</v>
      </c>
      <c r="D672">
        <v>0</v>
      </c>
    </row>
    <row r="673" spans="1:4" x14ac:dyDescent="0.3">
      <c r="A673">
        <v>1</v>
      </c>
      <c r="B673">
        <v>1</v>
      </c>
      <c r="C673">
        <v>1</v>
      </c>
      <c r="D673">
        <v>0</v>
      </c>
    </row>
    <row r="674" spans="1:4" x14ac:dyDescent="0.3">
      <c r="A674">
        <v>1</v>
      </c>
      <c r="B674">
        <v>1</v>
      </c>
      <c r="C674">
        <v>1</v>
      </c>
      <c r="D674">
        <v>0</v>
      </c>
    </row>
    <row r="675" spans="1:4" x14ac:dyDescent="0.3">
      <c r="A675">
        <v>1</v>
      </c>
      <c r="B675">
        <v>1</v>
      </c>
      <c r="C675">
        <v>1</v>
      </c>
      <c r="D675">
        <v>0</v>
      </c>
    </row>
    <row r="676" spans="1:4" x14ac:dyDescent="0.3">
      <c r="A676">
        <v>1</v>
      </c>
      <c r="B676">
        <v>1</v>
      </c>
      <c r="C676">
        <v>1</v>
      </c>
      <c r="D676">
        <v>0</v>
      </c>
    </row>
    <row r="677" spans="1:4" x14ac:dyDescent="0.3">
      <c r="A677">
        <v>1</v>
      </c>
      <c r="B677">
        <v>1</v>
      </c>
      <c r="C677">
        <v>1</v>
      </c>
      <c r="D677">
        <v>0</v>
      </c>
    </row>
    <row r="678" spans="1:4" x14ac:dyDescent="0.3">
      <c r="A678">
        <v>1</v>
      </c>
      <c r="B678">
        <v>1</v>
      </c>
      <c r="C678">
        <v>1</v>
      </c>
      <c r="D678">
        <v>0</v>
      </c>
    </row>
    <row r="679" spans="1:4" x14ac:dyDescent="0.3">
      <c r="A679">
        <v>1</v>
      </c>
      <c r="B679">
        <v>1</v>
      </c>
      <c r="C679">
        <v>1</v>
      </c>
      <c r="D679">
        <v>0</v>
      </c>
    </row>
    <row r="680" spans="1:4" x14ac:dyDescent="0.3">
      <c r="A680">
        <v>1</v>
      </c>
      <c r="B680">
        <v>1</v>
      </c>
      <c r="C680">
        <v>1</v>
      </c>
      <c r="D680">
        <v>0</v>
      </c>
    </row>
    <row r="681" spans="1:4" x14ac:dyDescent="0.3">
      <c r="A681">
        <v>1</v>
      </c>
      <c r="B681">
        <v>1</v>
      </c>
      <c r="C681">
        <v>1</v>
      </c>
      <c r="D681">
        <v>0</v>
      </c>
    </row>
    <row r="682" spans="1:4" x14ac:dyDescent="0.3">
      <c r="A682">
        <v>1</v>
      </c>
      <c r="B682">
        <v>1</v>
      </c>
      <c r="C682">
        <v>1</v>
      </c>
      <c r="D682">
        <v>0</v>
      </c>
    </row>
    <row r="683" spans="1:4" x14ac:dyDescent="0.3">
      <c r="A683">
        <v>1</v>
      </c>
      <c r="B683">
        <v>1</v>
      </c>
      <c r="C683">
        <v>1</v>
      </c>
      <c r="D683">
        <v>0</v>
      </c>
    </row>
    <row r="684" spans="1:4" x14ac:dyDescent="0.3">
      <c r="A684">
        <v>1</v>
      </c>
      <c r="B684">
        <v>1</v>
      </c>
      <c r="C684">
        <v>1</v>
      </c>
      <c r="D684">
        <v>0</v>
      </c>
    </row>
    <row r="685" spans="1:4" x14ac:dyDescent="0.3">
      <c r="A685">
        <v>1</v>
      </c>
      <c r="B685">
        <v>1</v>
      </c>
      <c r="C685">
        <v>1</v>
      </c>
      <c r="D685">
        <v>0</v>
      </c>
    </row>
    <row r="686" spans="1:4" x14ac:dyDescent="0.3">
      <c r="A686">
        <v>1</v>
      </c>
      <c r="B686">
        <v>1</v>
      </c>
      <c r="C686">
        <v>1</v>
      </c>
      <c r="D686">
        <v>0</v>
      </c>
    </row>
    <row r="687" spans="1:4" x14ac:dyDescent="0.3">
      <c r="A687">
        <v>1</v>
      </c>
      <c r="B687">
        <v>1</v>
      </c>
      <c r="C687">
        <v>1</v>
      </c>
      <c r="D687">
        <v>0</v>
      </c>
    </row>
    <row r="688" spans="1:4" x14ac:dyDescent="0.3">
      <c r="A688">
        <v>1</v>
      </c>
      <c r="B688">
        <v>1</v>
      </c>
      <c r="C688">
        <v>1</v>
      </c>
      <c r="D688">
        <v>0</v>
      </c>
    </row>
    <row r="689" spans="1:4" x14ac:dyDescent="0.3">
      <c r="A689">
        <v>1</v>
      </c>
      <c r="B689">
        <v>1</v>
      </c>
      <c r="C689">
        <v>1</v>
      </c>
      <c r="D689">
        <v>0</v>
      </c>
    </row>
    <row r="690" spans="1:4" x14ac:dyDescent="0.3">
      <c r="A690">
        <v>1</v>
      </c>
      <c r="B690">
        <v>1</v>
      </c>
      <c r="C690">
        <v>1</v>
      </c>
      <c r="D690">
        <v>0</v>
      </c>
    </row>
    <row r="691" spans="1:4" x14ac:dyDescent="0.3">
      <c r="A691">
        <v>1</v>
      </c>
      <c r="B691">
        <v>1</v>
      </c>
      <c r="C691">
        <v>1</v>
      </c>
      <c r="D691">
        <v>0</v>
      </c>
    </row>
    <row r="692" spans="1:4" x14ac:dyDescent="0.3">
      <c r="A692">
        <v>1</v>
      </c>
      <c r="B692">
        <v>1</v>
      </c>
      <c r="C692">
        <v>1</v>
      </c>
      <c r="D692">
        <v>0</v>
      </c>
    </row>
    <row r="693" spans="1:4" x14ac:dyDescent="0.3">
      <c r="A693">
        <v>1</v>
      </c>
      <c r="B693">
        <v>1</v>
      </c>
      <c r="C693">
        <v>1</v>
      </c>
      <c r="D693">
        <v>0</v>
      </c>
    </row>
    <row r="694" spans="1:4" x14ac:dyDescent="0.3">
      <c r="A694">
        <v>1</v>
      </c>
      <c r="B694">
        <v>1</v>
      </c>
      <c r="C694">
        <v>1</v>
      </c>
      <c r="D694">
        <v>0</v>
      </c>
    </row>
    <row r="695" spans="1:4" x14ac:dyDescent="0.3">
      <c r="A695">
        <v>1</v>
      </c>
      <c r="B695">
        <v>1</v>
      </c>
      <c r="C695">
        <v>1</v>
      </c>
      <c r="D695">
        <v>0</v>
      </c>
    </row>
    <row r="696" spans="1:4" x14ac:dyDescent="0.3">
      <c r="A696">
        <v>1</v>
      </c>
      <c r="B696">
        <v>1</v>
      </c>
      <c r="C696">
        <v>1</v>
      </c>
      <c r="D696">
        <v>0</v>
      </c>
    </row>
    <row r="697" spans="1:4" x14ac:dyDescent="0.3">
      <c r="A697">
        <v>1</v>
      </c>
      <c r="B697">
        <v>1</v>
      </c>
      <c r="C697">
        <v>1</v>
      </c>
      <c r="D697">
        <v>0</v>
      </c>
    </row>
    <row r="698" spans="1:4" x14ac:dyDescent="0.3">
      <c r="A698">
        <v>1</v>
      </c>
      <c r="B698">
        <v>1</v>
      </c>
      <c r="C698">
        <v>1</v>
      </c>
      <c r="D698">
        <v>0</v>
      </c>
    </row>
    <row r="699" spans="1:4" x14ac:dyDescent="0.3">
      <c r="A699">
        <v>1</v>
      </c>
      <c r="B699">
        <v>1</v>
      </c>
      <c r="C699">
        <v>1</v>
      </c>
      <c r="D699">
        <v>0</v>
      </c>
    </row>
    <row r="700" spans="1:4" x14ac:dyDescent="0.3">
      <c r="A700">
        <v>1</v>
      </c>
      <c r="B700">
        <v>1</v>
      </c>
      <c r="C700">
        <v>1</v>
      </c>
      <c r="D700">
        <v>0</v>
      </c>
    </row>
    <row r="701" spans="1:4" x14ac:dyDescent="0.3">
      <c r="A701">
        <v>1</v>
      </c>
      <c r="B701">
        <v>1</v>
      </c>
      <c r="C701">
        <v>1</v>
      </c>
      <c r="D701">
        <v>0</v>
      </c>
    </row>
    <row r="702" spans="1:4" x14ac:dyDescent="0.3">
      <c r="A702">
        <v>1</v>
      </c>
      <c r="B702">
        <v>1</v>
      </c>
      <c r="C702">
        <v>1</v>
      </c>
      <c r="D702">
        <v>0</v>
      </c>
    </row>
    <row r="703" spans="1:4" x14ac:dyDescent="0.3">
      <c r="A703">
        <v>1</v>
      </c>
      <c r="B703">
        <v>1</v>
      </c>
      <c r="C703">
        <v>1</v>
      </c>
      <c r="D703">
        <v>0</v>
      </c>
    </row>
    <row r="704" spans="1:4" x14ac:dyDescent="0.3">
      <c r="A704">
        <v>1</v>
      </c>
      <c r="B704">
        <v>1</v>
      </c>
      <c r="C704">
        <v>1</v>
      </c>
      <c r="D704">
        <v>0</v>
      </c>
    </row>
    <row r="705" spans="1:4" x14ac:dyDescent="0.3">
      <c r="A705">
        <v>1</v>
      </c>
      <c r="B705">
        <v>1</v>
      </c>
      <c r="C705">
        <v>1</v>
      </c>
      <c r="D705">
        <v>0</v>
      </c>
    </row>
    <row r="706" spans="1:4" x14ac:dyDescent="0.3">
      <c r="A706">
        <v>1</v>
      </c>
      <c r="B706">
        <v>1</v>
      </c>
      <c r="C706">
        <v>1</v>
      </c>
      <c r="D706">
        <v>0</v>
      </c>
    </row>
    <row r="707" spans="1:4" x14ac:dyDescent="0.3">
      <c r="A707">
        <v>1</v>
      </c>
      <c r="B707">
        <v>1</v>
      </c>
      <c r="C707">
        <v>1</v>
      </c>
      <c r="D707">
        <v>0</v>
      </c>
    </row>
    <row r="708" spans="1:4" x14ac:dyDescent="0.3">
      <c r="A708">
        <v>1</v>
      </c>
      <c r="B708">
        <v>1</v>
      </c>
      <c r="C708">
        <v>1</v>
      </c>
      <c r="D708">
        <v>0</v>
      </c>
    </row>
    <row r="709" spans="1:4" x14ac:dyDescent="0.3">
      <c r="A709">
        <v>1</v>
      </c>
      <c r="B709">
        <v>1</v>
      </c>
      <c r="C709">
        <v>1</v>
      </c>
      <c r="D709">
        <v>0</v>
      </c>
    </row>
    <row r="710" spans="1:4" x14ac:dyDescent="0.3">
      <c r="A710">
        <v>1</v>
      </c>
      <c r="B710">
        <v>1</v>
      </c>
      <c r="C710">
        <v>1</v>
      </c>
      <c r="D710">
        <v>0</v>
      </c>
    </row>
    <row r="711" spans="1:4" x14ac:dyDescent="0.3">
      <c r="A711">
        <v>1</v>
      </c>
      <c r="B711">
        <v>1</v>
      </c>
      <c r="C711">
        <v>1</v>
      </c>
      <c r="D711">
        <v>0</v>
      </c>
    </row>
    <row r="712" spans="1:4" x14ac:dyDescent="0.3">
      <c r="A712">
        <v>1</v>
      </c>
      <c r="B712">
        <v>1</v>
      </c>
      <c r="C712">
        <v>1</v>
      </c>
      <c r="D712">
        <v>0</v>
      </c>
    </row>
    <row r="713" spans="1:4" x14ac:dyDescent="0.3">
      <c r="A713">
        <v>1</v>
      </c>
      <c r="B713">
        <v>1</v>
      </c>
      <c r="C713">
        <v>1</v>
      </c>
      <c r="D713">
        <v>0</v>
      </c>
    </row>
    <row r="714" spans="1:4" x14ac:dyDescent="0.3">
      <c r="A714">
        <v>1</v>
      </c>
      <c r="B714">
        <v>1</v>
      </c>
      <c r="C714">
        <v>1</v>
      </c>
      <c r="D714">
        <v>0</v>
      </c>
    </row>
    <row r="715" spans="1:4" x14ac:dyDescent="0.3">
      <c r="A715">
        <v>1</v>
      </c>
      <c r="B715">
        <v>1</v>
      </c>
      <c r="C715">
        <v>1</v>
      </c>
      <c r="D715">
        <v>0</v>
      </c>
    </row>
    <row r="716" spans="1:4" x14ac:dyDescent="0.3">
      <c r="A716">
        <v>1</v>
      </c>
      <c r="B716">
        <v>1</v>
      </c>
      <c r="C716">
        <v>1</v>
      </c>
      <c r="D716">
        <v>0</v>
      </c>
    </row>
    <row r="717" spans="1:4" x14ac:dyDescent="0.3">
      <c r="A717">
        <v>1</v>
      </c>
      <c r="B717">
        <v>1</v>
      </c>
      <c r="C717">
        <v>1</v>
      </c>
      <c r="D717">
        <v>0</v>
      </c>
    </row>
    <row r="718" spans="1:4" x14ac:dyDescent="0.3">
      <c r="A718">
        <v>1</v>
      </c>
      <c r="B718">
        <v>1</v>
      </c>
      <c r="C718">
        <v>1</v>
      </c>
      <c r="D718">
        <v>0</v>
      </c>
    </row>
    <row r="719" spans="1:4" x14ac:dyDescent="0.3">
      <c r="A719">
        <v>1</v>
      </c>
      <c r="B719">
        <v>1</v>
      </c>
      <c r="C719">
        <v>1</v>
      </c>
      <c r="D719">
        <v>0</v>
      </c>
    </row>
    <row r="720" spans="1:4" x14ac:dyDescent="0.3">
      <c r="A720">
        <v>1</v>
      </c>
      <c r="B720">
        <v>1</v>
      </c>
      <c r="C720">
        <v>1</v>
      </c>
      <c r="D720">
        <v>0</v>
      </c>
    </row>
    <row r="721" spans="1:4" x14ac:dyDescent="0.3">
      <c r="A721">
        <v>1</v>
      </c>
      <c r="B721">
        <v>1</v>
      </c>
      <c r="C721">
        <v>1</v>
      </c>
      <c r="D721">
        <v>0</v>
      </c>
    </row>
    <row r="722" spans="1:4" x14ac:dyDescent="0.3">
      <c r="A722">
        <v>1</v>
      </c>
      <c r="B722">
        <v>1</v>
      </c>
      <c r="C722">
        <v>1</v>
      </c>
      <c r="D722">
        <v>0</v>
      </c>
    </row>
    <row r="723" spans="1:4" x14ac:dyDescent="0.3">
      <c r="A723">
        <v>1</v>
      </c>
      <c r="B723">
        <v>1</v>
      </c>
      <c r="C723">
        <v>1</v>
      </c>
      <c r="D723">
        <v>0</v>
      </c>
    </row>
    <row r="724" spans="1:4" x14ac:dyDescent="0.3">
      <c r="A724">
        <v>1</v>
      </c>
      <c r="B724">
        <v>1</v>
      </c>
      <c r="C724">
        <v>1</v>
      </c>
      <c r="D724">
        <v>0</v>
      </c>
    </row>
    <row r="725" spans="1:4" x14ac:dyDescent="0.3">
      <c r="A725">
        <v>1</v>
      </c>
      <c r="B725">
        <v>1</v>
      </c>
      <c r="C725">
        <v>1</v>
      </c>
      <c r="D725">
        <v>0</v>
      </c>
    </row>
    <row r="726" spans="1:4" x14ac:dyDescent="0.3">
      <c r="A726">
        <v>1</v>
      </c>
      <c r="B726">
        <v>1</v>
      </c>
      <c r="C726">
        <v>1</v>
      </c>
      <c r="D726">
        <v>0</v>
      </c>
    </row>
    <row r="727" spans="1:4" x14ac:dyDescent="0.3">
      <c r="A727">
        <v>1</v>
      </c>
      <c r="B727">
        <v>1</v>
      </c>
      <c r="C727">
        <v>1</v>
      </c>
      <c r="D727">
        <v>0</v>
      </c>
    </row>
    <row r="728" spans="1:4" x14ac:dyDescent="0.3">
      <c r="A728">
        <v>1</v>
      </c>
      <c r="B728">
        <v>1</v>
      </c>
      <c r="C728">
        <v>1</v>
      </c>
      <c r="D728">
        <v>0</v>
      </c>
    </row>
    <row r="729" spans="1:4" x14ac:dyDescent="0.3">
      <c r="A729">
        <v>1</v>
      </c>
      <c r="B729">
        <v>1</v>
      </c>
      <c r="C729">
        <v>1</v>
      </c>
      <c r="D729">
        <v>0</v>
      </c>
    </row>
    <row r="730" spans="1:4" x14ac:dyDescent="0.3">
      <c r="A730">
        <v>1</v>
      </c>
      <c r="B730">
        <v>1</v>
      </c>
      <c r="C730">
        <v>1</v>
      </c>
      <c r="D730">
        <v>0</v>
      </c>
    </row>
    <row r="731" spans="1:4" x14ac:dyDescent="0.3">
      <c r="A731">
        <v>1</v>
      </c>
      <c r="B731">
        <v>1</v>
      </c>
      <c r="C731">
        <v>1</v>
      </c>
      <c r="D731">
        <v>0</v>
      </c>
    </row>
    <row r="732" spans="1:4" x14ac:dyDescent="0.3">
      <c r="A732">
        <v>1</v>
      </c>
      <c r="B732">
        <v>1</v>
      </c>
      <c r="C732">
        <v>1</v>
      </c>
      <c r="D732">
        <v>0</v>
      </c>
    </row>
    <row r="733" spans="1:4" x14ac:dyDescent="0.3">
      <c r="A733">
        <v>1</v>
      </c>
      <c r="B733">
        <v>1</v>
      </c>
      <c r="C733">
        <v>1</v>
      </c>
      <c r="D733">
        <v>0</v>
      </c>
    </row>
    <row r="734" spans="1:4" x14ac:dyDescent="0.3">
      <c r="A734">
        <v>1</v>
      </c>
      <c r="B734">
        <v>1</v>
      </c>
      <c r="C734">
        <v>1</v>
      </c>
      <c r="D734">
        <v>0</v>
      </c>
    </row>
    <row r="735" spans="1:4" x14ac:dyDescent="0.3">
      <c r="A735">
        <v>1</v>
      </c>
      <c r="B735">
        <v>1</v>
      </c>
      <c r="C735">
        <v>1</v>
      </c>
      <c r="D735">
        <v>0</v>
      </c>
    </row>
    <row r="736" spans="1:4" x14ac:dyDescent="0.3">
      <c r="A736">
        <v>1</v>
      </c>
      <c r="B736">
        <v>1</v>
      </c>
      <c r="C736">
        <v>1</v>
      </c>
      <c r="D736">
        <v>0</v>
      </c>
    </row>
    <row r="737" spans="1:4" x14ac:dyDescent="0.3">
      <c r="A737">
        <v>1</v>
      </c>
      <c r="B737">
        <v>1</v>
      </c>
      <c r="C737">
        <v>1</v>
      </c>
      <c r="D737">
        <v>0</v>
      </c>
    </row>
    <row r="738" spans="1:4" x14ac:dyDescent="0.3">
      <c r="A738">
        <v>1</v>
      </c>
      <c r="B738">
        <v>1</v>
      </c>
      <c r="C738">
        <v>1</v>
      </c>
      <c r="D738">
        <v>0</v>
      </c>
    </row>
    <row r="739" spans="1:4" x14ac:dyDescent="0.3">
      <c r="A739">
        <v>1</v>
      </c>
      <c r="B739">
        <v>1</v>
      </c>
      <c r="C739">
        <v>1</v>
      </c>
      <c r="D739">
        <v>0</v>
      </c>
    </row>
    <row r="740" spans="1:4" x14ac:dyDescent="0.3">
      <c r="A740">
        <v>1</v>
      </c>
      <c r="B740">
        <v>1</v>
      </c>
      <c r="C740">
        <v>1</v>
      </c>
      <c r="D740">
        <v>0</v>
      </c>
    </row>
    <row r="741" spans="1:4" x14ac:dyDescent="0.3">
      <c r="A741">
        <v>1</v>
      </c>
      <c r="B741">
        <v>1</v>
      </c>
      <c r="C741">
        <v>1</v>
      </c>
      <c r="D741">
        <v>0</v>
      </c>
    </row>
    <row r="742" spans="1:4" x14ac:dyDescent="0.3">
      <c r="A742">
        <v>1</v>
      </c>
      <c r="B742">
        <v>1</v>
      </c>
      <c r="C742">
        <v>1</v>
      </c>
      <c r="D742">
        <v>0</v>
      </c>
    </row>
    <row r="743" spans="1:4" x14ac:dyDescent="0.3">
      <c r="A743">
        <v>1</v>
      </c>
      <c r="B743">
        <v>1</v>
      </c>
      <c r="C743">
        <v>1</v>
      </c>
      <c r="D743">
        <v>0</v>
      </c>
    </row>
    <row r="744" spans="1:4" x14ac:dyDescent="0.3">
      <c r="A744">
        <v>1</v>
      </c>
      <c r="B744">
        <v>1</v>
      </c>
      <c r="C744">
        <v>1</v>
      </c>
      <c r="D744">
        <v>0</v>
      </c>
    </row>
    <row r="745" spans="1:4" x14ac:dyDescent="0.3">
      <c r="A745">
        <v>1</v>
      </c>
      <c r="B745">
        <v>1</v>
      </c>
      <c r="C745">
        <v>1</v>
      </c>
      <c r="D745">
        <v>0</v>
      </c>
    </row>
    <row r="746" spans="1:4" x14ac:dyDescent="0.3">
      <c r="A746">
        <v>1</v>
      </c>
      <c r="B746">
        <v>1</v>
      </c>
      <c r="C746">
        <v>1</v>
      </c>
      <c r="D746">
        <v>0</v>
      </c>
    </row>
    <row r="747" spans="1:4" x14ac:dyDescent="0.3">
      <c r="A747">
        <v>1</v>
      </c>
      <c r="B747">
        <v>1</v>
      </c>
      <c r="C747">
        <v>1</v>
      </c>
      <c r="D747">
        <v>0</v>
      </c>
    </row>
    <row r="748" spans="1:4" x14ac:dyDescent="0.3">
      <c r="A748">
        <v>1</v>
      </c>
      <c r="B748">
        <v>1</v>
      </c>
      <c r="C748">
        <v>1</v>
      </c>
      <c r="D748">
        <v>0</v>
      </c>
    </row>
    <row r="749" spans="1:4" x14ac:dyDescent="0.3">
      <c r="A749">
        <v>1</v>
      </c>
      <c r="B749">
        <v>1</v>
      </c>
      <c r="C749">
        <v>1</v>
      </c>
      <c r="D749">
        <v>0</v>
      </c>
    </row>
    <row r="750" spans="1:4" x14ac:dyDescent="0.3">
      <c r="A750">
        <v>1</v>
      </c>
      <c r="B750">
        <v>1</v>
      </c>
      <c r="C750">
        <v>1</v>
      </c>
      <c r="D750">
        <v>0</v>
      </c>
    </row>
    <row r="751" spans="1:4" x14ac:dyDescent="0.3">
      <c r="A751">
        <v>1</v>
      </c>
      <c r="B751">
        <v>1</v>
      </c>
      <c r="C751">
        <v>1</v>
      </c>
      <c r="D751">
        <v>0</v>
      </c>
    </row>
    <row r="752" spans="1:4" x14ac:dyDescent="0.3">
      <c r="A752">
        <v>1</v>
      </c>
      <c r="B752">
        <v>1</v>
      </c>
      <c r="C752">
        <v>1</v>
      </c>
      <c r="D752">
        <v>0</v>
      </c>
    </row>
    <row r="753" spans="1:4" x14ac:dyDescent="0.3">
      <c r="A753">
        <v>1</v>
      </c>
      <c r="B753">
        <v>1</v>
      </c>
      <c r="C753">
        <v>1</v>
      </c>
      <c r="D753">
        <v>0</v>
      </c>
    </row>
    <row r="754" spans="1:4" x14ac:dyDescent="0.3">
      <c r="A754">
        <v>1</v>
      </c>
      <c r="B754">
        <v>1</v>
      </c>
      <c r="C754">
        <v>1</v>
      </c>
      <c r="D754">
        <v>0</v>
      </c>
    </row>
    <row r="755" spans="1:4" x14ac:dyDescent="0.3">
      <c r="A755">
        <v>1</v>
      </c>
      <c r="B755">
        <v>1</v>
      </c>
      <c r="C755">
        <v>1</v>
      </c>
      <c r="D755">
        <v>0</v>
      </c>
    </row>
    <row r="756" spans="1:4" x14ac:dyDescent="0.3">
      <c r="A756">
        <v>1</v>
      </c>
      <c r="B756">
        <v>1</v>
      </c>
      <c r="C756">
        <v>1</v>
      </c>
      <c r="D756">
        <v>0</v>
      </c>
    </row>
    <row r="757" spans="1:4" x14ac:dyDescent="0.3">
      <c r="A757">
        <v>1</v>
      </c>
      <c r="B757">
        <v>1</v>
      </c>
      <c r="C757">
        <v>1</v>
      </c>
      <c r="D757">
        <v>0</v>
      </c>
    </row>
    <row r="758" spans="1:4" x14ac:dyDescent="0.3">
      <c r="A758">
        <v>1</v>
      </c>
      <c r="B758">
        <v>1</v>
      </c>
      <c r="C758">
        <v>1</v>
      </c>
      <c r="D758">
        <v>0</v>
      </c>
    </row>
    <row r="759" spans="1:4" x14ac:dyDescent="0.3">
      <c r="A759">
        <v>1</v>
      </c>
      <c r="B759">
        <v>1</v>
      </c>
      <c r="C759">
        <v>1</v>
      </c>
      <c r="D759">
        <v>0</v>
      </c>
    </row>
    <row r="760" spans="1:4" x14ac:dyDescent="0.3">
      <c r="A760">
        <v>1</v>
      </c>
      <c r="B760">
        <v>1</v>
      </c>
      <c r="C760">
        <v>1</v>
      </c>
      <c r="D760">
        <v>0</v>
      </c>
    </row>
    <row r="761" spans="1:4" x14ac:dyDescent="0.3">
      <c r="A761">
        <v>1</v>
      </c>
      <c r="B761">
        <v>1</v>
      </c>
      <c r="C761">
        <v>1</v>
      </c>
      <c r="D761">
        <v>0</v>
      </c>
    </row>
    <row r="762" spans="1:4" x14ac:dyDescent="0.3">
      <c r="A762">
        <v>1</v>
      </c>
      <c r="B762">
        <v>1</v>
      </c>
      <c r="C762">
        <v>1</v>
      </c>
      <c r="D762">
        <v>0</v>
      </c>
    </row>
    <row r="763" spans="1:4" x14ac:dyDescent="0.3">
      <c r="A763">
        <v>1</v>
      </c>
      <c r="B763">
        <v>1</v>
      </c>
      <c r="C763">
        <v>1</v>
      </c>
      <c r="D763">
        <v>0</v>
      </c>
    </row>
    <row r="764" spans="1:4" x14ac:dyDescent="0.3">
      <c r="A764">
        <v>1</v>
      </c>
      <c r="B764">
        <v>1</v>
      </c>
      <c r="C764">
        <v>1</v>
      </c>
      <c r="D764">
        <v>0</v>
      </c>
    </row>
    <row r="765" spans="1:4" x14ac:dyDescent="0.3">
      <c r="A765">
        <v>1</v>
      </c>
      <c r="B765">
        <v>1</v>
      </c>
      <c r="C765">
        <v>1</v>
      </c>
      <c r="D765">
        <v>0</v>
      </c>
    </row>
    <row r="766" spans="1:4" x14ac:dyDescent="0.3">
      <c r="A766">
        <v>1</v>
      </c>
      <c r="B766">
        <v>1</v>
      </c>
      <c r="C766">
        <v>1</v>
      </c>
      <c r="D766">
        <v>0</v>
      </c>
    </row>
    <row r="767" spans="1:4" x14ac:dyDescent="0.3">
      <c r="A767">
        <v>1</v>
      </c>
      <c r="B767">
        <v>1</v>
      </c>
      <c r="C767">
        <v>1</v>
      </c>
      <c r="D767">
        <v>0</v>
      </c>
    </row>
    <row r="768" spans="1:4" x14ac:dyDescent="0.3">
      <c r="A768">
        <v>1</v>
      </c>
      <c r="B768">
        <v>1</v>
      </c>
      <c r="C768">
        <v>1</v>
      </c>
      <c r="D768">
        <v>0</v>
      </c>
    </row>
    <row r="769" spans="1:4" x14ac:dyDescent="0.3">
      <c r="A769">
        <v>1</v>
      </c>
      <c r="B769">
        <v>1</v>
      </c>
      <c r="C769">
        <v>1</v>
      </c>
      <c r="D769">
        <v>0</v>
      </c>
    </row>
    <row r="770" spans="1:4" x14ac:dyDescent="0.3">
      <c r="A770">
        <v>1</v>
      </c>
      <c r="B770">
        <v>1</v>
      </c>
      <c r="C770">
        <v>1</v>
      </c>
      <c r="D770">
        <v>0</v>
      </c>
    </row>
    <row r="771" spans="1:4" x14ac:dyDescent="0.3">
      <c r="A771">
        <v>1</v>
      </c>
      <c r="B771">
        <v>1</v>
      </c>
      <c r="C771">
        <v>1</v>
      </c>
      <c r="D771">
        <v>0</v>
      </c>
    </row>
    <row r="772" spans="1:4" x14ac:dyDescent="0.3">
      <c r="A772">
        <v>1</v>
      </c>
      <c r="B772">
        <v>1</v>
      </c>
      <c r="C772">
        <v>1</v>
      </c>
      <c r="D772">
        <v>0</v>
      </c>
    </row>
    <row r="773" spans="1:4" x14ac:dyDescent="0.3">
      <c r="A773">
        <v>1</v>
      </c>
      <c r="B773">
        <v>1</v>
      </c>
      <c r="C773">
        <v>1</v>
      </c>
      <c r="D773">
        <v>0</v>
      </c>
    </row>
    <row r="774" spans="1:4" x14ac:dyDescent="0.3">
      <c r="A774">
        <v>1</v>
      </c>
      <c r="B774">
        <v>1</v>
      </c>
      <c r="C774">
        <v>1</v>
      </c>
      <c r="D774">
        <v>0</v>
      </c>
    </row>
    <row r="775" spans="1:4" x14ac:dyDescent="0.3">
      <c r="A775">
        <v>1</v>
      </c>
      <c r="B775">
        <v>1</v>
      </c>
      <c r="C775">
        <v>1</v>
      </c>
      <c r="D775">
        <v>0</v>
      </c>
    </row>
    <row r="776" spans="1:4" x14ac:dyDescent="0.3">
      <c r="A776">
        <v>1</v>
      </c>
      <c r="B776">
        <v>1</v>
      </c>
      <c r="C776">
        <v>1</v>
      </c>
      <c r="D776">
        <v>0</v>
      </c>
    </row>
    <row r="777" spans="1:4" x14ac:dyDescent="0.3">
      <c r="A777">
        <v>1</v>
      </c>
      <c r="B777">
        <v>1</v>
      </c>
      <c r="C777">
        <v>1</v>
      </c>
      <c r="D777">
        <v>0</v>
      </c>
    </row>
    <row r="778" spans="1:4" x14ac:dyDescent="0.3">
      <c r="A778">
        <v>1</v>
      </c>
      <c r="B778">
        <v>1</v>
      </c>
      <c r="C778">
        <v>1</v>
      </c>
      <c r="D778">
        <v>0</v>
      </c>
    </row>
    <row r="779" spans="1:4" x14ac:dyDescent="0.3">
      <c r="A779">
        <v>1</v>
      </c>
      <c r="B779">
        <v>1</v>
      </c>
      <c r="C779">
        <v>1</v>
      </c>
      <c r="D779">
        <v>0</v>
      </c>
    </row>
    <row r="780" spans="1:4" x14ac:dyDescent="0.3">
      <c r="A780">
        <v>1</v>
      </c>
      <c r="B780">
        <v>1</v>
      </c>
      <c r="C780">
        <v>1</v>
      </c>
      <c r="D780">
        <v>0</v>
      </c>
    </row>
    <row r="781" spans="1:4" x14ac:dyDescent="0.3">
      <c r="A781">
        <v>1</v>
      </c>
      <c r="B781">
        <v>1</v>
      </c>
      <c r="C781">
        <v>1</v>
      </c>
      <c r="D781">
        <v>0</v>
      </c>
    </row>
    <row r="782" spans="1:4" x14ac:dyDescent="0.3">
      <c r="A782">
        <v>1</v>
      </c>
      <c r="B782">
        <v>1</v>
      </c>
      <c r="C782">
        <v>1</v>
      </c>
      <c r="D782">
        <v>0</v>
      </c>
    </row>
    <row r="783" spans="1:4" x14ac:dyDescent="0.3">
      <c r="A783">
        <v>1</v>
      </c>
      <c r="B783">
        <v>1</v>
      </c>
      <c r="C783">
        <v>1</v>
      </c>
      <c r="D783">
        <v>0</v>
      </c>
    </row>
    <row r="784" spans="1:4" x14ac:dyDescent="0.3">
      <c r="A784">
        <v>1</v>
      </c>
      <c r="B784">
        <v>1</v>
      </c>
      <c r="C784">
        <v>1</v>
      </c>
      <c r="D784">
        <v>0</v>
      </c>
    </row>
    <row r="785" spans="1:4" x14ac:dyDescent="0.3">
      <c r="A785">
        <v>1</v>
      </c>
      <c r="B785">
        <v>1</v>
      </c>
      <c r="C785">
        <v>1</v>
      </c>
      <c r="D785">
        <v>0</v>
      </c>
    </row>
    <row r="786" spans="1:4" x14ac:dyDescent="0.3">
      <c r="A786">
        <v>1</v>
      </c>
      <c r="B786">
        <v>1</v>
      </c>
      <c r="C786">
        <v>1</v>
      </c>
      <c r="D786">
        <v>0</v>
      </c>
    </row>
    <row r="787" spans="1:4" x14ac:dyDescent="0.3">
      <c r="A787">
        <v>1</v>
      </c>
      <c r="B787">
        <v>1</v>
      </c>
      <c r="C787">
        <v>1</v>
      </c>
      <c r="D787">
        <v>0</v>
      </c>
    </row>
    <row r="788" spans="1:4" x14ac:dyDescent="0.3">
      <c r="A788">
        <v>1</v>
      </c>
      <c r="B788">
        <v>1</v>
      </c>
      <c r="C788">
        <v>1</v>
      </c>
      <c r="D788">
        <v>0</v>
      </c>
    </row>
    <row r="789" spans="1:4" x14ac:dyDescent="0.3">
      <c r="A789">
        <v>1</v>
      </c>
      <c r="B789">
        <v>1</v>
      </c>
      <c r="C789">
        <v>1</v>
      </c>
      <c r="D789">
        <v>0</v>
      </c>
    </row>
    <row r="790" spans="1:4" x14ac:dyDescent="0.3">
      <c r="A790">
        <v>1</v>
      </c>
      <c r="B790">
        <v>1</v>
      </c>
      <c r="C790">
        <v>1</v>
      </c>
      <c r="D790">
        <v>0</v>
      </c>
    </row>
    <row r="791" spans="1:4" x14ac:dyDescent="0.3">
      <c r="A791">
        <v>1</v>
      </c>
      <c r="B791">
        <v>1</v>
      </c>
      <c r="C791">
        <v>1</v>
      </c>
      <c r="D791">
        <v>0</v>
      </c>
    </row>
    <row r="792" spans="1:4" x14ac:dyDescent="0.3">
      <c r="A792">
        <v>1</v>
      </c>
      <c r="B792">
        <v>1</v>
      </c>
      <c r="C792">
        <v>1</v>
      </c>
      <c r="D792">
        <v>0</v>
      </c>
    </row>
    <row r="793" spans="1:4" x14ac:dyDescent="0.3">
      <c r="A793">
        <v>1</v>
      </c>
      <c r="B793">
        <v>1</v>
      </c>
      <c r="C793">
        <v>1</v>
      </c>
      <c r="D793">
        <v>0</v>
      </c>
    </row>
    <row r="794" spans="1:4" x14ac:dyDescent="0.3">
      <c r="A794">
        <v>1</v>
      </c>
      <c r="B794">
        <v>1</v>
      </c>
      <c r="C794">
        <v>1</v>
      </c>
      <c r="D794">
        <v>0</v>
      </c>
    </row>
    <row r="795" spans="1:4" x14ac:dyDescent="0.3">
      <c r="A795">
        <v>1</v>
      </c>
      <c r="B795">
        <v>1</v>
      </c>
      <c r="C795">
        <v>1</v>
      </c>
      <c r="D795">
        <v>0</v>
      </c>
    </row>
    <row r="796" spans="1:4" x14ac:dyDescent="0.3">
      <c r="A796">
        <v>1</v>
      </c>
      <c r="B796">
        <v>1</v>
      </c>
      <c r="C796">
        <v>1</v>
      </c>
      <c r="D796">
        <v>0</v>
      </c>
    </row>
    <row r="797" spans="1:4" x14ac:dyDescent="0.3">
      <c r="A797">
        <v>1</v>
      </c>
      <c r="B797">
        <v>1</v>
      </c>
      <c r="C797">
        <v>1</v>
      </c>
      <c r="D797">
        <v>0</v>
      </c>
    </row>
    <row r="798" spans="1:4" x14ac:dyDescent="0.3">
      <c r="A798">
        <v>1</v>
      </c>
      <c r="B798">
        <v>1</v>
      </c>
      <c r="C798">
        <v>1</v>
      </c>
      <c r="D798">
        <v>0</v>
      </c>
    </row>
    <row r="799" spans="1:4" x14ac:dyDescent="0.3">
      <c r="A799">
        <v>1</v>
      </c>
      <c r="B799">
        <v>1</v>
      </c>
      <c r="C799">
        <v>1</v>
      </c>
      <c r="D799">
        <v>0</v>
      </c>
    </row>
    <row r="800" spans="1:4" x14ac:dyDescent="0.3">
      <c r="A800">
        <v>1</v>
      </c>
      <c r="B800">
        <v>1</v>
      </c>
      <c r="C800">
        <v>1</v>
      </c>
      <c r="D800">
        <v>0</v>
      </c>
    </row>
    <row r="801" spans="1:4" x14ac:dyDescent="0.3">
      <c r="A801">
        <v>1</v>
      </c>
      <c r="B801">
        <v>1</v>
      </c>
      <c r="C801">
        <v>1</v>
      </c>
      <c r="D801">
        <v>0</v>
      </c>
    </row>
    <row r="802" spans="1:4" x14ac:dyDescent="0.3">
      <c r="A802">
        <v>1</v>
      </c>
      <c r="B802">
        <v>1</v>
      </c>
      <c r="C802">
        <v>1</v>
      </c>
      <c r="D802">
        <v>0</v>
      </c>
    </row>
    <row r="803" spans="1:4" x14ac:dyDescent="0.3">
      <c r="A803">
        <v>1</v>
      </c>
      <c r="B803">
        <v>1</v>
      </c>
      <c r="C803">
        <v>1</v>
      </c>
      <c r="D803">
        <v>0</v>
      </c>
    </row>
    <row r="804" spans="1:4" x14ac:dyDescent="0.3">
      <c r="A804">
        <v>1</v>
      </c>
      <c r="B804">
        <v>1</v>
      </c>
      <c r="C804">
        <v>1</v>
      </c>
      <c r="D804">
        <v>0</v>
      </c>
    </row>
    <row r="805" spans="1:4" x14ac:dyDescent="0.3">
      <c r="A805">
        <v>1</v>
      </c>
      <c r="B805">
        <v>1</v>
      </c>
      <c r="C805">
        <v>1</v>
      </c>
      <c r="D805">
        <v>0</v>
      </c>
    </row>
    <row r="806" spans="1:4" x14ac:dyDescent="0.3">
      <c r="A806">
        <v>1</v>
      </c>
      <c r="B806">
        <v>1</v>
      </c>
      <c r="C806">
        <v>1</v>
      </c>
      <c r="D806">
        <v>0</v>
      </c>
    </row>
    <row r="807" spans="1:4" x14ac:dyDescent="0.3">
      <c r="A807">
        <v>1</v>
      </c>
      <c r="B807">
        <v>1</v>
      </c>
      <c r="C807">
        <v>1</v>
      </c>
      <c r="D807">
        <v>0</v>
      </c>
    </row>
    <row r="808" spans="1:4" x14ac:dyDescent="0.3">
      <c r="A808">
        <v>1</v>
      </c>
      <c r="B808">
        <v>1</v>
      </c>
      <c r="C808">
        <v>1</v>
      </c>
      <c r="D808">
        <v>0</v>
      </c>
    </row>
    <row r="809" spans="1:4" x14ac:dyDescent="0.3">
      <c r="A809">
        <v>1</v>
      </c>
      <c r="B809">
        <v>1</v>
      </c>
      <c r="C809">
        <v>1</v>
      </c>
      <c r="D809">
        <v>0</v>
      </c>
    </row>
    <row r="810" spans="1:4" x14ac:dyDescent="0.3">
      <c r="A810">
        <v>1</v>
      </c>
      <c r="B810">
        <v>1</v>
      </c>
      <c r="C810">
        <v>1</v>
      </c>
      <c r="D810">
        <v>0</v>
      </c>
    </row>
    <row r="811" spans="1:4" x14ac:dyDescent="0.3">
      <c r="A811">
        <v>1</v>
      </c>
      <c r="B811">
        <v>1</v>
      </c>
      <c r="C811">
        <v>1</v>
      </c>
      <c r="D811">
        <v>0</v>
      </c>
    </row>
    <row r="812" spans="1:4" x14ac:dyDescent="0.3">
      <c r="A812">
        <v>1</v>
      </c>
      <c r="B812">
        <v>1</v>
      </c>
      <c r="C812">
        <v>1</v>
      </c>
      <c r="D812">
        <v>0</v>
      </c>
    </row>
    <row r="813" spans="1:4" x14ac:dyDescent="0.3">
      <c r="A813">
        <v>1</v>
      </c>
      <c r="B813">
        <v>1</v>
      </c>
      <c r="C813">
        <v>1</v>
      </c>
      <c r="D813">
        <v>0</v>
      </c>
    </row>
    <row r="814" spans="1:4" x14ac:dyDescent="0.3">
      <c r="A814">
        <v>1</v>
      </c>
      <c r="B814">
        <v>1</v>
      </c>
      <c r="C814">
        <v>1</v>
      </c>
      <c r="D814">
        <v>0</v>
      </c>
    </row>
    <row r="815" spans="1:4" x14ac:dyDescent="0.3">
      <c r="A815">
        <v>1</v>
      </c>
      <c r="B815">
        <v>1</v>
      </c>
      <c r="C815">
        <v>1</v>
      </c>
      <c r="D815">
        <v>0</v>
      </c>
    </row>
    <row r="816" spans="1:4" x14ac:dyDescent="0.3">
      <c r="A816">
        <v>1</v>
      </c>
      <c r="B816">
        <v>1</v>
      </c>
      <c r="C816">
        <v>1</v>
      </c>
      <c r="D816">
        <v>0</v>
      </c>
    </row>
    <row r="817" spans="1:4" x14ac:dyDescent="0.3">
      <c r="A817">
        <v>1</v>
      </c>
      <c r="B817">
        <v>1</v>
      </c>
      <c r="C817">
        <v>1</v>
      </c>
      <c r="D817">
        <v>0</v>
      </c>
    </row>
    <row r="818" spans="1:4" x14ac:dyDescent="0.3">
      <c r="A818">
        <v>1</v>
      </c>
      <c r="B818">
        <v>1</v>
      </c>
      <c r="C818">
        <v>1</v>
      </c>
      <c r="D818">
        <v>0</v>
      </c>
    </row>
    <row r="819" spans="1:4" x14ac:dyDescent="0.3">
      <c r="A819">
        <v>1</v>
      </c>
      <c r="B819">
        <v>1</v>
      </c>
      <c r="C819">
        <v>1</v>
      </c>
      <c r="D819">
        <v>0</v>
      </c>
    </row>
    <row r="820" spans="1:4" x14ac:dyDescent="0.3">
      <c r="A820">
        <v>1</v>
      </c>
      <c r="B820">
        <v>1</v>
      </c>
      <c r="C820">
        <v>1</v>
      </c>
      <c r="D820">
        <v>0</v>
      </c>
    </row>
    <row r="821" spans="1:4" x14ac:dyDescent="0.3">
      <c r="A821">
        <v>1</v>
      </c>
      <c r="B821">
        <v>1</v>
      </c>
      <c r="C821">
        <v>1</v>
      </c>
      <c r="D821">
        <v>0</v>
      </c>
    </row>
    <row r="822" spans="1:4" x14ac:dyDescent="0.3">
      <c r="A822">
        <v>1</v>
      </c>
      <c r="B822">
        <v>1</v>
      </c>
      <c r="C822">
        <v>1</v>
      </c>
      <c r="D822">
        <v>0</v>
      </c>
    </row>
    <row r="823" spans="1:4" x14ac:dyDescent="0.3">
      <c r="A823">
        <v>1</v>
      </c>
      <c r="B823">
        <v>1</v>
      </c>
      <c r="C823">
        <v>1</v>
      </c>
      <c r="D823">
        <v>0</v>
      </c>
    </row>
    <row r="824" spans="1:4" x14ac:dyDescent="0.3">
      <c r="A824">
        <v>1</v>
      </c>
      <c r="B824">
        <v>1</v>
      </c>
      <c r="C824">
        <v>1</v>
      </c>
      <c r="D824">
        <v>0</v>
      </c>
    </row>
    <row r="825" spans="1:4" x14ac:dyDescent="0.3">
      <c r="A825">
        <v>1</v>
      </c>
      <c r="B825">
        <v>1</v>
      </c>
      <c r="C825">
        <v>1</v>
      </c>
      <c r="D825">
        <v>0</v>
      </c>
    </row>
    <row r="826" spans="1:4" x14ac:dyDescent="0.3">
      <c r="A826">
        <v>1</v>
      </c>
      <c r="B826">
        <v>1</v>
      </c>
      <c r="C826">
        <v>1</v>
      </c>
      <c r="D826">
        <v>0</v>
      </c>
    </row>
    <row r="827" spans="1:4" x14ac:dyDescent="0.3">
      <c r="A827">
        <v>1</v>
      </c>
      <c r="B827">
        <v>1</v>
      </c>
      <c r="C827">
        <v>1</v>
      </c>
      <c r="D827">
        <v>0</v>
      </c>
    </row>
    <row r="828" spans="1:4" x14ac:dyDescent="0.3">
      <c r="A828">
        <v>1</v>
      </c>
      <c r="B828">
        <v>1</v>
      </c>
      <c r="C828">
        <v>1</v>
      </c>
      <c r="D828">
        <v>0</v>
      </c>
    </row>
    <row r="829" spans="1:4" x14ac:dyDescent="0.3">
      <c r="A829">
        <v>1</v>
      </c>
      <c r="B829">
        <v>1</v>
      </c>
      <c r="C829">
        <v>1</v>
      </c>
      <c r="D829">
        <v>0</v>
      </c>
    </row>
    <row r="830" spans="1:4" x14ac:dyDescent="0.3">
      <c r="A830">
        <v>1</v>
      </c>
      <c r="B830">
        <v>1</v>
      </c>
      <c r="C830">
        <v>1</v>
      </c>
      <c r="D830">
        <v>0</v>
      </c>
    </row>
    <row r="831" spans="1:4" x14ac:dyDescent="0.3">
      <c r="A831">
        <v>1</v>
      </c>
      <c r="B831">
        <v>1</v>
      </c>
      <c r="C831">
        <v>1</v>
      </c>
      <c r="D831">
        <v>0</v>
      </c>
    </row>
    <row r="832" spans="1:4" x14ac:dyDescent="0.3">
      <c r="A832">
        <v>1</v>
      </c>
      <c r="B832">
        <v>1</v>
      </c>
      <c r="C832">
        <v>1</v>
      </c>
      <c r="D832">
        <v>0</v>
      </c>
    </row>
    <row r="833" spans="1:4" x14ac:dyDescent="0.3">
      <c r="A833">
        <v>1</v>
      </c>
      <c r="B833">
        <v>1</v>
      </c>
      <c r="C833">
        <v>1</v>
      </c>
      <c r="D833">
        <v>0</v>
      </c>
    </row>
    <row r="834" spans="1:4" x14ac:dyDescent="0.3">
      <c r="A834">
        <v>1</v>
      </c>
      <c r="B834">
        <v>1</v>
      </c>
      <c r="C834">
        <v>1</v>
      </c>
      <c r="D834">
        <v>0</v>
      </c>
    </row>
    <row r="835" spans="1:4" x14ac:dyDescent="0.3">
      <c r="A835">
        <v>1</v>
      </c>
      <c r="B835">
        <v>1</v>
      </c>
      <c r="C835">
        <v>1</v>
      </c>
      <c r="D835">
        <v>0</v>
      </c>
    </row>
    <row r="836" spans="1:4" x14ac:dyDescent="0.3">
      <c r="A836">
        <v>1</v>
      </c>
      <c r="B836">
        <v>1</v>
      </c>
      <c r="C836">
        <v>1</v>
      </c>
      <c r="D836">
        <v>0</v>
      </c>
    </row>
    <row r="837" spans="1:4" x14ac:dyDescent="0.3">
      <c r="A837">
        <v>1</v>
      </c>
      <c r="B837">
        <v>1</v>
      </c>
      <c r="C837">
        <v>1</v>
      </c>
      <c r="D837">
        <v>0</v>
      </c>
    </row>
    <row r="838" spans="1:4" x14ac:dyDescent="0.3">
      <c r="A838">
        <v>1</v>
      </c>
      <c r="B838">
        <v>1</v>
      </c>
      <c r="C838">
        <v>1</v>
      </c>
      <c r="D838">
        <v>0</v>
      </c>
    </row>
    <row r="839" spans="1:4" x14ac:dyDescent="0.3">
      <c r="A839">
        <v>1</v>
      </c>
      <c r="B839">
        <v>1</v>
      </c>
      <c r="C839">
        <v>1</v>
      </c>
      <c r="D839">
        <v>0</v>
      </c>
    </row>
    <row r="840" spans="1:4" x14ac:dyDescent="0.3">
      <c r="A840">
        <v>1</v>
      </c>
      <c r="B840">
        <v>1</v>
      </c>
      <c r="C840">
        <v>1</v>
      </c>
      <c r="D840">
        <v>0</v>
      </c>
    </row>
    <row r="841" spans="1:4" x14ac:dyDescent="0.3">
      <c r="A841">
        <v>1</v>
      </c>
      <c r="B841">
        <v>1</v>
      </c>
      <c r="C841">
        <v>1</v>
      </c>
      <c r="D841">
        <v>0</v>
      </c>
    </row>
    <row r="842" spans="1:4" x14ac:dyDescent="0.3">
      <c r="A842">
        <v>1</v>
      </c>
      <c r="B842">
        <v>1</v>
      </c>
      <c r="C842">
        <v>1</v>
      </c>
      <c r="D842">
        <v>0</v>
      </c>
    </row>
    <row r="843" spans="1:4" x14ac:dyDescent="0.3">
      <c r="A843">
        <v>1</v>
      </c>
      <c r="B843">
        <v>1</v>
      </c>
      <c r="C843">
        <v>1</v>
      </c>
      <c r="D843">
        <v>0</v>
      </c>
    </row>
    <row r="844" spans="1:4" x14ac:dyDescent="0.3">
      <c r="A844">
        <v>1</v>
      </c>
      <c r="B844">
        <v>1</v>
      </c>
      <c r="C844">
        <v>1</v>
      </c>
      <c r="D844">
        <v>0</v>
      </c>
    </row>
    <row r="845" spans="1:4" x14ac:dyDescent="0.3">
      <c r="A845">
        <v>1</v>
      </c>
      <c r="B845">
        <v>1</v>
      </c>
      <c r="C845">
        <v>1</v>
      </c>
      <c r="D845">
        <v>0</v>
      </c>
    </row>
    <row r="846" spans="1:4" x14ac:dyDescent="0.3">
      <c r="A846">
        <v>1</v>
      </c>
      <c r="B846">
        <v>1</v>
      </c>
      <c r="C846">
        <v>1</v>
      </c>
      <c r="D846">
        <v>0</v>
      </c>
    </row>
    <row r="847" spans="1:4" x14ac:dyDescent="0.3">
      <c r="A847">
        <v>1</v>
      </c>
      <c r="B847">
        <v>1</v>
      </c>
      <c r="C847">
        <v>1</v>
      </c>
      <c r="D847">
        <v>0</v>
      </c>
    </row>
    <row r="848" spans="1:4" x14ac:dyDescent="0.3">
      <c r="A848">
        <v>1</v>
      </c>
      <c r="B848">
        <v>1</v>
      </c>
      <c r="C848">
        <v>1</v>
      </c>
      <c r="D848">
        <v>0</v>
      </c>
    </row>
    <row r="849" spans="1:4" x14ac:dyDescent="0.3">
      <c r="A849">
        <v>1</v>
      </c>
      <c r="B849">
        <v>1</v>
      </c>
      <c r="C849">
        <v>1</v>
      </c>
      <c r="D849">
        <v>0</v>
      </c>
    </row>
    <row r="850" spans="1:4" x14ac:dyDescent="0.3">
      <c r="A850">
        <v>1</v>
      </c>
      <c r="B850">
        <v>1</v>
      </c>
      <c r="C850">
        <v>1</v>
      </c>
      <c r="D850">
        <v>0</v>
      </c>
    </row>
    <row r="851" spans="1:4" x14ac:dyDescent="0.3">
      <c r="A851">
        <v>1</v>
      </c>
      <c r="B851">
        <v>1</v>
      </c>
      <c r="C851">
        <v>1</v>
      </c>
      <c r="D851">
        <v>0</v>
      </c>
    </row>
    <row r="852" spans="1:4" x14ac:dyDescent="0.3">
      <c r="A852">
        <v>1</v>
      </c>
      <c r="B852">
        <v>1</v>
      </c>
      <c r="C852">
        <v>1</v>
      </c>
      <c r="D852">
        <v>0</v>
      </c>
    </row>
    <row r="853" spans="1:4" x14ac:dyDescent="0.3">
      <c r="A853">
        <v>1</v>
      </c>
      <c r="B853">
        <v>1</v>
      </c>
      <c r="C853">
        <v>1</v>
      </c>
      <c r="D853">
        <v>0</v>
      </c>
    </row>
    <row r="854" spans="1:4" x14ac:dyDescent="0.3">
      <c r="A854">
        <v>1</v>
      </c>
      <c r="B854">
        <v>1</v>
      </c>
      <c r="C854">
        <v>1</v>
      </c>
      <c r="D854">
        <v>0</v>
      </c>
    </row>
    <row r="855" spans="1:4" x14ac:dyDescent="0.3">
      <c r="A855">
        <v>1</v>
      </c>
      <c r="B855">
        <v>1</v>
      </c>
      <c r="C855">
        <v>1</v>
      </c>
      <c r="D855">
        <v>0</v>
      </c>
    </row>
    <row r="856" spans="1:4" x14ac:dyDescent="0.3">
      <c r="A856">
        <v>1</v>
      </c>
      <c r="B856">
        <v>1</v>
      </c>
      <c r="C856">
        <v>1</v>
      </c>
      <c r="D856">
        <v>0</v>
      </c>
    </row>
    <row r="857" spans="1:4" x14ac:dyDescent="0.3">
      <c r="A857">
        <v>1</v>
      </c>
      <c r="B857">
        <v>1</v>
      </c>
      <c r="C857">
        <v>1</v>
      </c>
      <c r="D857">
        <v>0</v>
      </c>
    </row>
    <row r="858" spans="1:4" x14ac:dyDescent="0.3">
      <c r="A858">
        <v>1</v>
      </c>
      <c r="B858">
        <v>1</v>
      </c>
      <c r="C858">
        <v>1</v>
      </c>
      <c r="D858">
        <v>0</v>
      </c>
    </row>
    <row r="859" spans="1:4" x14ac:dyDescent="0.3">
      <c r="A859">
        <v>1</v>
      </c>
      <c r="B859">
        <v>1</v>
      </c>
      <c r="C859">
        <v>1</v>
      </c>
      <c r="D859">
        <v>0</v>
      </c>
    </row>
    <row r="860" spans="1:4" x14ac:dyDescent="0.3">
      <c r="A860">
        <v>1</v>
      </c>
      <c r="B860">
        <v>1</v>
      </c>
      <c r="C860">
        <v>1</v>
      </c>
      <c r="D860">
        <v>0</v>
      </c>
    </row>
    <row r="861" spans="1:4" x14ac:dyDescent="0.3">
      <c r="A861">
        <v>1</v>
      </c>
      <c r="B861">
        <v>1</v>
      </c>
      <c r="C861">
        <v>1</v>
      </c>
      <c r="D861">
        <v>0</v>
      </c>
    </row>
    <row r="862" spans="1:4" x14ac:dyDescent="0.3">
      <c r="A862">
        <v>1</v>
      </c>
      <c r="B862">
        <v>1</v>
      </c>
      <c r="C862">
        <v>1</v>
      </c>
      <c r="D862">
        <v>0</v>
      </c>
    </row>
    <row r="863" spans="1:4" x14ac:dyDescent="0.3">
      <c r="A863">
        <v>1</v>
      </c>
      <c r="B863">
        <v>1</v>
      </c>
      <c r="C863">
        <v>1</v>
      </c>
      <c r="D863">
        <v>0</v>
      </c>
    </row>
    <row r="864" spans="1:4" x14ac:dyDescent="0.3">
      <c r="A864">
        <v>1</v>
      </c>
      <c r="B864">
        <v>1</v>
      </c>
      <c r="C864">
        <v>1</v>
      </c>
      <c r="D864">
        <v>0</v>
      </c>
    </row>
    <row r="865" spans="1:4" x14ac:dyDescent="0.3">
      <c r="A865">
        <v>1</v>
      </c>
      <c r="B865">
        <v>1</v>
      </c>
      <c r="C865">
        <v>1</v>
      </c>
      <c r="D865">
        <v>0</v>
      </c>
    </row>
    <row r="866" spans="1:4" x14ac:dyDescent="0.3">
      <c r="A866">
        <v>1</v>
      </c>
      <c r="B866">
        <v>1</v>
      </c>
      <c r="C866">
        <v>1</v>
      </c>
      <c r="D866">
        <v>0</v>
      </c>
    </row>
    <row r="867" spans="1:4" x14ac:dyDescent="0.3">
      <c r="A867">
        <v>1</v>
      </c>
      <c r="B867">
        <v>1</v>
      </c>
      <c r="C867">
        <v>1</v>
      </c>
      <c r="D867">
        <v>0</v>
      </c>
    </row>
    <row r="868" spans="1:4" x14ac:dyDescent="0.3">
      <c r="A868">
        <v>1</v>
      </c>
      <c r="B868">
        <v>1</v>
      </c>
      <c r="C868">
        <v>1</v>
      </c>
      <c r="D868">
        <v>0</v>
      </c>
    </row>
    <row r="869" spans="1:4" x14ac:dyDescent="0.3">
      <c r="A869">
        <v>1</v>
      </c>
      <c r="B869">
        <v>1</v>
      </c>
      <c r="C869">
        <v>1</v>
      </c>
      <c r="D869">
        <v>0</v>
      </c>
    </row>
    <row r="870" spans="1:4" x14ac:dyDescent="0.3">
      <c r="A870">
        <v>1</v>
      </c>
      <c r="B870">
        <v>1</v>
      </c>
      <c r="C870">
        <v>1</v>
      </c>
      <c r="D870">
        <v>0</v>
      </c>
    </row>
    <row r="871" spans="1:4" x14ac:dyDescent="0.3">
      <c r="A871">
        <v>1</v>
      </c>
      <c r="B871">
        <v>1</v>
      </c>
      <c r="C871">
        <v>1</v>
      </c>
      <c r="D871">
        <v>0</v>
      </c>
    </row>
    <row r="872" spans="1:4" x14ac:dyDescent="0.3">
      <c r="A872">
        <v>1</v>
      </c>
      <c r="B872">
        <v>1</v>
      </c>
      <c r="C872">
        <v>1</v>
      </c>
      <c r="D872">
        <v>0</v>
      </c>
    </row>
    <row r="873" spans="1:4" x14ac:dyDescent="0.3">
      <c r="A873">
        <v>1</v>
      </c>
      <c r="B873">
        <v>1</v>
      </c>
      <c r="C873">
        <v>1</v>
      </c>
      <c r="D873">
        <v>0</v>
      </c>
    </row>
    <row r="874" spans="1:4" x14ac:dyDescent="0.3">
      <c r="A874">
        <v>1</v>
      </c>
      <c r="B874">
        <v>1</v>
      </c>
      <c r="C874">
        <v>1</v>
      </c>
      <c r="D874">
        <v>0</v>
      </c>
    </row>
    <row r="875" spans="1:4" x14ac:dyDescent="0.3">
      <c r="A875">
        <v>1</v>
      </c>
      <c r="B875">
        <v>1</v>
      </c>
      <c r="C875">
        <v>1</v>
      </c>
      <c r="D875">
        <v>0</v>
      </c>
    </row>
    <row r="876" spans="1:4" x14ac:dyDescent="0.3">
      <c r="A876">
        <v>1</v>
      </c>
      <c r="B876">
        <v>1</v>
      </c>
      <c r="C876">
        <v>1</v>
      </c>
      <c r="D876">
        <v>0</v>
      </c>
    </row>
    <row r="877" spans="1:4" x14ac:dyDescent="0.3">
      <c r="A877">
        <v>1</v>
      </c>
      <c r="B877">
        <v>1</v>
      </c>
      <c r="C877">
        <v>1</v>
      </c>
      <c r="D877">
        <v>0</v>
      </c>
    </row>
    <row r="878" spans="1:4" x14ac:dyDescent="0.3">
      <c r="A878">
        <v>1</v>
      </c>
      <c r="B878">
        <v>1</v>
      </c>
      <c r="C878">
        <v>1</v>
      </c>
      <c r="D878">
        <v>0</v>
      </c>
    </row>
    <row r="879" spans="1:4" x14ac:dyDescent="0.3">
      <c r="A879">
        <v>1</v>
      </c>
      <c r="B879">
        <v>1</v>
      </c>
      <c r="C879">
        <v>1</v>
      </c>
      <c r="D879">
        <v>0</v>
      </c>
    </row>
    <row r="880" spans="1:4" x14ac:dyDescent="0.3">
      <c r="A880">
        <v>1</v>
      </c>
      <c r="B880">
        <v>1</v>
      </c>
      <c r="C880">
        <v>1</v>
      </c>
      <c r="D880">
        <v>0</v>
      </c>
    </row>
    <row r="881" spans="1:4" x14ac:dyDescent="0.3">
      <c r="A881">
        <v>1</v>
      </c>
      <c r="B881">
        <v>1</v>
      </c>
      <c r="C881">
        <v>1</v>
      </c>
      <c r="D881">
        <v>0</v>
      </c>
    </row>
    <row r="882" spans="1:4" x14ac:dyDescent="0.3">
      <c r="A882">
        <v>1</v>
      </c>
      <c r="B882">
        <v>1</v>
      </c>
      <c r="C882">
        <v>1</v>
      </c>
      <c r="D882">
        <v>0</v>
      </c>
    </row>
    <row r="883" spans="1:4" x14ac:dyDescent="0.3">
      <c r="A883">
        <v>1</v>
      </c>
      <c r="B883">
        <v>1</v>
      </c>
      <c r="C883">
        <v>1</v>
      </c>
      <c r="D883">
        <v>0</v>
      </c>
    </row>
    <row r="884" spans="1:4" x14ac:dyDescent="0.3">
      <c r="A884">
        <v>1</v>
      </c>
      <c r="B884">
        <v>1</v>
      </c>
      <c r="C884">
        <v>1</v>
      </c>
      <c r="D884">
        <v>0</v>
      </c>
    </row>
    <row r="885" spans="1:4" x14ac:dyDescent="0.3">
      <c r="A885">
        <v>1</v>
      </c>
      <c r="B885">
        <v>1</v>
      </c>
      <c r="C885">
        <v>1</v>
      </c>
      <c r="D885">
        <v>0</v>
      </c>
    </row>
    <row r="886" spans="1:4" x14ac:dyDescent="0.3">
      <c r="A886">
        <v>1</v>
      </c>
      <c r="B886">
        <v>1</v>
      </c>
      <c r="C886">
        <v>1</v>
      </c>
      <c r="D886">
        <v>0</v>
      </c>
    </row>
    <row r="887" spans="1:4" x14ac:dyDescent="0.3">
      <c r="A887">
        <v>1</v>
      </c>
      <c r="B887">
        <v>1</v>
      </c>
      <c r="C887">
        <v>1</v>
      </c>
      <c r="D887">
        <v>0</v>
      </c>
    </row>
    <row r="888" spans="1:4" x14ac:dyDescent="0.3">
      <c r="A888">
        <v>1</v>
      </c>
      <c r="B888">
        <v>1</v>
      </c>
      <c r="C888">
        <v>1</v>
      </c>
      <c r="D888">
        <v>0</v>
      </c>
    </row>
    <row r="889" spans="1:4" x14ac:dyDescent="0.3">
      <c r="A889">
        <v>1</v>
      </c>
      <c r="B889">
        <v>1</v>
      </c>
      <c r="C889">
        <v>1</v>
      </c>
      <c r="D889">
        <v>0</v>
      </c>
    </row>
    <row r="890" spans="1:4" x14ac:dyDescent="0.3">
      <c r="A890">
        <v>1</v>
      </c>
      <c r="B890">
        <v>1</v>
      </c>
      <c r="C890">
        <v>1</v>
      </c>
      <c r="D890">
        <v>0</v>
      </c>
    </row>
    <row r="891" spans="1:4" x14ac:dyDescent="0.3">
      <c r="A891">
        <v>1</v>
      </c>
      <c r="B891">
        <v>1</v>
      </c>
      <c r="C891">
        <v>1</v>
      </c>
      <c r="D891">
        <v>0</v>
      </c>
    </row>
    <row r="892" spans="1:4" x14ac:dyDescent="0.3">
      <c r="A892">
        <v>1</v>
      </c>
      <c r="B892">
        <v>1</v>
      </c>
      <c r="C892">
        <v>1</v>
      </c>
      <c r="D892">
        <v>0</v>
      </c>
    </row>
    <row r="893" spans="1:4" x14ac:dyDescent="0.3">
      <c r="A893">
        <v>1</v>
      </c>
      <c r="B893">
        <v>1</v>
      </c>
      <c r="C893">
        <v>1</v>
      </c>
      <c r="D893">
        <v>0</v>
      </c>
    </row>
    <row r="894" spans="1:4" x14ac:dyDescent="0.3">
      <c r="A894">
        <v>1</v>
      </c>
      <c r="B894">
        <v>1</v>
      </c>
      <c r="C894">
        <v>1</v>
      </c>
      <c r="D894">
        <v>0</v>
      </c>
    </row>
    <row r="895" spans="1:4" x14ac:dyDescent="0.3">
      <c r="A895">
        <v>1</v>
      </c>
      <c r="B895">
        <v>1</v>
      </c>
      <c r="C895">
        <v>1</v>
      </c>
      <c r="D895">
        <v>0</v>
      </c>
    </row>
    <row r="896" spans="1:4" x14ac:dyDescent="0.3">
      <c r="A896">
        <v>1</v>
      </c>
      <c r="B896">
        <v>1</v>
      </c>
      <c r="C896">
        <v>1</v>
      </c>
      <c r="D896">
        <v>0</v>
      </c>
    </row>
    <row r="897" spans="1:4" x14ac:dyDescent="0.3">
      <c r="A897">
        <v>1</v>
      </c>
      <c r="B897">
        <v>1</v>
      </c>
      <c r="C897">
        <v>1</v>
      </c>
      <c r="D897">
        <v>0</v>
      </c>
    </row>
    <row r="898" spans="1:4" x14ac:dyDescent="0.3">
      <c r="A898">
        <v>1</v>
      </c>
      <c r="B898">
        <v>1</v>
      </c>
      <c r="C898">
        <v>1</v>
      </c>
      <c r="D898">
        <v>0</v>
      </c>
    </row>
    <row r="899" spans="1:4" x14ac:dyDescent="0.3">
      <c r="A899">
        <v>1</v>
      </c>
      <c r="B899">
        <v>1</v>
      </c>
      <c r="C899">
        <v>1</v>
      </c>
      <c r="D899">
        <v>0</v>
      </c>
    </row>
    <row r="900" spans="1:4" x14ac:dyDescent="0.3">
      <c r="A900">
        <v>1</v>
      </c>
      <c r="B900">
        <v>1</v>
      </c>
      <c r="C900">
        <v>1</v>
      </c>
      <c r="D900">
        <v>0</v>
      </c>
    </row>
    <row r="901" spans="1:4" x14ac:dyDescent="0.3">
      <c r="A901">
        <v>1</v>
      </c>
      <c r="B901">
        <v>1</v>
      </c>
      <c r="C901">
        <v>1</v>
      </c>
      <c r="D901">
        <v>0</v>
      </c>
    </row>
    <row r="902" spans="1:4" x14ac:dyDescent="0.3">
      <c r="A902">
        <v>1</v>
      </c>
      <c r="B902">
        <v>1</v>
      </c>
      <c r="C902">
        <v>1</v>
      </c>
      <c r="D902">
        <v>0</v>
      </c>
    </row>
    <row r="903" spans="1:4" x14ac:dyDescent="0.3">
      <c r="A903">
        <v>1</v>
      </c>
      <c r="B903">
        <v>1</v>
      </c>
      <c r="C903">
        <v>1</v>
      </c>
      <c r="D903">
        <v>0</v>
      </c>
    </row>
    <row r="904" spans="1:4" x14ac:dyDescent="0.3">
      <c r="A904">
        <v>1</v>
      </c>
      <c r="B904">
        <v>1</v>
      </c>
      <c r="C904">
        <v>1</v>
      </c>
      <c r="D904">
        <v>0</v>
      </c>
    </row>
    <row r="905" spans="1:4" x14ac:dyDescent="0.3">
      <c r="A905">
        <v>1</v>
      </c>
      <c r="B905">
        <v>1</v>
      </c>
      <c r="C905">
        <v>1</v>
      </c>
      <c r="D905">
        <v>0</v>
      </c>
    </row>
    <row r="906" spans="1:4" x14ac:dyDescent="0.3">
      <c r="A906">
        <v>1</v>
      </c>
      <c r="B906">
        <v>1</v>
      </c>
      <c r="C906">
        <v>1</v>
      </c>
      <c r="D906">
        <v>0</v>
      </c>
    </row>
    <row r="907" spans="1:4" x14ac:dyDescent="0.3">
      <c r="A907">
        <v>1</v>
      </c>
      <c r="B907">
        <v>1</v>
      </c>
      <c r="C907">
        <v>1</v>
      </c>
      <c r="D907">
        <v>0</v>
      </c>
    </row>
    <row r="908" spans="1:4" x14ac:dyDescent="0.3">
      <c r="A908">
        <v>1</v>
      </c>
      <c r="B908">
        <v>1</v>
      </c>
      <c r="C908">
        <v>1</v>
      </c>
      <c r="D908">
        <v>0</v>
      </c>
    </row>
    <row r="909" spans="1:4" x14ac:dyDescent="0.3">
      <c r="A909">
        <v>1</v>
      </c>
      <c r="B909">
        <v>1</v>
      </c>
      <c r="C909">
        <v>1</v>
      </c>
      <c r="D909">
        <v>0</v>
      </c>
    </row>
    <row r="910" spans="1:4" x14ac:dyDescent="0.3">
      <c r="A910">
        <v>1</v>
      </c>
      <c r="B910">
        <v>1</v>
      </c>
      <c r="C910">
        <v>1</v>
      </c>
      <c r="D910">
        <v>0</v>
      </c>
    </row>
    <row r="911" spans="1:4" x14ac:dyDescent="0.3">
      <c r="A911">
        <v>1</v>
      </c>
      <c r="B911">
        <v>1</v>
      </c>
      <c r="C911">
        <v>1</v>
      </c>
      <c r="D911">
        <v>0</v>
      </c>
    </row>
    <row r="912" spans="1:4" x14ac:dyDescent="0.3">
      <c r="A912">
        <v>1</v>
      </c>
      <c r="B912">
        <v>1</v>
      </c>
      <c r="C912">
        <v>1</v>
      </c>
      <c r="D912">
        <v>0</v>
      </c>
    </row>
    <row r="913" spans="1:4" x14ac:dyDescent="0.3">
      <c r="A913">
        <v>1</v>
      </c>
      <c r="B913">
        <v>1</v>
      </c>
      <c r="C913">
        <v>1</v>
      </c>
      <c r="D913">
        <v>0</v>
      </c>
    </row>
    <row r="914" spans="1:4" x14ac:dyDescent="0.3">
      <c r="A914">
        <v>1</v>
      </c>
      <c r="B914">
        <v>1</v>
      </c>
      <c r="C914">
        <v>1</v>
      </c>
      <c r="D914">
        <v>0</v>
      </c>
    </row>
    <row r="915" spans="1:4" x14ac:dyDescent="0.3">
      <c r="A915">
        <v>1</v>
      </c>
      <c r="B915">
        <v>1</v>
      </c>
      <c r="C915">
        <v>1</v>
      </c>
      <c r="D915">
        <v>0</v>
      </c>
    </row>
    <row r="916" spans="1:4" x14ac:dyDescent="0.3">
      <c r="A916">
        <v>1</v>
      </c>
      <c r="B916">
        <v>1</v>
      </c>
      <c r="C916">
        <v>1</v>
      </c>
      <c r="D916">
        <v>0</v>
      </c>
    </row>
    <row r="917" spans="1:4" x14ac:dyDescent="0.3">
      <c r="A917">
        <v>1</v>
      </c>
      <c r="B917">
        <v>1</v>
      </c>
      <c r="C917">
        <v>1</v>
      </c>
      <c r="D917">
        <v>0</v>
      </c>
    </row>
    <row r="918" spans="1:4" x14ac:dyDescent="0.3">
      <c r="A918">
        <v>1</v>
      </c>
      <c r="B918">
        <v>1</v>
      </c>
      <c r="C918">
        <v>1</v>
      </c>
      <c r="D918">
        <v>0</v>
      </c>
    </row>
    <row r="919" spans="1:4" x14ac:dyDescent="0.3">
      <c r="A919">
        <v>1</v>
      </c>
      <c r="B919">
        <v>1</v>
      </c>
      <c r="C919">
        <v>1</v>
      </c>
      <c r="D919">
        <v>0</v>
      </c>
    </row>
    <row r="920" spans="1:4" x14ac:dyDescent="0.3">
      <c r="A920">
        <v>1</v>
      </c>
      <c r="B920">
        <v>1</v>
      </c>
      <c r="C920">
        <v>1</v>
      </c>
      <c r="D920">
        <v>0</v>
      </c>
    </row>
    <row r="921" spans="1:4" x14ac:dyDescent="0.3">
      <c r="A921">
        <v>1</v>
      </c>
      <c r="B921">
        <v>1</v>
      </c>
      <c r="C921">
        <v>1</v>
      </c>
      <c r="D921">
        <v>0</v>
      </c>
    </row>
    <row r="922" spans="1:4" x14ac:dyDescent="0.3">
      <c r="A922">
        <v>1</v>
      </c>
      <c r="B922">
        <v>1</v>
      </c>
      <c r="C922">
        <v>1</v>
      </c>
      <c r="D922">
        <v>0</v>
      </c>
    </row>
    <row r="923" spans="1:4" x14ac:dyDescent="0.3">
      <c r="A923">
        <v>1</v>
      </c>
      <c r="B923">
        <v>1</v>
      </c>
      <c r="C923">
        <v>1</v>
      </c>
      <c r="D923">
        <v>0</v>
      </c>
    </row>
    <row r="924" spans="1:4" x14ac:dyDescent="0.3">
      <c r="A924">
        <v>1</v>
      </c>
      <c r="B924">
        <v>1</v>
      </c>
      <c r="C924">
        <v>1</v>
      </c>
      <c r="D924">
        <v>0</v>
      </c>
    </row>
    <row r="925" spans="1:4" x14ac:dyDescent="0.3">
      <c r="A925">
        <v>1</v>
      </c>
      <c r="B925">
        <v>1</v>
      </c>
      <c r="C925">
        <v>1</v>
      </c>
      <c r="D925">
        <v>0</v>
      </c>
    </row>
    <row r="926" spans="1:4" x14ac:dyDescent="0.3">
      <c r="A926">
        <v>1</v>
      </c>
      <c r="B926">
        <v>1</v>
      </c>
      <c r="C926">
        <v>1</v>
      </c>
      <c r="D926">
        <v>0</v>
      </c>
    </row>
    <row r="927" spans="1:4" x14ac:dyDescent="0.3">
      <c r="A927">
        <v>1</v>
      </c>
      <c r="B927">
        <v>1</v>
      </c>
      <c r="C927">
        <v>1</v>
      </c>
      <c r="D927">
        <v>0</v>
      </c>
    </row>
    <row r="928" spans="1:4" x14ac:dyDescent="0.3">
      <c r="A928">
        <v>1</v>
      </c>
      <c r="B928">
        <v>1</v>
      </c>
      <c r="C928">
        <v>1</v>
      </c>
      <c r="D928">
        <v>0</v>
      </c>
    </row>
    <row r="929" spans="1:4" x14ac:dyDescent="0.3">
      <c r="A929">
        <v>1</v>
      </c>
      <c r="B929">
        <v>1</v>
      </c>
      <c r="C929">
        <v>1</v>
      </c>
      <c r="D929">
        <v>0</v>
      </c>
    </row>
    <row r="930" spans="1:4" x14ac:dyDescent="0.3">
      <c r="A930">
        <v>1</v>
      </c>
      <c r="B930">
        <v>1</v>
      </c>
      <c r="C930">
        <v>1</v>
      </c>
      <c r="D930">
        <v>0</v>
      </c>
    </row>
    <row r="931" spans="1:4" x14ac:dyDescent="0.3">
      <c r="A931">
        <v>1</v>
      </c>
      <c r="B931">
        <v>1</v>
      </c>
      <c r="C931">
        <v>1</v>
      </c>
      <c r="D931">
        <v>0</v>
      </c>
    </row>
    <row r="932" spans="1:4" x14ac:dyDescent="0.3">
      <c r="A932">
        <v>1</v>
      </c>
      <c r="B932">
        <v>1</v>
      </c>
      <c r="C932">
        <v>1</v>
      </c>
      <c r="D932">
        <v>0</v>
      </c>
    </row>
    <row r="933" spans="1:4" x14ac:dyDescent="0.3">
      <c r="A933">
        <v>1</v>
      </c>
      <c r="B933">
        <v>1</v>
      </c>
      <c r="C933">
        <v>1</v>
      </c>
      <c r="D933">
        <v>0</v>
      </c>
    </row>
    <row r="934" spans="1:4" x14ac:dyDescent="0.3">
      <c r="A934">
        <v>1</v>
      </c>
      <c r="B934">
        <v>1</v>
      </c>
      <c r="C934">
        <v>1</v>
      </c>
      <c r="D934">
        <v>0</v>
      </c>
    </row>
    <row r="935" spans="1:4" x14ac:dyDescent="0.3">
      <c r="A935">
        <v>1</v>
      </c>
      <c r="B935">
        <v>1</v>
      </c>
      <c r="C935">
        <v>1</v>
      </c>
      <c r="D935">
        <v>0</v>
      </c>
    </row>
    <row r="936" spans="1:4" x14ac:dyDescent="0.3">
      <c r="A936">
        <v>1</v>
      </c>
      <c r="B936">
        <v>1</v>
      </c>
      <c r="C936">
        <v>1</v>
      </c>
      <c r="D936">
        <v>0</v>
      </c>
    </row>
    <row r="937" spans="1:4" x14ac:dyDescent="0.3">
      <c r="A937">
        <v>1</v>
      </c>
      <c r="B937">
        <v>1</v>
      </c>
      <c r="C937">
        <v>1</v>
      </c>
      <c r="D937">
        <v>0</v>
      </c>
    </row>
    <row r="938" spans="1:4" x14ac:dyDescent="0.3">
      <c r="A938">
        <v>1</v>
      </c>
      <c r="B938">
        <v>1</v>
      </c>
      <c r="C938">
        <v>1</v>
      </c>
      <c r="D938">
        <v>0</v>
      </c>
    </row>
    <row r="939" spans="1:4" x14ac:dyDescent="0.3">
      <c r="A939">
        <v>1</v>
      </c>
      <c r="B939">
        <v>1</v>
      </c>
      <c r="C939">
        <v>1</v>
      </c>
      <c r="D939">
        <v>0</v>
      </c>
    </row>
    <row r="940" spans="1:4" x14ac:dyDescent="0.3">
      <c r="A940">
        <v>1</v>
      </c>
      <c r="B940">
        <v>1</v>
      </c>
      <c r="C940">
        <v>1</v>
      </c>
      <c r="D940">
        <v>0</v>
      </c>
    </row>
    <row r="941" spans="1:4" x14ac:dyDescent="0.3">
      <c r="A941">
        <v>1</v>
      </c>
      <c r="B941">
        <v>1</v>
      </c>
      <c r="C941">
        <v>1</v>
      </c>
      <c r="D941">
        <v>0</v>
      </c>
    </row>
    <row r="942" spans="1:4" x14ac:dyDescent="0.3">
      <c r="A942">
        <v>1</v>
      </c>
      <c r="B942">
        <v>1</v>
      </c>
      <c r="C942">
        <v>1</v>
      </c>
      <c r="D942">
        <v>0</v>
      </c>
    </row>
    <row r="943" spans="1:4" x14ac:dyDescent="0.3">
      <c r="A943">
        <v>1</v>
      </c>
      <c r="B943">
        <v>1</v>
      </c>
      <c r="C943">
        <v>1</v>
      </c>
      <c r="D943">
        <v>0</v>
      </c>
    </row>
    <row r="944" spans="1:4" x14ac:dyDescent="0.3">
      <c r="A944">
        <v>1</v>
      </c>
      <c r="B944">
        <v>1</v>
      </c>
      <c r="C944">
        <v>1</v>
      </c>
      <c r="D944">
        <v>0</v>
      </c>
    </row>
    <row r="945" spans="1:4" x14ac:dyDescent="0.3">
      <c r="A945">
        <v>1</v>
      </c>
      <c r="B945">
        <v>1</v>
      </c>
      <c r="C945">
        <v>1</v>
      </c>
      <c r="D945">
        <v>0</v>
      </c>
    </row>
    <row r="946" spans="1:4" x14ac:dyDescent="0.3">
      <c r="A946">
        <v>1</v>
      </c>
      <c r="B946">
        <v>1</v>
      </c>
      <c r="C946">
        <v>1</v>
      </c>
      <c r="D946">
        <v>0</v>
      </c>
    </row>
    <row r="947" spans="1:4" x14ac:dyDescent="0.3">
      <c r="A947">
        <v>1</v>
      </c>
      <c r="B947">
        <v>1</v>
      </c>
      <c r="C947">
        <v>1</v>
      </c>
      <c r="D947">
        <v>0</v>
      </c>
    </row>
    <row r="948" spans="1:4" x14ac:dyDescent="0.3">
      <c r="A948">
        <v>1</v>
      </c>
      <c r="B948">
        <v>1</v>
      </c>
      <c r="C948">
        <v>1</v>
      </c>
      <c r="D948">
        <v>0</v>
      </c>
    </row>
    <row r="949" spans="1:4" x14ac:dyDescent="0.3">
      <c r="A949">
        <v>1</v>
      </c>
      <c r="B949">
        <v>1</v>
      </c>
      <c r="C949">
        <v>1</v>
      </c>
      <c r="D949">
        <v>0</v>
      </c>
    </row>
    <row r="950" spans="1:4" x14ac:dyDescent="0.3">
      <c r="A950">
        <v>1</v>
      </c>
      <c r="B950">
        <v>1</v>
      </c>
      <c r="C950">
        <v>1</v>
      </c>
      <c r="D950">
        <v>0</v>
      </c>
    </row>
    <row r="951" spans="1:4" x14ac:dyDescent="0.3">
      <c r="A951">
        <v>1</v>
      </c>
      <c r="B951">
        <v>1</v>
      </c>
      <c r="C951">
        <v>1</v>
      </c>
      <c r="D951">
        <v>0</v>
      </c>
    </row>
    <row r="952" spans="1:4" x14ac:dyDescent="0.3">
      <c r="A952">
        <v>1</v>
      </c>
      <c r="B952">
        <v>1</v>
      </c>
      <c r="C952">
        <v>1</v>
      </c>
      <c r="D952">
        <v>0</v>
      </c>
    </row>
    <row r="953" spans="1:4" x14ac:dyDescent="0.3">
      <c r="A953">
        <v>1</v>
      </c>
      <c r="B953">
        <v>1</v>
      </c>
      <c r="C953">
        <v>1</v>
      </c>
      <c r="D953">
        <v>0</v>
      </c>
    </row>
    <row r="954" spans="1:4" x14ac:dyDescent="0.3">
      <c r="A954">
        <v>1</v>
      </c>
      <c r="B954">
        <v>1</v>
      </c>
      <c r="C954">
        <v>1</v>
      </c>
      <c r="D954">
        <v>0</v>
      </c>
    </row>
    <row r="955" spans="1:4" x14ac:dyDescent="0.3">
      <c r="A955">
        <v>1</v>
      </c>
      <c r="B955">
        <v>1</v>
      </c>
      <c r="C955">
        <v>1</v>
      </c>
      <c r="D955">
        <v>0</v>
      </c>
    </row>
    <row r="956" spans="1:4" x14ac:dyDescent="0.3">
      <c r="A956">
        <v>1</v>
      </c>
      <c r="B956">
        <v>1</v>
      </c>
      <c r="C956">
        <v>1</v>
      </c>
      <c r="D956">
        <v>0</v>
      </c>
    </row>
    <row r="957" spans="1:4" x14ac:dyDescent="0.3">
      <c r="A957">
        <v>1</v>
      </c>
      <c r="B957">
        <v>1</v>
      </c>
      <c r="C957">
        <v>1</v>
      </c>
      <c r="D957">
        <v>0</v>
      </c>
    </row>
    <row r="958" spans="1:4" x14ac:dyDescent="0.3">
      <c r="A958">
        <v>1</v>
      </c>
      <c r="B958">
        <v>1</v>
      </c>
      <c r="C958">
        <v>1</v>
      </c>
      <c r="D958">
        <v>0</v>
      </c>
    </row>
    <row r="959" spans="1:4" x14ac:dyDescent="0.3">
      <c r="A959">
        <v>1</v>
      </c>
      <c r="B959">
        <v>1</v>
      </c>
      <c r="C959">
        <v>1</v>
      </c>
      <c r="D959">
        <v>0</v>
      </c>
    </row>
    <row r="960" spans="1:4" x14ac:dyDescent="0.3">
      <c r="A960">
        <v>1</v>
      </c>
      <c r="B960">
        <v>1</v>
      </c>
      <c r="C960">
        <v>1</v>
      </c>
      <c r="D960">
        <v>0</v>
      </c>
    </row>
    <row r="961" spans="1:4" x14ac:dyDescent="0.3">
      <c r="A961">
        <v>1</v>
      </c>
      <c r="B961">
        <v>1</v>
      </c>
      <c r="C961">
        <v>1</v>
      </c>
      <c r="D961">
        <v>0</v>
      </c>
    </row>
    <row r="962" spans="1:4" x14ac:dyDescent="0.3">
      <c r="A962">
        <v>1</v>
      </c>
      <c r="B962">
        <v>1</v>
      </c>
      <c r="C962">
        <v>1</v>
      </c>
      <c r="D962">
        <v>0</v>
      </c>
    </row>
    <row r="963" spans="1:4" x14ac:dyDescent="0.3">
      <c r="A963">
        <v>1</v>
      </c>
      <c r="B963">
        <v>1</v>
      </c>
      <c r="C963">
        <v>1</v>
      </c>
      <c r="D963">
        <v>0</v>
      </c>
    </row>
    <row r="964" spans="1:4" x14ac:dyDescent="0.3">
      <c r="A964">
        <v>1</v>
      </c>
      <c r="B964">
        <v>1</v>
      </c>
      <c r="C964">
        <v>1</v>
      </c>
      <c r="D964">
        <v>0</v>
      </c>
    </row>
    <row r="965" spans="1:4" x14ac:dyDescent="0.3">
      <c r="A965">
        <v>1</v>
      </c>
      <c r="B965">
        <v>1</v>
      </c>
      <c r="C965">
        <v>1</v>
      </c>
      <c r="D965">
        <v>0</v>
      </c>
    </row>
    <row r="966" spans="1:4" x14ac:dyDescent="0.3">
      <c r="A966">
        <v>1</v>
      </c>
      <c r="B966">
        <v>1</v>
      </c>
      <c r="C966">
        <v>1</v>
      </c>
      <c r="D966">
        <v>0</v>
      </c>
    </row>
    <row r="967" spans="1:4" x14ac:dyDescent="0.3">
      <c r="A967">
        <v>1</v>
      </c>
      <c r="B967">
        <v>1</v>
      </c>
      <c r="C967">
        <v>1</v>
      </c>
      <c r="D967">
        <v>0</v>
      </c>
    </row>
    <row r="968" spans="1:4" x14ac:dyDescent="0.3">
      <c r="A968">
        <v>1</v>
      </c>
      <c r="B968">
        <v>1</v>
      </c>
      <c r="C968">
        <v>1</v>
      </c>
      <c r="D968">
        <v>0</v>
      </c>
    </row>
    <row r="969" spans="1:4" x14ac:dyDescent="0.3">
      <c r="A969">
        <v>1</v>
      </c>
      <c r="B969">
        <v>1</v>
      </c>
      <c r="C969">
        <v>1</v>
      </c>
      <c r="D969">
        <v>0</v>
      </c>
    </row>
    <row r="970" spans="1:4" x14ac:dyDescent="0.3">
      <c r="A970">
        <v>1</v>
      </c>
      <c r="B970">
        <v>1</v>
      </c>
      <c r="C970">
        <v>1</v>
      </c>
      <c r="D970">
        <v>0</v>
      </c>
    </row>
    <row r="971" spans="1:4" x14ac:dyDescent="0.3">
      <c r="A971">
        <v>1</v>
      </c>
      <c r="B971">
        <v>1</v>
      </c>
      <c r="C971">
        <v>1</v>
      </c>
      <c r="D971">
        <v>0</v>
      </c>
    </row>
    <row r="972" spans="1:4" x14ac:dyDescent="0.3">
      <c r="A972">
        <v>1</v>
      </c>
      <c r="B972">
        <v>1</v>
      </c>
      <c r="C972">
        <v>1</v>
      </c>
      <c r="D972">
        <v>0</v>
      </c>
    </row>
    <row r="973" spans="1:4" x14ac:dyDescent="0.3">
      <c r="A973">
        <v>1</v>
      </c>
      <c r="B973">
        <v>1</v>
      </c>
      <c r="C973">
        <v>1</v>
      </c>
      <c r="D973">
        <v>0</v>
      </c>
    </row>
    <row r="974" spans="1:4" x14ac:dyDescent="0.3">
      <c r="A974">
        <v>1</v>
      </c>
      <c r="B974">
        <v>1</v>
      </c>
      <c r="C974">
        <v>1</v>
      </c>
      <c r="D974">
        <v>0</v>
      </c>
    </row>
    <row r="975" spans="1:4" x14ac:dyDescent="0.3">
      <c r="A975">
        <v>1</v>
      </c>
      <c r="B975">
        <v>1</v>
      </c>
      <c r="C975">
        <v>1</v>
      </c>
      <c r="D975">
        <v>0</v>
      </c>
    </row>
    <row r="976" spans="1:4" x14ac:dyDescent="0.3">
      <c r="A976">
        <v>1</v>
      </c>
      <c r="B976">
        <v>1</v>
      </c>
      <c r="C976">
        <v>1</v>
      </c>
      <c r="D976">
        <v>0</v>
      </c>
    </row>
    <row r="977" spans="1:4" x14ac:dyDescent="0.3">
      <c r="A977">
        <v>1</v>
      </c>
      <c r="B977">
        <v>1</v>
      </c>
      <c r="C977">
        <v>1</v>
      </c>
      <c r="D977">
        <v>0</v>
      </c>
    </row>
    <row r="978" spans="1:4" x14ac:dyDescent="0.3">
      <c r="A978">
        <v>1</v>
      </c>
      <c r="B978">
        <v>1</v>
      </c>
      <c r="C978">
        <v>1</v>
      </c>
      <c r="D978">
        <v>0</v>
      </c>
    </row>
    <row r="979" spans="1:4" x14ac:dyDescent="0.3">
      <c r="A979">
        <v>1</v>
      </c>
      <c r="B979">
        <v>1</v>
      </c>
      <c r="C979">
        <v>1</v>
      </c>
      <c r="D979">
        <v>0</v>
      </c>
    </row>
    <row r="980" spans="1:4" x14ac:dyDescent="0.3">
      <c r="A980">
        <v>1</v>
      </c>
      <c r="B980">
        <v>1</v>
      </c>
      <c r="C980">
        <v>1</v>
      </c>
      <c r="D980">
        <v>0</v>
      </c>
    </row>
    <row r="981" spans="1:4" x14ac:dyDescent="0.3">
      <c r="A981">
        <v>1</v>
      </c>
      <c r="B981">
        <v>1</v>
      </c>
      <c r="C981">
        <v>1</v>
      </c>
      <c r="D981">
        <v>0</v>
      </c>
    </row>
    <row r="982" spans="1:4" x14ac:dyDescent="0.3">
      <c r="A982">
        <v>1</v>
      </c>
      <c r="B982">
        <v>1</v>
      </c>
      <c r="C982">
        <v>1</v>
      </c>
      <c r="D982">
        <v>0</v>
      </c>
    </row>
    <row r="983" spans="1:4" x14ac:dyDescent="0.3">
      <c r="A983">
        <v>1</v>
      </c>
      <c r="B983">
        <v>1</v>
      </c>
      <c r="C983">
        <v>1</v>
      </c>
      <c r="D983">
        <v>0</v>
      </c>
    </row>
    <row r="984" spans="1:4" x14ac:dyDescent="0.3">
      <c r="A984">
        <v>1</v>
      </c>
      <c r="B984">
        <v>1</v>
      </c>
      <c r="C984">
        <v>1</v>
      </c>
      <c r="D984">
        <v>0</v>
      </c>
    </row>
    <row r="985" spans="1:4" x14ac:dyDescent="0.3">
      <c r="A985">
        <v>1</v>
      </c>
      <c r="B985">
        <v>1</v>
      </c>
      <c r="C985">
        <v>1</v>
      </c>
      <c r="D985">
        <v>0</v>
      </c>
    </row>
    <row r="986" spans="1:4" x14ac:dyDescent="0.3">
      <c r="A986">
        <v>1</v>
      </c>
      <c r="B986">
        <v>1</v>
      </c>
      <c r="C986">
        <v>1</v>
      </c>
      <c r="D986">
        <v>0</v>
      </c>
    </row>
    <row r="987" spans="1:4" x14ac:dyDescent="0.3">
      <c r="A987">
        <v>1</v>
      </c>
      <c r="B987">
        <v>1</v>
      </c>
      <c r="C987">
        <v>1</v>
      </c>
      <c r="D987">
        <v>0</v>
      </c>
    </row>
    <row r="988" spans="1:4" x14ac:dyDescent="0.3">
      <c r="A988">
        <v>1</v>
      </c>
      <c r="B988">
        <v>1</v>
      </c>
      <c r="C988">
        <v>1</v>
      </c>
      <c r="D988">
        <v>0</v>
      </c>
    </row>
    <row r="989" spans="1:4" x14ac:dyDescent="0.3">
      <c r="A989">
        <v>1</v>
      </c>
      <c r="B989">
        <v>1</v>
      </c>
      <c r="C989">
        <v>1</v>
      </c>
      <c r="D989">
        <v>0</v>
      </c>
    </row>
    <row r="990" spans="1:4" x14ac:dyDescent="0.3">
      <c r="A990">
        <v>1</v>
      </c>
      <c r="B990">
        <v>1</v>
      </c>
      <c r="C990">
        <v>1</v>
      </c>
      <c r="D990">
        <v>0</v>
      </c>
    </row>
    <row r="991" spans="1:4" x14ac:dyDescent="0.3">
      <c r="A991">
        <v>1</v>
      </c>
      <c r="B991">
        <v>1</v>
      </c>
      <c r="C991">
        <v>1</v>
      </c>
      <c r="D991">
        <v>0</v>
      </c>
    </row>
    <row r="992" spans="1:4" x14ac:dyDescent="0.3">
      <c r="A992">
        <v>1</v>
      </c>
      <c r="B992">
        <v>1</v>
      </c>
      <c r="C992">
        <v>1</v>
      </c>
      <c r="D992">
        <v>0</v>
      </c>
    </row>
    <row r="993" spans="1:4" x14ac:dyDescent="0.3">
      <c r="A993">
        <v>1</v>
      </c>
      <c r="B993">
        <v>1</v>
      </c>
      <c r="C993">
        <v>1</v>
      </c>
      <c r="D993">
        <v>0</v>
      </c>
    </row>
    <row r="994" spans="1:4" x14ac:dyDescent="0.3">
      <c r="A994">
        <v>1</v>
      </c>
      <c r="B994">
        <v>1</v>
      </c>
      <c r="C994">
        <v>1</v>
      </c>
      <c r="D994">
        <v>0</v>
      </c>
    </row>
    <row r="995" spans="1:4" x14ac:dyDescent="0.3">
      <c r="A995">
        <v>1</v>
      </c>
      <c r="B995">
        <v>1</v>
      </c>
      <c r="C995">
        <v>1</v>
      </c>
      <c r="D995">
        <v>0</v>
      </c>
    </row>
    <row r="996" spans="1:4" x14ac:dyDescent="0.3">
      <c r="A996">
        <v>1</v>
      </c>
      <c r="B996">
        <v>1</v>
      </c>
      <c r="C996">
        <v>1</v>
      </c>
      <c r="D996">
        <v>0</v>
      </c>
    </row>
    <row r="997" spans="1:4" x14ac:dyDescent="0.3">
      <c r="A997">
        <v>1</v>
      </c>
      <c r="B997">
        <v>1</v>
      </c>
      <c r="C997">
        <v>1</v>
      </c>
      <c r="D997">
        <v>0</v>
      </c>
    </row>
    <row r="998" spans="1:4" x14ac:dyDescent="0.3">
      <c r="A998">
        <v>1</v>
      </c>
      <c r="B998">
        <v>1</v>
      </c>
      <c r="C998">
        <v>1</v>
      </c>
      <c r="D998">
        <v>0</v>
      </c>
    </row>
    <row r="999" spans="1:4" x14ac:dyDescent="0.3">
      <c r="A999">
        <v>1</v>
      </c>
      <c r="B999">
        <v>1</v>
      </c>
      <c r="C999">
        <v>1</v>
      </c>
      <c r="D999">
        <v>0</v>
      </c>
    </row>
    <row r="1000" spans="1:4" x14ac:dyDescent="0.3">
      <c r="A1000">
        <v>1</v>
      </c>
      <c r="B1000">
        <v>1</v>
      </c>
      <c r="C1000">
        <v>1</v>
      </c>
      <c r="D1000">
        <v>0</v>
      </c>
    </row>
    <row r="1001" spans="1:4" x14ac:dyDescent="0.3">
      <c r="A1001">
        <v>1</v>
      </c>
      <c r="B1001">
        <v>1</v>
      </c>
      <c r="C1001">
        <v>1</v>
      </c>
      <c r="D1001">
        <v>0</v>
      </c>
    </row>
    <row r="1002" spans="1:4" x14ac:dyDescent="0.3">
      <c r="A1002">
        <v>1</v>
      </c>
      <c r="B1002">
        <v>1</v>
      </c>
      <c r="C1002">
        <v>1</v>
      </c>
      <c r="D1002">
        <v>0</v>
      </c>
    </row>
    <row r="1003" spans="1:4" x14ac:dyDescent="0.3">
      <c r="A1003">
        <v>1</v>
      </c>
      <c r="B1003">
        <v>1</v>
      </c>
      <c r="C1003">
        <v>1</v>
      </c>
      <c r="D1003">
        <v>0</v>
      </c>
    </row>
    <row r="1004" spans="1:4" x14ac:dyDescent="0.3">
      <c r="A1004">
        <v>1</v>
      </c>
      <c r="B1004">
        <v>1</v>
      </c>
      <c r="C1004">
        <v>1</v>
      </c>
      <c r="D1004">
        <v>0</v>
      </c>
    </row>
    <row r="1005" spans="1:4" x14ac:dyDescent="0.3">
      <c r="A1005">
        <v>1</v>
      </c>
      <c r="B1005">
        <v>1</v>
      </c>
      <c r="C1005">
        <v>1</v>
      </c>
      <c r="D1005">
        <v>0</v>
      </c>
    </row>
    <row r="1006" spans="1:4" x14ac:dyDescent="0.3">
      <c r="A1006">
        <v>1</v>
      </c>
      <c r="B1006">
        <v>1</v>
      </c>
      <c r="C1006">
        <v>1</v>
      </c>
      <c r="D1006">
        <v>0</v>
      </c>
    </row>
    <row r="1007" spans="1:4" x14ac:dyDescent="0.3">
      <c r="A1007">
        <v>1</v>
      </c>
      <c r="B1007">
        <v>1</v>
      </c>
      <c r="C1007">
        <v>1</v>
      </c>
      <c r="D1007">
        <v>0</v>
      </c>
    </row>
    <row r="1008" spans="1:4" x14ac:dyDescent="0.3">
      <c r="A1008">
        <v>1</v>
      </c>
      <c r="B1008">
        <v>1</v>
      </c>
      <c r="C1008">
        <v>1</v>
      </c>
      <c r="D1008">
        <v>0</v>
      </c>
    </row>
    <row r="1009" spans="1:4" x14ac:dyDescent="0.3">
      <c r="A1009">
        <v>1</v>
      </c>
      <c r="B1009">
        <v>1</v>
      </c>
      <c r="C1009">
        <v>1</v>
      </c>
      <c r="D1009">
        <v>0</v>
      </c>
    </row>
    <row r="1010" spans="1:4" x14ac:dyDescent="0.3">
      <c r="A1010">
        <v>1</v>
      </c>
      <c r="B1010">
        <v>1</v>
      </c>
      <c r="C1010">
        <v>1</v>
      </c>
      <c r="D1010">
        <v>0</v>
      </c>
    </row>
    <row r="1011" spans="1:4" x14ac:dyDescent="0.3">
      <c r="A1011">
        <v>1</v>
      </c>
      <c r="B1011">
        <v>1</v>
      </c>
      <c r="C1011">
        <v>1</v>
      </c>
      <c r="D1011">
        <v>0</v>
      </c>
    </row>
    <row r="1012" spans="1:4" x14ac:dyDescent="0.3">
      <c r="A1012">
        <v>1</v>
      </c>
      <c r="B1012">
        <v>1</v>
      </c>
      <c r="C1012">
        <v>1</v>
      </c>
      <c r="D1012">
        <v>0</v>
      </c>
    </row>
    <row r="1013" spans="1:4" x14ac:dyDescent="0.3">
      <c r="A1013">
        <v>1</v>
      </c>
      <c r="B1013">
        <v>1</v>
      </c>
      <c r="C1013">
        <v>1</v>
      </c>
      <c r="D1013">
        <v>0</v>
      </c>
    </row>
    <row r="1014" spans="1:4" x14ac:dyDescent="0.3">
      <c r="A1014">
        <v>1</v>
      </c>
      <c r="B1014">
        <v>1</v>
      </c>
      <c r="C1014">
        <v>1</v>
      </c>
      <c r="D1014">
        <v>0</v>
      </c>
    </row>
    <row r="1015" spans="1:4" x14ac:dyDescent="0.3">
      <c r="A1015">
        <v>1</v>
      </c>
      <c r="B1015">
        <v>1</v>
      </c>
      <c r="C1015">
        <v>1</v>
      </c>
      <c r="D1015">
        <v>0</v>
      </c>
    </row>
    <row r="1016" spans="1:4" x14ac:dyDescent="0.3">
      <c r="A1016">
        <v>1</v>
      </c>
      <c r="B1016">
        <v>1</v>
      </c>
      <c r="C1016">
        <v>1</v>
      </c>
      <c r="D1016">
        <v>0</v>
      </c>
    </row>
    <row r="1017" spans="1:4" x14ac:dyDescent="0.3">
      <c r="A1017">
        <v>1</v>
      </c>
      <c r="B1017">
        <v>1</v>
      </c>
      <c r="C1017">
        <v>1</v>
      </c>
      <c r="D1017">
        <v>0</v>
      </c>
    </row>
    <row r="1018" spans="1:4" x14ac:dyDescent="0.3">
      <c r="A1018">
        <v>1</v>
      </c>
      <c r="B1018">
        <v>1</v>
      </c>
      <c r="C1018">
        <v>1</v>
      </c>
      <c r="D1018">
        <v>0</v>
      </c>
    </row>
    <row r="1019" spans="1:4" x14ac:dyDescent="0.3">
      <c r="A1019">
        <v>1</v>
      </c>
      <c r="B1019">
        <v>1</v>
      </c>
      <c r="C1019">
        <v>1</v>
      </c>
      <c r="D1019">
        <v>0</v>
      </c>
    </row>
    <row r="1020" spans="1:4" x14ac:dyDescent="0.3">
      <c r="A1020">
        <v>1</v>
      </c>
      <c r="B1020">
        <v>1</v>
      </c>
      <c r="C1020">
        <v>1</v>
      </c>
      <c r="D1020">
        <v>0</v>
      </c>
    </row>
    <row r="1021" spans="1:4" x14ac:dyDescent="0.3">
      <c r="A1021">
        <v>1</v>
      </c>
      <c r="B1021">
        <v>1</v>
      </c>
      <c r="C1021">
        <v>1</v>
      </c>
      <c r="D1021">
        <v>0</v>
      </c>
    </row>
    <row r="1022" spans="1:4" x14ac:dyDescent="0.3">
      <c r="A1022">
        <v>1</v>
      </c>
      <c r="B1022">
        <v>1</v>
      </c>
      <c r="C1022">
        <v>1</v>
      </c>
      <c r="D1022">
        <v>0</v>
      </c>
    </row>
    <row r="1023" spans="1:4" x14ac:dyDescent="0.3">
      <c r="A1023">
        <v>1</v>
      </c>
      <c r="B1023">
        <v>1</v>
      </c>
      <c r="C1023">
        <v>1</v>
      </c>
      <c r="D1023">
        <v>0</v>
      </c>
    </row>
    <row r="1024" spans="1:4" x14ac:dyDescent="0.3">
      <c r="A1024">
        <v>1</v>
      </c>
      <c r="B1024">
        <v>1</v>
      </c>
      <c r="C1024">
        <v>1</v>
      </c>
      <c r="D1024">
        <v>0</v>
      </c>
    </row>
    <row r="1025" spans="1:4" x14ac:dyDescent="0.3">
      <c r="A1025">
        <v>1</v>
      </c>
      <c r="B1025">
        <v>1</v>
      </c>
      <c r="C1025">
        <v>1</v>
      </c>
      <c r="D1025">
        <v>0</v>
      </c>
    </row>
    <row r="1026" spans="1:4" x14ac:dyDescent="0.3">
      <c r="A1026">
        <v>1</v>
      </c>
      <c r="B1026">
        <v>1</v>
      </c>
      <c r="C1026">
        <v>1</v>
      </c>
      <c r="D1026">
        <v>0</v>
      </c>
    </row>
    <row r="1027" spans="1:4" x14ac:dyDescent="0.3">
      <c r="A1027">
        <v>1</v>
      </c>
      <c r="B1027">
        <v>1</v>
      </c>
      <c r="C1027">
        <v>1</v>
      </c>
      <c r="D1027">
        <v>0</v>
      </c>
    </row>
    <row r="1028" spans="1:4" x14ac:dyDescent="0.3">
      <c r="A1028">
        <v>1</v>
      </c>
      <c r="B1028">
        <v>1</v>
      </c>
      <c r="C1028">
        <v>1</v>
      </c>
      <c r="D1028">
        <v>0</v>
      </c>
    </row>
    <row r="1029" spans="1:4" x14ac:dyDescent="0.3">
      <c r="A1029">
        <v>1</v>
      </c>
      <c r="B1029">
        <v>1</v>
      </c>
      <c r="C1029">
        <v>1</v>
      </c>
      <c r="D1029">
        <v>0</v>
      </c>
    </row>
    <row r="1030" spans="1:4" x14ac:dyDescent="0.3">
      <c r="A1030">
        <v>1</v>
      </c>
      <c r="B1030">
        <v>1</v>
      </c>
      <c r="C1030">
        <v>1</v>
      </c>
      <c r="D1030">
        <v>0</v>
      </c>
    </row>
    <row r="1031" spans="1:4" x14ac:dyDescent="0.3">
      <c r="A1031">
        <v>1</v>
      </c>
      <c r="B1031">
        <v>1</v>
      </c>
      <c r="C1031">
        <v>1</v>
      </c>
      <c r="D1031">
        <v>0</v>
      </c>
    </row>
    <row r="1032" spans="1:4" x14ac:dyDescent="0.3">
      <c r="A1032">
        <v>1</v>
      </c>
      <c r="B1032">
        <v>1</v>
      </c>
      <c r="C1032">
        <v>1</v>
      </c>
      <c r="D1032">
        <v>0</v>
      </c>
    </row>
    <row r="1033" spans="1:4" x14ac:dyDescent="0.3">
      <c r="A1033">
        <v>1</v>
      </c>
      <c r="B1033">
        <v>1</v>
      </c>
      <c r="C1033">
        <v>1</v>
      </c>
      <c r="D1033">
        <v>0</v>
      </c>
    </row>
    <row r="1034" spans="1:4" x14ac:dyDescent="0.3">
      <c r="A1034">
        <v>1</v>
      </c>
      <c r="B1034">
        <v>1</v>
      </c>
      <c r="C1034">
        <v>1</v>
      </c>
      <c r="D1034">
        <v>0</v>
      </c>
    </row>
    <row r="1035" spans="1:4" x14ac:dyDescent="0.3">
      <c r="A1035">
        <v>1</v>
      </c>
      <c r="B1035">
        <v>1</v>
      </c>
      <c r="C1035">
        <v>1</v>
      </c>
      <c r="D1035">
        <v>0</v>
      </c>
    </row>
    <row r="1036" spans="1:4" x14ac:dyDescent="0.3">
      <c r="A1036">
        <v>1</v>
      </c>
      <c r="B1036">
        <v>1</v>
      </c>
      <c r="C1036">
        <v>1</v>
      </c>
      <c r="D1036">
        <v>0</v>
      </c>
    </row>
    <row r="1037" spans="1:4" x14ac:dyDescent="0.3">
      <c r="A1037">
        <v>1</v>
      </c>
      <c r="B1037">
        <v>1</v>
      </c>
      <c r="C1037">
        <v>1</v>
      </c>
      <c r="D1037">
        <v>0</v>
      </c>
    </row>
    <row r="1038" spans="1:4" x14ac:dyDescent="0.3">
      <c r="A1038">
        <v>1</v>
      </c>
      <c r="B1038">
        <v>1</v>
      </c>
      <c r="C1038">
        <v>1</v>
      </c>
      <c r="D1038">
        <v>0</v>
      </c>
    </row>
    <row r="1039" spans="1:4" x14ac:dyDescent="0.3">
      <c r="A1039">
        <v>1</v>
      </c>
      <c r="B1039">
        <v>1</v>
      </c>
      <c r="C1039">
        <v>1</v>
      </c>
      <c r="D1039">
        <v>0</v>
      </c>
    </row>
    <row r="1040" spans="1:4" x14ac:dyDescent="0.3">
      <c r="A1040">
        <v>1</v>
      </c>
      <c r="B1040">
        <v>1</v>
      </c>
      <c r="C1040">
        <v>1</v>
      </c>
      <c r="D1040">
        <v>0</v>
      </c>
    </row>
    <row r="1041" spans="1:4" x14ac:dyDescent="0.3">
      <c r="A1041">
        <v>1</v>
      </c>
      <c r="B1041">
        <v>1</v>
      </c>
      <c r="C1041">
        <v>1</v>
      </c>
      <c r="D1041">
        <v>0</v>
      </c>
    </row>
    <row r="1042" spans="1:4" x14ac:dyDescent="0.3">
      <c r="A1042">
        <v>1</v>
      </c>
      <c r="B1042">
        <v>1</v>
      </c>
      <c r="C1042">
        <v>1</v>
      </c>
      <c r="D1042">
        <v>0</v>
      </c>
    </row>
    <row r="1043" spans="1:4" x14ac:dyDescent="0.3">
      <c r="A1043">
        <v>1</v>
      </c>
      <c r="B1043">
        <v>1</v>
      </c>
      <c r="C1043">
        <v>1</v>
      </c>
      <c r="D1043">
        <v>0</v>
      </c>
    </row>
    <row r="1044" spans="1:4" x14ac:dyDescent="0.3">
      <c r="A1044">
        <v>1</v>
      </c>
      <c r="B1044">
        <v>1</v>
      </c>
      <c r="C1044">
        <v>1</v>
      </c>
      <c r="D1044">
        <v>0</v>
      </c>
    </row>
    <row r="1045" spans="1:4" x14ac:dyDescent="0.3">
      <c r="A1045">
        <v>1</v>
      </c>
      <c r="B1045">
        <v>1</v>
      </c>
      <c r="C1045">
        <v>1</v>
      </c>
      <c r="D1045">
        <v>0</v>
      </c>
    </row>
    <row r="1046" spans="1:4" x14ac:dyDescent="0.3">
      <c r="A1046">
        <v>1</v>
      </c>
      <c r="B1046">
        <v>1</v>
      </c>
      <c r="C1046">
        <v>1</v>
      </c>
      <c r="D1046">
        <v>0</v>
      </c>
    </row>
    <row r="1047" spans="1:4" x14ac:dyDescent="0.3">
      <c r="A1047">
        <v>1</v>
      </c>
      <c r="B1047">
        <v>1</v>
      </c>
      <c r="C1047">
        <v>1</v>
      </c>
      <c r="D1047">
        <v>0</v>
      </c>
    </row>
    <row r="1048" spans="1:4" x14ac:dyDescent="0.3">
      <c r="A1048">
        <v>1</v>
      </c>
      <c r="B1048">
        <v>1</v>
      </c>
      <c r="C1048">
        <v>1</v>
      </c>
      <c r="D1048">
        <v>0</v>
      </c>
    </row>
    <row r="1049" spans="1:4" x14ac:dyDescent="0.3">
      <c r="A1049">
        <v>1</v>
      </c>
      <c r="B1049">
        <v>1</v>
      </c>
      <c r="C1049">
        <v>1</v>
      </c>
      <c r="D1049">
        <v>0</v>
      </c>
    </row>
    <row r="1050" spans="1:4" x14ac:dyDescent="0.3">
      <c r="A1050">
        <v>1</v>
      </c>
      <c r="B1050">
        <v>1</v>
      </c>
      <c r="C1050">
        <v>1</v>
      </c>
      <c r="D1050">
        <v>0</v>
      </c>
    </row>
    <row r="1051" spans="1:4" x14ac:dyDescent="0.3">
      <c r="A1051">
        <v>1</v>
      </c>
      <c r="B1051">
        <v>1</v>
      </c>
      <c r="C1051">
        <v>1</v>
      </c>
      <c r="D1051">
        <v>0</v>
      </c>
    </row>
    <row r="1052" spans="1:4" x14ac:dyDescent="0.3">
      <c r="A1052">
        <v>1</v>
      </c>
      <c r="B1052">
        <v>1</v>
      </c>
      <c r="C1052">
        <v>1</v>
      </c>
      <c r="D1052">
        <v>0</v>
      </c>
    </row>
    <row r="1053" spans="1:4" x14ac:dyDescent="0.3">
      <c r="A1053">
        <v>1</v>
      </c>
      <c r="B1053">
        <v>1</v>
      </c>
      <c r="C1053">
        <v>1</v>
      </c>
      <c r="D1053">
        <v>0</v>
      </c>
    </row>
    <row r="1054" spans="1:4" x14ac:dyDescent="0.3">
      <c r="A1054">
        <v>1</v>
      </c>
      <c r="B1054">
        <v>1</v>
      </c>
      <c r="C1054">
        <v>1</v>
      </c>
      <c r="D1054">
        <v>0</v>
      </c>
    </row>
    <row r="1055" spans="1:4" x14ac:dyDescent="0.3">
      <c r="A1055">
        <v>1</v>
      </c>
      <c r="B1055">
        <v>1</v>
      </c>
      <c r="C1055">
        <v>1</v>
      </c>
      <c r="D1055">
        <v>0</v>
      </c>
    </row>
    <row r="1056" spans="1:4" x14ac:dyDescent="0.3">
      <c r="A1056">
        <v>1</v>
      </c>
      <c r="B1056">
        <v>1</v>
      </c>
      <c r="C1056">
        <v>1</v>
      </c>
      <c r="D1056">
        <v>0</v>
      </c>
    </row>
    <row r="1057" spans="1:4" x14ac:dyDescent="0.3">
      <c r="A1057">
        <v>1</v>
      </c>
      <c r="B1057">
        <v>1</v>
      </c>
      <c r="C1057">
        <v>1</v>
      </c>
      <c r="D1057">
        <v>0</v>
      </c>
    </row>
    <row r="1058" spans="1:4" x14ac:dyDescent="0.3">
      <c r="A1058">
        <v>1</v>
      </c>
      <c r="B1058">
        <v>1</v>
      </c>
      <c r="C1058">
        <v>1</v>
      </c>
      <c r="D1058">
        <v>0</v>
      </c>
    </row>
    <row r="1059" spans="1:4" x14ac:dyDescent="0.3">
      <c r="A1059">
        <v>1</v>
      </c>
      <c r="B1059">
        <v>1</v>
      </c>
      <c r="C1059">
        <v>1</v>
      </c>
      <c r="D1059">
        <v>0</v>
      </c>
    </row>
    <row r="1060" spans="1:4" x14ac:dyDescent="0.3">
      <c r="A1060">
        <v>1</v>
      </c>
      <c r="B1060">
        <v>1</v>
      </c>
      <c r="C1060">
        <v>1</v>
      </c>
      <c r="D1060">
        <v>0</v>
      </c>
    </row>
    <row r="1061" spans="1:4" x14ac:dyDescent="0.3">
      <c r="A1061">
        <v>1</v>
      </c>
      <c r="B1061">
        <v>1</v>
      </c>
      <c r="C1061">
        <v>1</v>
      </c>
      <c r="D1061">
        <v>0</v>
      </c>
    </row>
    <row r="1062" spans="1:4" x14ac:dyDescent="0.3">
      <c r="A1062">
        <v>1</v>
      </c>
      <c r="B1062">
        <v>1</v>
      </c>
      <c r="C1062">
        <v>1</v>
      </c>
      <c r="D1062">
        <v>0</v>
      </c>
    </row>
    <row r="1063" spans="1:4" x14ac:dyDescent="0.3">
      <c r="A1063">
        <v>1</v>
      </c>
      <c r="B1063">
        <v>1</v>
      </c>
      <c r="C1063">
        <v>1</v>
      </c>
      <c r="D1063">
        <v>0</v>
      </c>
    </row>
    <row r="1064" spans="1:4" x14ac:dyDescent="0.3">
      <c r="A1064">
        <v>1</v>
      </c>
      <c r="B1064">
        <v>1</v>
      </c>
      <c r="C1064">
        <v>1</v>
      </c>
      <c r="D1064">
        <v>0</v>
      </c>
    </row>
    <row r="1065" spans="1:4" x14ac:dyDescent="0.3">
      <c r="A1065">
        <v>1</v>
      </c>
      <c r="B1065">
        <v>1</v>
      </c>
      <c r="C1065">
        <v>1</v>
      </c>
      <c r="D1065">
        <v>0</v>
      </c>
    </row>
    <row r="1066" spans="1:4" x14ac:dyDescent="0.3">
      <c r="A1066">
        <v>1</v>
      </c>
      <c r="B1066">
        <v>1</v>
      </c>
      <c r="C1066">
        <v>1</v>
      </c>
      <c r="D1066">
        <v>0</v>
      </c>
    </row>
    <row r="1067" spans="1:4" x14ac:dyDescent="0.3">
      <c r="A1067">
        <v>1</v>
      </c>
      <c r="B1067">
        <v>1</v>
      </c>
      <c r="C1067">
        <v>1</v>
      </c>
      <c r="D1067">
        <v>0</v>
      </c>
    </row>
    <row r="1068" spans="1:4" x14ac:dyDescent="0.3">
      <c r="A1068">
        <v>1</v>
      </c>
      <c r="B1068">
        <v>1</v>
      </c>
      <c r="C1068">
        <v>1</v>
      </c>
      <c r="D1068">
        <v>0</v>
      </c>
    </row>
    <row r="1069" spans="1:4" x14ac:dyDescent="0.3">
      <c r="A1069">
        <v>1</v>
      </c>
      <c r="B1069">
        <v>1</v>
      </c>
      <c r="C1069">
        <v>1</v>
      </c>
      <c r="D1069">
        <v>0</v>
      </c>
    </row>
    <row r="1070" spans="1:4" x14ac:dyDescent="0.3">
      <c r="A1070">
        <v>1</v>
      </c>
      <c r="B1070">
        <v>1</v>
      </c>
      <c r="C1070">
        <v>1</v>
      </c>
      <c r="D1070">
        <v>0</v>
      </c>
    </row>
    <row r="1071" spans="1:4" x14ac:dyDescent="0.3">
      <c r="A1071">
        <v>1</v>
      </c>
      <c r="B1071">
        <v>1</v>
      </c>
      <c r="C1071">
        <v>1</v>
      </c>
      <c r="D1071">
        <v>0</v>
      </c>
    </row>
    <row r="1072" spans="1:4" x14ac:dyDescent="0.3">
      <c r="A1072">
        <v>1</v>
      </c>
      <c r="B1072">
        <v>1</v>
      </c>
      <c r="C1072">
        <v>1</v>
      </c>
      <c r="D1072">
        <v>0</v>
      </c>
    </row>
    <row r="1073" spans="1:4" x14ac:dyDescent="0.3">
      <c r="A1073">
        <v>1</v>
      </c>
      <c r="B1073">
        <v>1</v>
      </c>
      <c r="C1073">
        <v>1</v>
      </c>
      <c r="D1073">
        <v>0</v>
      </c>
    </row>
    <row r="1074" spans="1:4" x14ac:dyDescent="0.3">
      <c r="A1074">
        <v>1</v>
      </c>
      <c r="B1074">
        <v>1</v>
      </c>
      <c r="C1074">
        <v>1</v>
      </c>
      <c r="D1074">
        <v>0</v>
      </c>
    </row>
    <row r="1075" spans="1:4" x14ac:dyDescent="0.3">
      <c r="A1075">
        <v>1</v>
      </c>
      <c r="B1075">
        <v>1</v>
      </c>
      <c r="C1075">
        <v>1</v>
      </c>
      <c r="D1075">
        <v>0</v>
      </c>
    </row>
    <row r="1076" spans="1:4" x14ac:dyDescent="0.3">
      <c r="A1076">
        <v>1</v>
      </c>
      <c r="B1076">
        <v>1</v>
      </c>
      <c r="C1076">
        <v>1</v>
      </c>
      <c r="D1076">
        <v>0</v>
      </c>
    </row>
    <row r="1077" spans="1:4" x14ac:dyDescent="0.3">
      <c r="A1077">
        <v>1</v>
      </c>
      <c r="B1077">
        <v>1</v>
      </c>
      <c r="C1077">
        <v>1</v>
      </c>
      <c r="D1077">
        <v>0</v>
      </c>
    </row>
    <row r="1078" spans="1:4" x14ac:dyDescent="0.3">
      <c r="A1078">
        <v>1</v>
      </c>
      <c r="B1078">
        <v>1</v>
      </c>
      <c r="C1078">
        <v>1</v>
      </c>
      <c r="D1078">
        <v>0</v>
      </c>
    </row>
    <row r="1079" spans="1:4" x14ac:dyDescent="0.3">
      <c r="A1079">
        <v>1</v>
      </c>
      <c r="B1079">
        <v>1</v>
      </c>
      <c r="C1079">
        <v>1</v>
      </c>
      <c r="D1079">
        <v>0</v>
      </c>
    </row>
    <row r="1080" spans="1:4" x14ac:dyDescent="0.3">
      <c r="A1080">
        <v>1</v>
      </c>
      <c r="B1080">
        <v>1</v>
      </c>
      <c r="C1080">
        <v>1</v>
      </c>
      <c r="D1080">
        <v>0</v>
      </c>
    </row>
    <row r="1081" spans="1:4" x14ac:dyDescent="0.3">
      <c r="A1081">
        <v>1</v>
      </c>
      <c r="B1081">
        <v>1</v>
      </c>
      <c r="C1081">
        <v>1</v>
      </c>
      <c r="D1081">
        <v>0</v>
      </c>
    </row>
    <row r="1082" spans="1:4" x14ac:dyDescent="0.3">
      <c r="A1082">
        <v>1</v>
      </c>
      <c r="B1082">
        <v>1</v>
      </c>
      <c r="C1082">
        <v>1</v>
      </c>
      <c r="D1082">
        <v>0</v>
      </c>
    </row>
    <row r="1083" spans="1:4" x14ac:dyDescent="0.3">
      <c r="A1083">
        <v>1</v>
      </c>
      <c r="B1083">
        <v>1</v>
      </c>
      <c r="C1083">
        <v>1</v>
      </c>
      <c r="D1083">
        <v>0</v>
      </c>
    </row>
    <row r="1084" spans="1:4" x14ac:dyDescent="0.3">
      <c r="A1084">
        <v>1</v>
      </c>
      <c r="B1084">
        <v>1</v>
      </c>
      <c r="C1084">
        <v>1</v>
      </c>
      <c r="D1084">
        <v>0</v>
      </c>
    </row>
    <row r="1085" spans="1:4" x14ac:dyDescent="0.3">
      <c r="A1085">
        <v>1</v>
      </c>
      <c r="B1085">
        <v>1</v>
      </c>
      <c r="C1085">
        <v>1</v>
      </c>
      <c r="D1085">
        <v>0</v>
      </c>
    </row>
    <row r="1086" spans="1:4" x14ac:dyDescent="0.3">
      <c r="A1086">
        <v>1</v>
      </c>
      <c r="B1086">
        <v>1</v>
      </c>
      <c r="C1086">
        <v>1</v>
      </c>
      <c r="D1086">
        <v>0</v>
      </c>
    </row>
    <row r="1087" spans="1:4" x14ac:dyDescent="0.3">
      <c r="A1087">
        <v>1</v>
      </c>
      <c r="B1087">
        <v>1</v>
      </c>
      <c r="C1087">
        <v>1</v>
      </c>
      <c r="D1087">
        <v>0</v>
      </c>
    </row>
    <row r="1088" spans="1:4" x14ac:dyDescent="0.3">
      <c r="A1088">
        <v>1</v>
      </c>
      <c r="B1088">
        <v>1</v>
      </c>
      <c r="C1088">
        <v>1</v>
      </c>
      <c r="D1088">
        <v>0</v>
      </c>
    </row>
    <row r="1089" spans="1:4" x14ac:dyDescent="0.3">
      <c r="A1089">
        <v>1</v>
      </c>
      <c r="B1089">
        <v>1</v>
      </c>
      <c r="C1089">
        <v>1</v>
      </c>
      <c r="D1089">
        <v>0</v>
      </c>
    </row>
    <row r="1090" spans="1:4" x14ac:dyDescent="0.3">
      <c r="A1090">
        <v>1</v>
      </c>
      <c r="B1090">
        <v>1</v>
      </c>
      <c r="C1090">
        <v>1</v>
      </c>
      <c r="D1090">
        <v>0</v>
      </c>
    </row>
    <row r="1091" spans="1:4" x14ac:dyDescent="0.3">
      <c r="A1091">
        <v>1</v>
      </c>
      <c r="B1091">
        <v>1</v>
      </c>
      <c r="C1091">
        <v>1</v>
      </c>
      <c r="D1091">
        <v>0</v>
      </c>
    </row>
    <row r="1092" spans="1:4" x14ac:dyDescent="0.3">
      <c r="A1092">
        <v>1</v>
      </c>
      <c r="B1092">
        <v>1</v>
      </c>
      <c r="C1092">
        <v>1</v>
      </c>
      <c r="D1092">
        <v>0</v>
      </c>
    </row>
    <row r="1093" spans="1:4" x14ac:dyDescent="0.3">
      <c r="A1093">
        <v>1</v>
      </c>
      <c r="B1093">
        <v>1</v>
      </c>
      <c r="C1093">
        <v>1</v>
      </c>
      <c r="D1093">
        <v>0</v>
      </c>
    </row>
    <row r="1094" spans="1:4" x14ac:dyDescent="0.3">
      <c r="A1094">
        <v>1</v>
      </c>
      <c r="B1094">
        <v>1</v>
      </c>
      <c r="C1094">
        <v>1</v>
      </c>
      <c r="D1094">
        <v>0</v>
      </c>
    </row>
    <row r="1095" spans="1:4" x14ac:dyDescent="0.3">
      <c r="A1095">
        <v>1</v>
      </c>
      <c r="B1095">
        <v>1</v>
      </c>
      <c r="C1095">
        <v>1</v>
      </c>
      <c r="D1095">
        <v>0</v>
      </c>
    </row>
    <row r="1096" spans="1:4" x14ac:dyDescent="0.3">
      <c r="A1096">
        <v>1</v>
      </c>
      <c r="B1096">
        <v>1</v>
      </c>
      <c r="C1096">
        <v>1</v>
      </c>
      <c r="D1096">
        <v>0</v>
      </c>
    </row>
    <row r="1097" spans="1:4" x14ac:dyDescent="0.3">
      <c r="A1097">
        <v>1</v>
      </c>
      <c r="B1097">
        <v>1</v>
      </c>
      <c r="C1097">
        <v>1</v>
      </c>
      <c r="D1097">
        <v>0</v>
      </c>
    </row>
    <row r="1098" spans="1:4" x14ac:dyDescent="0.3">
      <c r="A1098">
        <v>1</v>
      </c>
      <c r="B1098">
        <v>1</v>
      </c>
      <c r="C1098">
        <v>1</v>
      </c>
      <c r="D1098">
        <v>0</v>
      </c>
    </row>
    <row r="1099" spans="1:4" x14ac:dyDescent="0.3">
      <c r="A1099">
        <v>1</v>
      </c>
      <c r="B1099">
        <v>1</v>
      </c>
      <c r="C1099">
        <v>1</v>
      </c>
      <c r="D1099">
        <v>0</v>
      </c>
    </row>
    <row r="1100" spans="1:4" x14ac:dyDescent="0.3">
      <c r="A1100">
        <v>1</v>
      </c>
      <c r="B1100">
        <v>1</v>
      </c>
      <c r="C1100">
        <v>1</v>
      </c>
      <c r="D1100">
        <v>0</v>
      </c>
    </row>
    <row r="1101" spans="1:4" x14ac:dyDescent="0.3">
      <c r="A1101">
        <v>1</v>
      </c>
      <c r="B1101">
        <v>1</v>
      </c>
      <c r="C1101">
        <v>1</v>
      </c>
      <c r="D1101">
        <v>0</v>
      </c>
    </row>
    <row r="1102" spans="1:4" x14ac:dyDescent="0.3">
      <c r="A1102">
        <v>1</v>
      </c>
      <c r="B1102">
        <v>1</v>
      </c>
      <c r="C1102">
        <v>1</v>
      </c>
      <c r="D1102">
        <v>0</v>
      </c>
    </row>
    <row r="1103" spans="1:4" x14ac:dyDescent="0.3">
      <c r="A1103">
        <v>1</v>
      </c>
      <c r="B1103">
        <v>1</v>
      </c>
      <c r="C1103">
        <v>1</v>
      </c>
      <c r="D1103">
        <v>0</v>
      </c>
    </row>
    <row r="1104" spans="1:4" x14ac:dyDescent="0.3">
      <c r="A1104">
        <v>1</v>
      </c>
      <c r="B1104">
        <v>1</v>
      </c>
      <c r="C1104">
        <v>1</v>
      </c>
      <c r="D1104">
        <v>0</v>
      </c>
    </row>
    <row r="1105" spans="1:4" x14ac:dyDescent="0.3">
      <c r="A1105">
        <v>1</v>
      </c>
      <c r="B1105">
        <v>1</v>
      </c>
      <c r="C1105">
        <v>1</v>
      </c>
      <c r="D1105">
        <v>0</v>
      </c>
    </row>
    <row r="1106" spans="1:4" x14ac:dyDescent="0.3">
      <c r="A1106">
        <v>1</v>
      </c>
      <c r="B1106">
        <v>1</v>
      </c>
      <c r="C1106">
        <v>1</v>
      </c>
      <c r="D1106">
        <v>0</v>
      </c>
    </row>
    <row r="1107" spans="1:4" x14ac:dyDescent="0.3">
      <c r="A1107">
        <v>1</v>
      </c>
      <c r="B1107">
        <v>1</v>
      </c>
      <c r="C1107">
        <v>1</v>
      </c>
      <c r="D1107">
        <v>0</v>
      </c>
    </row>
    <row r="1108" spans="1:4" x14ac:dyDescent="0.3">
      <c r="A1108">
        <v>1</v>
      </c>
      <c r="B1108">
        <v>1</v>
      </c>
      <c r="C1108">
        <v>1</v>
      </c>
      <c r="D1108">
        <v>0</v>
      </c>
    </row>
    <row r="1109" spans="1:4" x14ac:dyDescent="0.3">
      <c r="A1109">
        <v>1</v>
      </c>
      <c r="B1109">
        <v>1</v>
      </c>
      <c r="C1109">
        <v>1</v>
      </c>
      <c r="D1109">
        <v>0</v>
      </c>
    </row>
    <row r="1110" spans="1:4" x14ac:dyDescent="0.3">
      <c r="A1110">
        <v>1</v>
      </c>
      <c r="B1110">
        <v>1</v>
      </c>
      <c r="C1110">
        <v>1</v>
      </c>
      <c r="D1110">
        <v>0</v>
      </c>
    </row>
    <row r="1111" spans="1:4" x14ac:dyDescent="0.3">
      <c r="A1111">
        <v>1</v>
      </c>
      <c r="B1111">
        <v>1</v>
      </c>
      <c r="C1111">
        <v>1</v>
      </c>
      <c r="D1111">
        <v>0</v>
      </c>
    </row>
    <row r="1112" spans="1:4" x14ac:dyDescent="0.3">
      <c r="A1112">
        <v>1</v>
      </c>
      <c r="B1112">
        <v>1</v>
      </c>
      <c r="C1112">
        <v>1</v>
      </c>
      <c r="D1112">
        <v>0</v>
      </c>
    </row>
    <row r="1113" spans="1:4" x14ac:dyDescent="0.3">
      <c r="A1113">
        <v>1</v>
      </c>
      <c r="B1113">
        <v>1</v>
      </c>
      <c r="C1113">
        <v>1</v>
      </c>
      <c r="D1113">
        <v>0</v>
      </c>
    </row>
    <row r="1114" spans="1:4" x14ac:dyDescent="0.3">
      <c r="A1114">
        <v>1</v>
      </c>
      <c r="B1114">
        <v>1</v>
      </c>
      <c r="C1114">
        <v>1</v>
      </c>
      <c r="D1114">
        <v>0</v>
      </c>
    </row>
    <row r="1115" spans="1:4" x14ac:dyDescent="0.3">
      <c r="A1115">
        <v>1</v>
      </c>
      <c r="B1115">
        <v>1</v>
      </c>
      <c r="C1115">
        <v>1</v>
      </c>
      <c r="D1115">
        <v>0</v>
      </c>
    </row>
    <row r="1116" spans="1:4" x14ac:dyDescent="0.3">
      <c r="A1116">
        <v>1</v>
      </c>
      <c r="B1116">
        <v>1</v>
      </c>
      <c r="C1116">
        <v>1</v>
      </c>
      <c r="D1116">
        <v>0</v>
      </c>
    </row>
    <row r="1117" spans="1:4" x14ac:dyDescent="0.3">
      <c r="A1117">
        <v>1</v>
      </c>
      <c r="B1117">
        <v>1</v>
      </c>
      <c r="C1117">
        <v>1</v>
      </c>
      <c r="D1117">
        <v>0</v>
      </c>
    </row>
    <row r="1118" spans="1:4" x14ac:dyDescent="0.3">
      <c r="A1118">
        <v>1</v>
      </c>
      <c r="B1118">
        <v>1</v>
      </c>
      <c r="C1118">
        <v>1</v>
      </c>
      <c r="D1118">
        <v>0</v>
      </c>
    </row>
    <row r="1119" spans="1:4" x14ac:dyDescent="0.3">
      <c r="A1119">
        <v>1</v>
      </c>
      <c r="B1119">
        <v>1</v>
      </c>
      <c r="C1119">
        <v>1</v>
      </c>
      <c r="D1119">
        <v>0</v>
      </c>
    </row>
    <row r="1120" spans="1:4" x14ac:dyDescent="0.3">
      <c r="A1120">
        <v>1</v>
      </c>
      <c r="B1120">
        <v>1</v>
      </c>
      <c r="C1120">
        <v>1</v>
      </c>
      <c r="D1120">
        <v>0</v>
      </c>
    </row>
    <row r="1121" spans="1:4" x14ac:dyDescent="0.3">
      <c r="A1121">
        <v>1</v>
      </c>
      <c r="B1121">
        <v>1</v>
      </c>
      <c r="C1121">
        <v>1</v>
      </c>
      <c r="D1121">
        <v>0</v>
      </c>
    </row>
    <row r="1122" spans="1:4" x14ac:dyDescent="0.3">
      <c r="A1122">
        <v>1</v>
      </c>
      <c r="B1122">
        <v>1</v>
      </c>
      <c r="C1122">
        <v>1</v>
      </c>
      <c r="D1122">
        <v>0</v>
      </c>
    </row>
    <row r="1123" spans="1:4" x14ac:dyDescent="0.3">
      <c r="A1123">
        <v>1</v>
      </c>
      <c r="B1123">
        <v>1</v>
      </c>
      <c r="C1123">
        <v>1</v>
      </c>
      <c r="D1123">
        <v>0</v>
      </c>
    </row>
    <row r="1124" spans="1:4" x14ac:dyDescent="0.3">
      <c r="A1124">
        <v>1</v>
      </c>
      <c r="B1124">
        <v>1</v>
      </c>
      <c r="C1124">
        <v>1</v>
      </c>
      <c r="D1124">
        <v>0</v>
      </c>
    </row>
    <row r="1125" spans="1:4" x14ac:dyDescent="0.3">
      <c r="A1125">
        <v>1</v>
      </c>
      <c r="B1125">
        <v>1</v>
      </c>
      <c r="C1125">
        <v>1</v>
      </c>
      <c r="D1125">
        <v>0</v>
      </c>
    </row>
    <row r="1126" spans="1:4" x14ac:dyDescent="0.3">
      <c r="A1126">
        <v>1</v>
      </c>
      <c r="B1126">
        <v>1</v>
      </c>
      <c r="C1126">
        <v>1</v>
      </c>
      <c r="D1126">
        <v>0</v>
      </c>
    </row>
    <row r="1127" spans="1:4" x14ac:dyDescent="0.3">
      <c r="A1127">
        <v>1</v>
      </c>
      <c r="B1127">
        <v>1</v>
      </c>
      <c r="C1127">
        <v>1</v>
      </c>
      <c r="D1127">
        <v>0</v>
      </c>
    </row>
    <row r="1128" spans="1:4" x14ac:dyDescent="0.3">
      <c r="A1128">
        <v>1</v>
      </c>
      <c r="B1128">
        <v>1</v>
      </c>
      <c r="C1128">
        <v>1</v>
      </c>
      <c r="D1128">
        <v>0</v>
      </c>
    </row>
    <row r="1129" spans="1:4" x14ac:dyDescent="0.3">
      <c r="A1129">
        <v>1</v>
      </c>
      <c r="B1129">
        <v>1</v>
      </c>
      <c r="C1129">
        <v>1</v>
      </c>
      <c r="D1129">
        <v>0</v>
      </c>
    </row>
    <row r="1130" spans="1:4" x14ac:dyDescent="0.3">
      <c r="A1130">
        <v>1</v>
      </c>
      <c r="B1130">
        <v>1</v>
      </c>
      <c r="C1130">
        <v>1</v>
      </c>
      <c r="D1130">
        <v>0</v>
      </c>
    </row>
    <row r="1131" spans="1:4" x14ac:dyDescent="0.3">
      <c r="A1131">
        <v>1</v>
      </c>
      <c r="B1131">
        <v>1</v>
      </c>
      <c r="C1131">
        <v>1</v>
      </c>
      <c r="D1131">
        <v>0</v>
      </c>
    </row>
    <row r="1132" spans="1:4" x14ac:dyDescent="0.3">
      <c r="A1132">
        <v>1</v>
      </c>
      <c r="B1132">
        <v>1</v>
      </c>
      <c r="C1132">
        <v>1</v>
      </c>
      <c r="D1132">
        <v>0</v>
      </c>
    </row>
    <row r="1133" spans="1:4" x14ac:dyDescent="0.3">
      <c r="A1133">
        <v>1</v>
      </c>
      <c r="B1133">
        <v>1</v>
      </c>
      <c r="C1133">
        <v>1</v>
      </c>
      <c r="D1133">
        <v>0</v>
      </c>
    </row>
    <row r="1134" spans="1:4" x14ac:dyDescent="0.3">
      <c r="A1134">
        <v>1</v>
      </c>
      <c r="B1134">
        <v>1</v>
      </c>
      <c r="C1134">
        <v>1</v>
      </c>
      <c r="D1134">
        <v>0</v>
      </c>
    </row>
    <row r="1135" spans="1:4" x14ac:dyDescent="0.3">
      <c r="A1135">
        <v>1</v>
      </c>
      <c r="B1135">
        <v>1</v>
      </c>
      <c r="C1135">
        <v>1</v>
      </c>
      <c r="D1135">
        <v>0</v>
      </c>
    </row>
    <row r="1136" spans="1:4" x14ac:dyDescent="0.3">
      <c r="A1136">
        <v>1</v>
      </c>
      <c r="B1136">
        <v>1</v>
      </c>
      <c r="C1136">
        <v>1</v>
      </c>
      <c r="D1136">
        <v>0</v>
      </c>
    </row>
    <row r="1137" spans="1:4" x14ac:dyDescent="0.3">
      <c r="A1137">
        <v>1</v>
      </c>
      <c r="B1137">
        <v>1</v>
      </c>
      <c r="C1137">
        <v>1</v>
      </c>
      <c r="D1137">
        <v>0</v>
      </c>
    </row>
    <row r="1138" spans="1:4" x14ac:dyDescent="0.3">
      <c r="A1138">
        <v>1</v>
      </c>
      <c r="B1138">
        <v>1</v>
      </c>
      <c r="C1138">
        <v>1</v>
      </c>
      <c r="D1138">
        <v>0</v>
      </c>
    </row>
    <row r="1139" spans="1:4" x14ac:dyDescent="0.3">
      <c r="A1139">
        <v>1</v>
      </c>
      <c r="B1139">
        <v>1</v>
      </c>
      <c r="C1139">
        <v>1</v>
      </c>
      <c r="D1139">
        <v>0</v>
      </c>
    </row>
    <row r="1140" spans="1:4" x14ac:dyDescent="0.3">
      <c r="A1140">
        <v>1</v>
      </c>
      <c r="B1140">
        <v>1</v>
      </c>
      <c r="C1140">
        <v>1</v>
      </c>
      <c r="D1140">
        <v>0</v>
      </c>
    </row>
    <row r="1141" spans="1:4" x14ac:dyDescent="0.3">
      <c r="A1141">
        <v>1</v>
      </c>
      <c r="B1141">
        <v>1</v>
      </c>
      <c r="C1141">
        <v>1</v>
      </c>
      <c r="D1141">
        <v>0</v>
      </c>
    </row>
    <row r="1142" spans="1:4" x14ac:dyDescent="0.3">
      <c r="A1142">
        <v>1</v>
      </c>
      <c r="B1142">
        <v>1</v>
      </c>
      <c r="C1142">
        <v>1</v>
      </c>
      <c r="D1142">
        <v>0</v>
      </c>
    </row>
    <row r="1143" spans="1:4" x14ac:dyDescent="0.3">
      <c r="A1143">
        <v>1</v>
      </c>
      <c r="B1143">
        <v>1</v>
      </c>
      <c r="C1143">
        <v>1</v>
      </c>
      <c r="D1143">
        <v>0</v>
      </c>
    </row>
    <row r="1144" spans="1:4" x14ac:dyDescent="0.3">
      <c r="A1144">
        <v>1</v>
      </c>
      <c r="B1144">
        <v>1</v>
      </c>
      <c r="C1144">
        <v>1</v>
      </c>
      <c r="D1144">
        <v>0</v>
      </c>
    </row>
    <row r="1145" spans="1:4" x14ac:dyDescent="0.3">
      <c r="A1145">
        <v>1</v>
      </c>
      <c r="B1145">
        <v>1</v>
      </c>
      <c r="C1145">
        <v>1</v>
      </c>
      <c r="D1145">
        <v>0</v>
      </c>
    </row>
    <row r="1146" spans="1:4" x14ac:dyDescent="0.3">
      <c r="A1146">
        <v>1</v>
      </c>
      <c r="B1146">
        <v>1</v>
      </c>
      <c r="C1146">
        <v>1</v>
      </c>
      <c r="D1146">
        <v>0</v>
      </c>
    </row>
    <row r="1147" spans="1:4" x14ac:dyDescent="0.3">
      <c r="A1147">
        <v>1</v>
      </c>
      <c r="B1147">
        <v>1</v>
      </c>
      <c r="C1147">
        <v>1</v>
      </c>
      <c r="D1147">
        <v>0</v>
      </c>
    </row>
    <row r="1148" spans="1:4" x14ac:dyDescent="0.3">
      <c r="A1148">
        <v>1</v>
      </c>
      <c r="B1148">
        <v>1</v>
      </c>
      <c r="C1148">
        <v>1</v>
      </c>
      <c r="D1148">
        <v>0</v>
      </c>
    </row>
    <row r="1149" spans="1:4" x14ac:dyDescent="0.3">
      <c r="A1149">
        <v>1</v>
      </c>
      <c r="B1149">
        <v>1</v>
      </c>
      <c r="C1149">
        <v>1</v>
      </c>
      <c r="D1149">
        <v>0</v>
      </c>
    </row>
    <row r="1150" spans="1:4" x14ac:dyDescent="0.3">
      <c r="A1150">
        <v>1</v>
      </c>
      <c r="B1150">
        <v>1</v>
      </c>
      <c r="C1150">
        <v>1</v>
      </c>
      <c r="D1150">
        <v>0</v>
      </c>
    </row>
    <row r="1151" spans="1:4" x14ac:dyDescent="0.3">
      <c r="A1151">
        <v>1</v>
      </c>
      <c r="B1151">
        <v>1</v>
      </c>
      <c r="C1151">
        <v>1</v>
      </c>
      <c r="D1151">
        <v>0</v>
      </c>
    </row>
    <row r="1152" spans="1:4" x14ac:dyDescent="0.3">
      <c r="A1152">
        <v>1</v>
      </c>
      <c r="B1152">
        <v>1</v>
      </c>
      <c r="C1152">
        <v>1</v>
      </c>
      <c r="D1152">
        <v>0</v>
      </c>
    </row>
    <row r="1153" spans="1:4" x14ac:dyDescent="0.3">
      <c r="A1153">
        <v>1</v>
      </c>
      <c r="B1153">
        <v>1</v>
      </c>
      <c r="C1153">
        <v>1</v>
      </c>
      <c r="D1153">
        <v>0</v>
      </c>
    </row>
    <row r="1154" spans="1:4" x14ac:dyDescent="0.3">
      <c r="A1154">
        <v>1</v>
      </c>
      <c r="B1154">
        <v>1</v>
      </c>
      <c r="C1154">
        <v>1</v>
      </c>
      <c r="D1154">
        <v>0</v>
      </c>
    </row>
    <row r="1155" spans="1:4" x14ac:dyDescent="0.3">
      <c r="A1155">
        <v>1</v>
      </c>
      <c r="B1155">
        <v>1</v>
      </c>
      <c r="C1155">
        <v>1</v>
      </c>
      <c r="D1155">
        <v>0</v>
      </c>
    </row>
    <row r="1156" spans="1:4" x14ac:dyDescent="0.3">
      <c r="A1156">
        <v>1</v>
      </c>
      <c r="B1156">
        <v>1</v>
      </c>
      <c r="C1156">
        <v>1</v>
      </c>
      <c r="D1156">
        <v>0</v>
      </c>
    </row>
    <row r="1157" spans="1:4" x14ac:dyDescent="0.3">
      <c r="A1157">
        <v>1</v>
      </c>
      <c r="B1157">
        <v>1</v>
      </c>
      <c r="C1157">
        <v>1</v>
      </c>
      <c r="D1157">
        <v>0</v>
      </c>
    </row>
    <row r="1158" spans="1:4" x14ac:dyDescent="0.3">
      <c r="A1158">
        <v>1</v>
      </c>
      <c r="B1158">
        <v>1</v>
      </c>
      <c r="C1158">
        <v>1</v>
      </c>
      <c r="D1158">
        <v>0</v>
      </c>
    </row>
    <row r="1159" spans="1:4" x14ac:dyDescent="0.3">
      <c r="A1159">
        <v>1</v>
      </c>
      <c r="B1159">
        <v>1</v>
      </c>
      <c r="C1159">
        <v>1</v>
      </c>
      <c r="D1159">
        <v>0</v>
      </c>
    </row>
    <row r="1160" spans="1:4" x14ac:dyDescent="0.3">
      <c r="A1160">
        <v>1</v>
      </c>
      <c r="B1160">
        <v>1</v>
      </c>
      <c r="C1160">
        <v>1</v>
      </c>
      <c r="D1160">
        <v>0</v>
      </c>
    </row>
    <row r="1161" spans="1:4" x14ac:dyDescent="0.3">
      <c r="A1161">
        <v>1</v>
      </c>
      <c r="B1161">
        <v>1</v>
      </c>
      <c r="C1161">
        <v>1</v>
      </c>
      <c r="D1161">
        <v>0</v>
      </c>
    </row>
    <row r="1162" spans="1:4" x14ac:dyDescent="0.3">
      <c r="A1162">
        <v>1</v>
      </c>
      <c r="B1162">
        <v>1</v>
      </c>
      <c r="C1162">
        <v>1</v>
      </c>
      <c r="D1162">
        <v>0</v>
      </c>
    </row>
    <row r="1163" spans="1:4" x14ac:dyDescent="0.3">
      <c r="A1163">
        <v>1</v>
      </c>
      <c r="B1163">
        <v>1</v>
      </c>
      <c r="C1163">
        <v>1</v>
      </c>
      <c r="D1163">
        <v>0</v>
      </c>
    </row>
    <row r="1164" spans="1:4" x14ac:dyDescent="0.3">
      <c r="A1164">
        <v>1</v>
      </c>
      <c r="B1164">
        <v>1</v>
      </c>
      <c r="C1164">
        <v>1</v>
      </c>
      <c r="D1164">
        <v>0</v>
      </c>
    </row>
    <row r="1165" spans="1:4" x14ac:dyDescent="0.3">
      <c r="A1165">
        <v>1</v>
      </c>
      <c r="B1165">
        <v>1</v>
      </c>
      <c r="C1165">
        <v>1</v>
      </c>
      <c r="D1165">
        <v>0</v>
      </c>
    </row>
    <row r="1166" spans="1:4" x14ac:dyDescent="0.3">
      <c r="A1166">
        <v>1</v>
      </c>
      <c r="B1166">
        <v>1</v>
      </c>
      <c r="C1166">
        <v>1</v>
      </c>
      <c r="D1166">
        <v>0</v>
      </c>
    </row>
    <row r="1167" spans="1:4" x14ac:dyDescent="0.3">
      <c r="A1167">
        <v>1</v>
      </c>
      <c r="B1167">
        <v>1</v>
      </c>
      <c r="C1167">
        <v>1</v>
      </c>
      <c r="D1167">
        <v>0</v>
      </c>
    </row>
    <row r="1168" spans="1:4" x14ac:dyDescent="0.3">
      <c r="A1168">
        <v>1</v>
      </c>
      <c r="B1168">
        <v>1</v>
      </c>
      <c r="C1168">
        <v>1</v>
      </c>
      <c r="D1168">
        <v>0</v>
      </c>
    </row>
    <row r="1169" spans="1:4" x14ac:dyDescent="0.3">
      <c r="A1169">
        <v>1</v>
      </c>
      <c r="B1169">
        <v>1</v>
      </c>
      <c r="C1169">
        <v>1</v>
      </c>
      <c r="D1169">
        <v>0</v>
      </c>
    </row>
    <row r="1170" spans="1:4" x14ac:dyDescent="0.3">
      <c r="A1170">
        <v>1</v>
      </c>
      <c r="B1170">
        <v>1</v>
      </c>
      <c r="C1170">
        <v>1</v>
      </c>
      <c r="D1170">
        <v>0</v>
      </c>
    </row>
    <row r="1171" spans="1:4" x14ac:dyDescent="0.3">
      <c r="A1171">
        <v>1</v>
      </c>
      <c r="B1171">
        <v>1</v>
      </c>
      <c r="C1171">
        <v>1</v>
      </c>
      <c r="D1171">
        <v>0</v>
      </c>
    </row>
    <row r="1172" spans="1:4" x14ac:dyDescent="0.3">
      <c r="A1172">
        <v>1</v>
      </c>
      <c r="B1172">
        <v>1</v>
      </c>
      <c r="C1172">
        <v>1</v>
      </c>
      <c r="D1172">
        <v>0</v>
      </c>
    </row>
    <row r="1173" spans="1:4" x14ac:dyDescent="0.3">
      <c r="A1173">
        <v>1</v>
      </c>
      <c r="B1173">
        <v>1</v>
      </c>
      <c r="C1173">
        <v>1</v>
      </c>
      <c r="D1173">
        <v>0</v>
      </c>
    </row>
    <row r="1174" spans="1:4" x14ac:dyDescent="0.3">
      <c r="A1174">
        <v>1</v>
      </c>
      <c r="B1174">
        <v>1</v>
      </c>
      <c r="C1174">
        <v>1</v>
      </c>
      <c r="D1174">
        <v>0</v>
      </c>
    </row>
    <row r="1175" spans="1:4" x14ac:dyDescent="0.3">
      <c r="A1175">
        <v>1</v>
      </c>
      <c r="B1175">
        <v>1</v>
      </c>
      <c r="C1175">
        <v>1</v>
      </c>
      <c r="D1175">
        <v>0</v>
      </c>
    </row>
    <row r="1176" spans="1:4" x14ac:dyDescent="0.3">
      <c r="A1176">
        <v>1</v>
      </c>
      <c r="B1176">
        <v>1</v>
      </c>
      <c r="C1176">
        <v>1</v>
      </c>
      <c r="D1176">
        <v>0</v>
      </c>
    </row>
    <row r="1177" spans="1:4" x14ac:dyDescent="0.3">
      <c r="A1177">
        <v>1</v>
      </c>
      <c r="B1177">
        <v>1</v>
      </c>
      <c r="C1177">
        <v>1</v>
      </c>
      <c r="D1177">
        <v>0</v>
      </c>
    </row>
    <row r="1178" spans="1:4" x14ac:dyDescent="0.3">
      <c r="A1178">
        <v>1</v>
      </c>
      <c r="B1178">
        <v>1</v>
      </c>
      <c r="C1178">
        <v>1</v>
      </c>
      <c r="D1178">
        <v>0</v>
      </c>
    </row>
    <row r="1179" spans="1:4" x14ac:dyDescent="0.3">
      <c r="A1179">
        <v>1</v>
      </c>
      <c r="B1179">
        <v>1</v>
      </c>
      <c r="C1179">
        <v>1</v>
      </c>
      <c r="D1179">
        <v>0</v>
      </c>
    </row>
    <row r="1180" spans="1:4" x14ac:dyDescent="0.3">
      <c r="A1180">
        <v>1</v>
      </c>
      <c r="B1180">
        <v>1</v>
      </c>
      <c r="C1180">
        <v>1</v>
      </c>
      <c r="D1180">
        <v>0</v>
      </c>
    </row>
    <row r="1181" spans="1:4" x14ac:dyDescent="0.3">
      <c r="A1181">
        <v>1</v>
      </c>
      <c r="B1181">
        <v>1</v>
      </c>
      <c r="C1181">
        <v>1</v>
      </c>
      <c r="D1181">
        <v>0</v>
      </c>
    </row>
    <row r="1182" spans="1:4" x14ac:dyDescent="0.3">
      <c r="A1182">
        <v>1</v>
      </c>
      <c r="B1182">
        <v>1</v>
      </c>
      <c r="C1182">
        <v>1</v>
      </c>
      <c r="D1182">
        <v>0</v>
      </c>
    </row>
    <row r="1183" spans="1:4" x14ac:dyDescent="0.3">
      <c r="A1183">
        <v>1</v>
      </c>
      <c r="B1183">
        <v>1</v>
      </c>
      <c r="C1183">
        <v>1</v>
      </c>
      <c r="D1183">
        <v>0</v>
      </c>
    </row>
    <row r="1184" spans="1:4" x14ac:dyDescent="0.3">
      <c r="A1184">
        <v>1</v>
      </c>
      <c r="B1184">
        <v>1</v>
      </c>
      <c r="C1184">
        <v>1</v>
      </c>
      <c r="D1184">
        <v>0</v>
      </c>
    </row>
    <row r="1185" spans="1:4" x14ac:dyDescent="0.3">
      <c r="A1185">
        <v>1</v>
      </c>
      <c r="B1185">
        <v>1</v>
      </c>
      <c r="C1185">
        <v>1</v>
      </c>
      <c r="D1185">
        <v>0</v>
      </c>
    </row>
    <row r="1186" spans="1:4" x14ac:dyDescent="0.3">
      <c r="A1186">
        <v>1</v>
      </c>
      <c r="B1186">
        <v>1</v>
      </c>
      <c r="C1186">
        <v>1</v>
      </c>
      <c r="D1186">
        <v>0</v>
      </c>
    </row>
    <row r="1187" spans="1:4" x14ac:dyDescent="0.3">
      <c r="A1187">
        <v>1</v>
      </c>
      <c r="B1187">
        <v>1</v>
      </c>
      <c r="C1187">
        <v>1</v>
      </c>
      <c r="D1187">
        <v>0</v>
      </c>
    </row>
    <row r="1188" spans="1:4" x14ac:dyDescent="0.3">
      <c r="A1188">
        <v>1</v>
      </c>
      <c r="B1188">
        <v>1</v>
      </c>
      <c r="C1188">
        <v>1</v>
      </c>
      <c r="D1188">
        <v>0</v>
      </c>
    </row>
    <row r="1189" spans="1:4" x14ac:dyDescent="0.3">
      <c r="A1189">
        <v>1</v>
      </c>
      <c r="B1189">
        <v>1</v>
      </c>
      <c r="C1189">
        <v>1</v>
      </c>
      <c r="D1189">
        <v>0</v>
      </c>
    </row>
    <row r="1190" spans="1:4" x14ac:dyDescent="0.3">
      <c r="A1190">
        <v>1</v>
      </c>
      <c r="B1190">
        <v>1</v>
      </c>
      <c r="C1190">
        <v>1</v>
      </c>
      <c r="D1190">
        <v>0</v>
      </c>
    </row>
    <row r="1191" spans="1:4" x14ac:dyDescent="0.3">
      <c r="A1191">
        <v>1</v>
      </c>
      <c r="B1191">
        <v>1</v>
      </c>
      <c r="C1191">
        <v>1</v>
      </c>
      <c r="D1191">
        <v>0</v>
      </c>
    </row>
    <row r="1192" spans="1:4" x14ac:dyDescent="0.3">
      <c r="A1192">
        <v>1</v>
      </c>
      <c r="B1192">
        <v>1</v>
      </c>
      <c r="C1192">
        <v>1</v>
      </c>
      <c r="D1192">
        <v>0</v>
      </c>
    </row>
    <row r="1193" spans="1:4" x14ac:dyDescent="0.3">
      <c r="A1193">
        <v>1</v>
      </c>
      <c r="B1193">
        <v>1</v>
      </c>
      <c r="C1193">
        <v>1</v>
      </c>
      <c r="D1193">
        <v>0</v>
      </c>
    </row>
    <row r="1194" spans="1:4" x14ac:dyDescent="0.3">
      <c r="A1194">
        <v>1</v>
      </c>
      <c r="B1194">
        <v>1</v>
      </c>
      <c r="C1194">
        <v>1</v>
      </c>
      <c r="D1194">
        <v>0</v>
      </c>
    </row>
    <row r="1195" spans="1:4" x14ac:dyDescent="0.3">
      <c r="A1195">
        <v>1</v>
      </c>
      <c r="B1195">
        <v>1</v>
      </c>
      <c r="C1195">
        <v>1</v>
      </c>
      <c r="D1195">
        <v>0</v>
      </c>
    </row>
    <row r="1196" spans="1:4" x14ac:dyDescent="0.3">
      <c r="A1196">
        <v>1</v>
      </c>
      <c r="B1196">
        <v>1</v>
      </c>
      <c r="C1196">
        <v>1</v>
      </c>
      <c r="D1196">
        <v>0</v>
      </c>
    </row>
    <row r="1197" spans="1:4" x14ac:dyDescent="0.3">
      <c r="A1197">
        <v>1</v>
      </c>
      <c r="B1197">
        <v>1</v>
      </c>
      <c r="C1197">
        <v>1</v>
      </c>
      <c r="D1197">
        <v>0</v>
      </c>
    </row>
    <row r="1198" spans="1:4" x14ac:dyDescent="0.3">
      <c r="A1198">
        <v>1</v>
      </c>
      <c r="B1198">
        <v>1</v>
      </c>
      <c r="C1198">
        <v>1</v>
      </c>
      <c r="D1198">
        <v>0</v>
      </c>
    </row>
    <row r="1199" spans="1:4" x14ac:dyDescent="0.3">
      <c r="A1199">
        <v>1</v>
      </c>
      <c r="B1199">
        <v>1</v>
      </c>
      <c r="C1199">
        <v>1</v>
      </c>
      <c r="D1199">
        <v>0</v>
      </c>
    </row>
    <row r="1200" spans="1:4" x14ac:dyDescent="0.3">
      <c r="A1200">
        <v>1</v>
      </c>
      <c r="B1200">
        <v>1</v>
      </c>
      <c r="C1200">
        <v>1</v>
      </c>
      <c r="D1200">
        <v>0</v>
      </c>
    </row>
    <row r="1201" spans="1:4" x14ac:dyDescent="0.3">
      <c r="A1201">
        <v>1</v>
      </c>
      <c r="B1201">
        <v>1</v>
      </c>
      <c r="C1201">
        <v>1</v>
      </c>
      <c r="D1201">
        <v>0</v>
      </c>
    </row>
    <row r="1202" spans="1:4" x14ac:dyDescent="0.3">
      <c r="A1202">
        <v>1</v>
      </c>
      <c r="B1202">
        <v>1</v>
      </c>
      <c r="C1202">
        <v>1</v>
      </c>
      <c r="D1202">
        <v>0</v>
      </c>
    </row>
    <row r="1203" spans="1:4" x14ac:dyDescent="0.3">
      <c r="A1203">
        <v>1</v>
      </c>
      <c r="B1203">
        <v>1</v>
      </c>
      <c r="C1203">
        <v>1</v>
      </c>
      <c r="D1203">
        <v>0</v>
      </c>
    </row>
    <row r="1204" spans="1:4" x14ac:dyDescent="0.3">
      <c r="A1204">
        <v>1</v>
      </c>
      <c r="B1204">
        <v>1</v>
      </c>
      <c r="C1204">
        <v>1</v>
      </c>
      <c r="D1204">
        <v>0</v>
      </c>
    </row>
    <row r="1205" spans="1:4" x14ac:dyDescent="0.3">
      <c r="A1205">
        <v>1</v>
      </c>
      <c r="B1205">
        <v>1</v>
      </c>
      <c r="C1205">
        <v>1</v>
      </c>
      <c r="D1205">
        <v>0</v>
      </c>
    </row>
    <row r="1206" spans="1:4" x14ac:dyDescent="0.3">
      <c r="A1206">
        <v>1</v>
      </c>
      <c r="B1206">
        <v>1</v>
      </c>
      <c r="C1206">
        <v>1</v>
      </c>
      <c r="D1206">
        <v>0</v>
      </c>
    </row>
    <row r="1207" spans="1:4" x14ac:dyDescent="0.3">
      <c r="A1207">
        <v>1</v>
      </c>
      <c r="B1207">
        <v>1</v>
      </c>
      <c r="C1207">
        <v>1</v>
      </c>
      <c r="D1207">
        <v>0</v>
      </c>
    </row>
    <row r="1208" spans="1:4" x14ac:dyDescent="0.3">
      <c r="A1208">
        <v>1</v>
      </c>
      <c r="B1208">
        <v>1</v>
      </c>
      <c r="C1208">
        <v>1</v>
      </c>
      <c r="D1208">
        <v>0</v>
      </c>
    </row>
    <row r="1209" spans="1:4" x14ac:dyDescent="0.3">
      <c r="A1209">
        <v>1</v>
      </c>
      <c r="B1209">
        <v>1</v>
      </c>
      <c r="C1209">
        <v>1</v>
      </c>
      <c r="D1209">
        <v>0</v>
      </c>
    </row>
    <row r="1210" spans="1:4" x14ac:dyDescent="0.3">
      <c r="A1210">
        <v>1</v>
      </c>
      <c r="B1210">
        <v>1</v>
      </c>
      <c r="C1210">
        <v>1</v>
      </c>
      <c r="D1210">
        <v>0</v>
      </c>
    </row>
    <row r="1211" spans="1:4" x14ac:dyDescent="0.3">
      <c r="A1211">
        <v>1</v>
      </c>
      <c r="B1211">
        <v>1</v>
      </c>
      <c r="C1211">
        <v>1</v>
      </c>
      <c r="D1211">
        <v>0</v>
      </c>
    </row>
    <row r="1212" spans="1:4" x14ac:dyDescent="0.3">
      <c r="A1212">
        <v>1</v>
      </c>
      <c r="B1212">
        <v>1</v>
      </c>
      <c r="C1212">
        <v>1</v>
      </c>
      <c r="D1212">
        <v>0</v>
      </c>
    </row>
    <row r="1213" spans="1:4" x14ac:dyDescent="0.3">
      <c r="A1213">
        <v>1</v>
      </c>
      <c r="B1213">
        <v>1</v>
      </c>
      <c r="C1213">
        <v>1</v>
      </c>
      <c r="D1213">
        <v>0</v>
      </c>
    </row>
    <row r="1214" spans="1:4" x14ac:dyDescent="0.3">
      <c r="A1214">
        <v>1</v>
      </c>
      <c r="B1214">
        <v>1</v>
      </c>
      <c r="C1214">
        <v>1</v>
      </c>
      <c r="D1214">
        <v>0</v>
      </c>
    </row>
    <row r="1215" spans="1:4" x14ac:dyDescent="0.3">
      <c r="A1215">
        <v>1</v>
      </c>
      <c r="B1215">
        <v>1</v>
      </c>
      <c r="C1215">
        <v>1</v>
      </c>
      <c r="D1215">
        <v>0</v>
      </c>
    </row>
    <row r="1216" spans="1:4" x14ac:dyDescent="0.3">
      <c r="A1216">
        <v>1</v>
      </c>
      <c r="B1216">
        <v>1</v>
      </c>
      <c r="C1216">
        <v>1</v>
      </c>
      <c r="D1216">
        <v>0</v>
      </c>
    </row>
    <row r="1217" spans="1:4" x14ac:dyDescent="0.3">
      <c r="A1217">
        <v>1</v>
      </c>
      <c r="B1217">
        <v>1</v>
      </c>
      <c r="C1217">
        <v>1</v>
      </c>
      <c r="D1217">
        <v>0</v>
      </c>
    </row>
    <row r="1218" spans="1:4" x14ac:dyDescent="0.3">
      <c r="A1218">
        <v>1</v>
      </c>
      <c r="B1218">
        <v>1</v>
      </c>
      <c r="C1218">
        <v>1</v>
      </c>
      <c r="D1218">
        <v>0</v>
      </c>
    </row>
    <row r="1219" spans="1:4" x14ac:dyDescent="0.3">
      <c r="A1219">
        <v>1</v>
      </c>
      <c r="B1219">
        <v>1</v>
      </c>
      <c r="C1219">
        <v>1</v>
      </c>
      <c r="D1219">
        <v>0</v>
      </c>
    </row>
    <row r="1220" spans="1:4" x14ac:dyDescent="0.3">
      <c r="A1220">
        <v>1</v>
      </c>
      <c r="B1220">
        <v>1</v>
      </c>
      <c r="C1220">
        <v>1</v>
      </c>
      <c r="D1220">
        <v>0</v>
      </c>
    </row>
    <row r="1221" spans="1:4" x14ac:dyDescent="0.3">
      <c r="A1221">
        <v>1</v>
      </c>
      <c r="B1221">
        <v>1</v>
      </c>
      <c r="C1221">
        <v>1</v>
      </c>
      <c r="D1221">
        <v>0</v>
      </c>
    </row>
    <row r="1222" spans="1:4" x14ac:dyDescent="0.3">
      <c r="A1222">
        <v>1</v>
      </c>
      <c r="B1222">
        <v>1</v>
      </c>
      <c r="C1222">
        <v>1</v>
      </c>
      <c r="D1222">
        <v>0</v>
      </c>
    </row>
    <row r="1223" spans="1:4" x14ac:dyDescent="0.3">
      <c r="A1223">
        <v>1</v>
      </c>
      <c r="B1223">
        <v>1</v>
      </c>
      <c r="C1223">
        <v>1</v>
      </c>
      <c r="D1223">
        <v>0</v>
      </c>
    </row>
    <row r="1224" spans="1:4" x14ac:dyDescent="0.3">
      <c r="A1224">
        <v>1</v>
      </c>
      <c r="B1224">
        <v>1</v>
      </c>
      <c r="C1224">
        <v>1</v>
      </c>
      <c r="D1224">
        <v>0</v>
      </c>
    </row>
    <row r="1225" spans="1:4" x14ac:dyDescent="0.3">
      <c r="A1225">
        <v>1</v>
      </c>
      <c r="B1225">
        <v>1</v>
      </c>
      <c r="C1225">
        <v>1</v>
      </c>
      <c r="D1225">
        <v>0</v>
      </c>
    </row>
    <row r="1226" spans="1:4" x14ac:dyDescent="0.3">
      <c r="A1226">
        <v>1</v>
      </c>
      <c r="B1226">
        <v>1</v>
      </c>
      <c r="C1226">
        <v>1</v>
      </c>
      <c r="D1226">
        <v>0</v>
      </c>
    </row>
    <row r="1227" spans="1:4" x14ac:dyDescent="0.3">
      <c r="A1227">
        <v>1</v>
      </c>
      <c r="B1227">
        <v>1</v>
      </c>
      <c r="C1227">
        <v>1</v>
      </c>
      <c r="D1227">
        <v>0</v>
      </c>
    </row>
    <row r="1228" spans="1:4" x14ac:dyDescent="0.3">
      <c r="A1228">
        <v>1</v>
      </c>
      <c r="B1228">
        <v>1</v>
      </c>
      <c r="C1228">
        <v>1</v>
      </c>
      <c r="D1228">
        <v>0</v>
      </c>
    </row>
    <row r="1229" spans="1:4" x14ac:dyDescent="0.3">
      <c r="A1229">
        <v>1</v>
      </c>
      <c r="B1229">
        <v>1</v>
      </c>
      <c r="C1229">
        <v>1</v>
      </c>
      <c r="D1229">
        <v>0</v>
      </c>
    </row>
    <row r="1230" spans="1:4" x14ac:dyDescent="0.3">
      <c r="A1230">
        <v>1</v>
      </c>
      <c r="B1230">
        <v>1</v>
      </c>
      <c r="C1230">
        <v>1</v>
      </c>
      <c r="D1230">
        <v>0</v>
      </c>
    </row>
    <row r="1231" spans="1:4" x14ac:dyDescent="0.3">
      <c r="A1231">
        <v>1</v>
      </c>
      <c r="B1231">
        <v>1</v>
      </c>
      <c r="C1231">
        <v>1</v>
      </c>
      <c r="D1231">
        <v>0</v>
      </c>
    </row>
    <row r="1232" spans="1:4" x14ac:dyDescent="0.3">
      <c r="A1232">
        <v>1</v>
      </c>
      <c r="B1232">
        <v>1</v>
      </c>
      <c r="C1232">
        <v>1</v>
      </c>
      <c r="D1232">
        <v>0</v>
      </c>
    </row>
    <row r="1233" spans="1:4" x14ac:dyDescent="0.3">
      <c r="A1233">
        <v>1</v>
      </c>
      <c r="B1233">
        <v>1</v>
      </c>
      <c r="C1233">
        <v>1</v>
      </c>
      <c r="D1233">
        <v>0</v>
      </c>
    </row>
    <row r="1234" spans="1:4" x14ac:dyDescent="0.3">
      <c r="A1234">
        <v>1</v>
      </c>
      <c r="B1234">
        <v>1</v>
      </c>
      <c r="C1234">
        <v>1</v>
      </c>
      <c r="D1234">
        <v>0</v>
      </c>
    </row>
    <row r="1235" spans="1:4" x14ac:dyDescent="0.3">
      <c r="A1235">
        <v>1</v>
      </c>
      <c r="B1235">
        <v>1</v>
      </c>
      <c r="C1235">
        <v>1</v>
      </c>
      <c r="D1235">
        <v>0</v>
      </c>
    </row>
    <row r="1236" spans="1:4" x14ac:dyDescent="0.3">
      <c r="A1236">
        <v>1</v>
      </c>
      <c r="B1236">
        <v>1</v>
      </c>
      <c r="C1236">
        <v>1</v>
      </c>
      <c r="D1236">
        <v>0</v>
      </c>
    </row>
    <row r="1237" spans="1:4" x14ac:dyDescent="0.3">
      <c r="A1237">
        <v>1</v>
      </c>
      <c r="B1237">
        <v>1</v>
      </c>
      <c r="C1237">
        <v>1</v>
      </c>
      <c r="D1237">
        <v>0</v>
      </c>
    </row>
    <row r="1238" spans="1:4" x14ac:dyDescent="0.3">
      <c r="A1238">
        <v>1</v>
      </c>
      <c r="B1238">
        <v>1</v>
      </c>
      <c r="C1238">
        <v>1</v>
      </c>
      <c r="D1238">
        <v>0</v>
      </c>
    </row>
    <row r="1239" spans="1:4" x14ac:dyDescent="0.3">
      <c r="A1239">
        <v>1</v>
      </c>
      <c r="B1239">
        <v>1</v>
      </c>
      <c r="C1239">
        <v>1</v>
      </c>
      <c r="D1239">
        <v>0</v>
      </c>
    </row>
    <row r="1240" spans="1:4" x14ac:dyDescent="0.3">
      <c r="A1240">
        <v>1</v>
      </c>
      <c r="B1240">
        <v>1</v>
      </c>
      <c r="C1240">
        <v>1</v>
      </c>
      <c r="D1240">
        <v>0</v>
      </c>
    </row>
    <row r="1241" spans="1:4" x14ac:dyDescent="0.3">
      <c r="A1241">
        <v>1</v>
      </c>
      <c r="B1241">
        <v>1</v>
      </c>
      <c r="C1241">
        <v>1</v>
      </c>
      <c r="D1241">
        <v>0</v>
      </c>
    </row>
    <row r="1242" spans="1:4" x14ac:dyDescent="0.3">
      <c r="A1242">
        <v>1</v>
      </c>
      <c r="B1242">
        <v>1</v>
      </c>
      <c r="C1242">
        <v>1</v>
      </c>
      <c r="D1242">
        <v>0</v>
      </c>
    </row>
    <row r="1243" spans="1:4" x14ac:dyDescent="0.3">
      <c r="A1243">
        <v>1</v>
      </c>
      <c r="B1243">
        <v>1</v>
      </c>
      <c r="C1243">
        <v>1</v>
      </c>
      <c r="D1243">
        <v>0</v>
      </c>
    </row>
    <row r="1244" spans="1:4" x14ac:dyDescent="0.3">
      <c r="A1244">
        <v>1</v>
      </c>
      <c r="B1244">
        <v>1</v>
      </c>
      <c r="C1244">
        <v>1</v>
      </c>
      <c r="D1244">
        <v>0</v>
      </c>
    </row>
    <row r="1245" spans="1:4" x14ac:dyDescent="0.3">
      <c r="A1245">
        <v>1</v>
      </c>
      <c r="B1245">
        <v>1</v>
      </c>
      <c r="C1245">
        <v>1</v>
      </c>
      <c r="D1245">
        <v>0</v>
      </c>
    </row>
    <row r="1246" spans="1:4" x14ac:dyDescent="0.3">
      <c r="A1246">
        <v>1</v>
      </c>
      <c r="B1246">
        <v>1</v>
      </c>
      <c r="C1246">
        <v>1</v>
      </c>
      <c r="D1246">
        <v>0</v>
      </c>
    </row>
    <row r="1247" spans="1:4" x14ac:dyDescent="0.3">
      <c r="A1247">
        <v>1</v>
      </c>
      <c r="B1247">
        <v>1</v>
      </c>
      <c r="C1247">
        <v>1</v>
      </c>
      <c r="D1247">
        <v>0</v>
      </c>
    </row>
    <row r="1248" spans="1:4" x14ac:dyDescent="0.3">
      <c r="A1248">
        <v>1</v>
      </c>
      <c r="B1248">
        <v>1</v>
      </c>
      <c r="C1248">
        <v>1</v>
      </c>
      <c r="D1248">
        <v>0</v>
      </c>
    </row>
    <row r="1249" spans="1:4" x14ac:dyDescent="0.3">
      <c r="A1249">
        <v>1</v>
      </c>
      <c r="B1249">
        <v>1</v>
      </c>
      <c r="C1249">
        <v>1</v>
      </c>
      <c r="D1249">
        <v>0</v>
      </c>
    </row>
    <row r="1250" spans="1:4" x14ac:dyDescent="0.3">
      <c r="A1250">
        <v>1</v>
      </c>
      <c r="B1250">
        <v>1</v>
      </c>
      <c r="C1250">
        <v>1</v>
      </c>
      <c r="D1250">
        <v>0</v>
      </c>
    </row>
    <row r="1251" spans="1:4" x14ac:dyDescent="0.3">
      <c r="A1251">
        <v>1</v>
      </c>
      <c r="B1251">
        <v>1</v>
      </c>
      <c r="C1251">
        <v>1</v>
      </c>
      <c r="D1251">
        <v>0</v>
      </c>
    </row>
    <row r="1252" spans="1:4" x14ac:dyDescent="0.3">
      <c r="A1252">
        <v>1</v>
      </c>
      <c r="B1252">
        <v>1</v>
      </c>
      <c r="C1252">
        <v>1</v>
      </c>
      <c r="D1252">
        <v>0</v>
      </c>
    </row>
    <row r="1253" spans="1:4" x14ac:dyDescent="0.3">
      <c r="A1253">
        <v>1</v>
      </c>
      <c r="B1253">
        <v>1</v>
      </c>
      <c r="C1253">
        <v>1</v>
      </c>
      <c r="D1253">
        <v>0</v>
      </c>
    </row>
    <row r="1254" spans="1:4" x14ac:dyDescent="0.3">
      <c r="A1254">
        <v>1</v>
      </c>
      <c r="B1254">
        <v>1</v>
      </c>
      <c r="C1254">
        <v>1</v>
      </c>
      <c r="D1254">
        <v>0</v>
      </c>
    </row>
    <row r="1255" spans="1:4" x14ac:dyDescent="0.3">
      <c r="A1255">
        <v>1</v>
      </c>
      <c r="B1255">
        <v>1</v>
      </c>
      <c r="C1255">
        <v>1</v>
      </c>
      <c r="D1255">
        <v>0</v>
      </c>
    </row>
    <row r="1256" spans="1:4" x14ac:dyDescent="0.3">
      <c r="A1256">
        <v>1</v>
      </c>
      <c r="B1256">
        <v>1</v>
      </c>
      <c r="C1256">
        <v>1</v>
      </c>
      <c r="D1256">
        <v>0</v>
      </c>
    </row>
    <row r="1257" spans="1:4" x14ac:dyDescent="0.3">
      <c r="A1257">
        <v>1</v>
      </c>
      <c r="B1257">
        <v>1</v>
      </c>
      <c r="C1257">
        <v>1</v>
      </c>
      <c r="D1257">
        <v>0</v>
      </c>
    </row>
    <row r="1258" spans="1:4" x14ac:dyDescent="0.3">
      <c r="A1258">
        <v>1</v>
      </c>
      <c r="B1258">
        <v>1</v>
      </c>
      <c r="C1258">
        <v>1</v>
      </c>
      <c r="D1258">
        <v>0</v>
      </c>
    </row>
    <row r="1259" spans="1:4" x14ac:dyDescent="0.3">
      <c r="A1259">
        <v>1</v>
      </c>
      <c r="B1259">
        <v>1</v>
      </c>
      <c r="C1259">
        <v>1</v>
      </c>
      <c r="D1259">
        <v>0</v>
      </c>
    </row>
    <row r="1260" spans="1:4" x14ac:dyDescent="0.3">
      <c r="A1260">
        <v>1</v>
      </c>
      <c r="B1260">
        <v>1</v>
      </c>
      <c r="C1260">
        <v>1</v>
      </c>
      <c r="D1260">
        <v>0</v>
      </c>
    </row>
    <row r="1261" spans="1:4" x14ac:dyDescent="0.3">
      <c r="A1261">
        <v>1</v>
      </c>
      <c r="B1261">
        <v>1</v>
      </c>
      <c r="C1261">
        <v>1</v>
      </c>
      <c r="D1261">
        <v>0</v>
      </c>
    </row>
    <row r="1262" spans="1:4" x14ac:dyDescent="0.3">
      <c r="A1262">
        <v>1</v>
      </c>
      <c r="B1262">
        <v>1</v>
      </c>
      <c r="C1262">
        <v>1</v>
      </c>
      <c r="D1262">
        <v>0</v>
      </c>
    </row>
    <row r="1263" spans="1:4" x14ac:dyDescent="0.3">
      <c r="A1263">
        <v>1</v>
      </c>
      <c r="B1263">
        <v>1</v>
      </c>
      <c r="C1263">
        <v>1</v>
      </c>
      <c r="D1263">
        <v>0</v>
      </c>
    </row>
    <row r="1264" spans="1:4" x14ac:dyDescent="0.3">
      <c r="A1264">
        <v>1</v>
      </c>
      <c r="B1264">
        <v>1</v>
      </c>
      <c r="C1264">
        <v>1</v>
      </c>
      <c r="D1264">
        <v>0</v>
      </c>
    </row>
    <row r="1265" spans="1:4" x14ac:dyDescent="0.3">
      <c r="A1265">
        <v>1</v>
      </c>
      <c r="B1265">
        <v>1</v>
      </c>
      <c r="C1265">
        <v>1</v>
      </c>
      <c r="D1265">
        <v>0</v>
      </c>
    </row>
    <row r="1266" spans="1:4" x14ac:dyDescent="0.3">
      <c r="A1266">
        <v>1</v>
      </c>
      <c r="B1266">
        <v>1</v>
      </c>
      <c r="C1266">
        <v>1</v>
      </c>
      <c r="D1266">
        <v>0</v>
      </c>
    </row>
    <row r="1267" spans="1:4" x14ac:dyDescent="0.3">
      <c r="A1267">
        <v>1</v>
      </c>
      <c r="B1267">
        <v>1</v>
      </c>
      <c r="C1267">
        <v>1</v>
      </c>
      <c r="D1267">
        <v>0</v>
      </c>
    </row>
    <row r="1268" spans="1:4" x14ac:dyDescent="0.3">
      <c r="A1268">
        <v>1</v>
      </c>
      <c r="B1268">
        <v>1</v>
      </c>
      <c r="C1268">
        <v>1</v>
      </c>
      <c r="D1268">
        <v>0</v>
      </c>
    </row>
    <row r="1269" spans="1:4" x14ac:dyDescent="0.3">
      <c r="A1269">
        <v>1</v>
      </c>
      <c r="B1269">
        <v>1</v>
      </c>
      <c r="C1269">
        <v>1</v>
      </c>
      <c r="D1269">
        <v>0</v>
      </c>
    </row>
    <row r="1270" spans="1:4" x14ac:dyDescent="0.3">
      <c r="A1270">
        <v>1</v>
      </c>
      <c r="B1270">
        <v>1</v>
      </c>
      <c r="C1270">
        <v>1</v>
      </c>
      <c r="D1270">
        <v>0</v>
      </c>
    </row>
    <row r="1271" spans="1:4" x14ac:dyDescent="0.3">
      <c r="A1271">
        <v>1</v>
      </c>
      <c r="B1271">
        <v>1</v>
      </c>
      <c r="C1271">
        <v>1</v>
      </c>
      <c r="D1271">
        <v>0</v>
      </c>
    </row>
    <row r="1272" spans="1:4" x14ac:dyDescent="0.3">
      <c r="A1272">
        <v>1</v>
      </c>
      <c r="B1272">
        <v>1</v>
      </c>
      <c r="C1272">
        <v>1</v>
      </c>
      <c r="D1272">
        <v>0</v>
      </c>
    </row>
    <row r="1273" spans="1:4" x14ac:dyDescent="0.3">
      <c r="A1273">
        <v>1</v>
      </c>
      <c r="B1273">
        <v>1</v>
      </c>
      <c r="C1273">
        <v>1</v>
      </c>
      <c r="D1273">
        <v>0</v>
      </c>
    </row>
    <row r="1274" spans="1:4" x14ac:dyDescent="0.3">
      <c r="A1274">
        <v>1</v>
      </c>
      <c r="B1274">
        <v>1</v>
      </c>
      <c r="C1274">
        <v>1</v>
      </c>
      <c r="D1274">
        <v>0</v>
      </c>
    </row>
    <row r="1275" spans="1:4" x14ac:dyDescent="0.3">
      <c r="A1275">
        <v>1</v>
      </c>
      <c r="B1275">
        <v>1</v>
      </c>
      <c r="C1275">
        <v>1</v>
      </c>
      <c r="D1275">
        <v>0</v>
      </c>
    </row>
    <row r="1276" spans="1:4" x14ac:dyDescent="0.3">
      <c r="A1276">
        <v>1</v>
      </c>
      <c r="B1276">
        <v>1</v>
      </c>
      <c r="C1276">
        <v>1</v>
      </c>
      <c r="D1276">
        <v>0</v>
      </c>
    </row>
    <row r="1277" spans="1:4" x14ac:dyDescent="0.3">
      <c r="A1277">
        <v>1</v>
      </c>
      <c r="B1277">
        <v>1</v>
      </c>
      <c r="C1277">
        <v>1</v>
      </c>
      <c r="D1277">
        <v>0</v>
      </c>
    </row>
    <row r="1278" spans="1:4" x14ac:dyDescent="0.3">
      <c r="A1278">
        <v>1</v>
      </c>
      <c r="B1278">
        <v>1</v>
      </c>
      <c r="C1278">
        <v>1</v>
      </c>
      <c r="D1278">
        <v>0</v>
      </c>
    </row>
    <row r="1279" spans="1:4" x14ac:dyDescent="0.3">
      <c r="A1279">
        <v>1</v>
      </c>
      <c r="B1279">
        <v>1</v>
      </c>
      <c r="C1279">
        <v>1</v>
      </c>
      <c r="D1279">
        <v>0</v>
      </c>
    </row>
    <row r="1280" spans="1:4" x14ac:dyDescent="0.3">
      <c r="A1280">
        <v>1</v>
      </c>
      <c r="B1280">
        <v>1</v>
      </c>
      <c r="C1280">
        <v>1</v>
      </c>
      <c r="D1280">
        <v>0</v>
      </c>
    </row>
    <row r="1281" spans="1:4" x14ac:dyDescent="0.3">
      <c r="A1281">
        <v>1</v>
      </c>
      <c r="B1281">
        <v>1</v>
      </c>
      <c r="C1281">
        <v>1</v>
      </c>
      <c r="D1281">
        <v>0</v>
      </c>
    </row>
    <row r="1282" spans="1:4" x14ac:dyDescent="0.3">
      <c r="A1282">
        <v>1</v>
      </c>
      <c r="B1282">
        <v>1</v>
      </c>
      <c r="C1282">
        <v>1</v>
      </c>
      <c r="D1282">
        <v>0</v>
      </c>
    </row>
    <row r="1283" spans="1:4" x14ac:dyDescent="0.3">
      <c r="A1283">
        <v>1</v>
      </c>
      <c r="B1283">
        <v>1</v>
      </c>
      <c r="C1283">
        <v>1</v>
      </c>
      <c r="D1283">
        <v>0</v>
      </c>
    </row>
    <row r="1284" spans="1:4" x14ac:dyDescent="0.3">
      <c r="A1284">
        <v>1</v>
      </c>
      <c r="B1284">
        <v>1</v>
      </c>
      <c r="C1284">
        <v>1</v>
      </c>
      <c r="D1284">
        <v>0</v>
      </c>
    </row>
    <row r="1285" spans="1:4" x14ac:dyDescent="0.3">
      <c r="A1285">
        <v>1</v>
      </c>
      <c r="B1285">
        <v>1</v>
      </c>
      <c r="C1285">
        <v>1</v>
      </c>
      <c r="D1285">
        <v>0</v>
      </c>
    </row>
    <row r="1286" spans="1:4" x14ac:dyDescent="0.3">
      <c r="A1286">
        <v>1</v>
      </c>
      <c r="B1286">
        <v>1</v>
      </c>
      <c r="C1286">
        <v>1</v>
      </c>
      <c r="D1286">
        <v>0</v>
      </c>
    </row>
    <row r="1287" spans="1:4" x14ac:dyDescent="0.3">
      <c r="A1287">
        <v>1</v>
      </c>
      <c r="B1287">
        <v>1</v>
      </c>
      <c r="C1287">
        <v>1</v>
      </c>
      <c r="D1287">
        <v>0</v>
      </c>
    </row>
    <row r="1288" spans="1:4" x14ac:dyDescent="0.3">
      <c r="A1288">
        <v>1</v>
      </c>
      <c r="B1288">
        <v>1</v>
      </c>
      <c r="C1288">
        <v>1</v>
      </c>
      <c r="D1288">
        <v>0</v>
      </c>
    </row>
    <row r="1289" spans="1:4" x14ac:dyDescent="0.3">
      <c r="A1289">
        <v>1</v>
      </c>
      <c r="B1289">
        <v>1</v>
      </c>
      <c r="C1289">
        <v>1</v>
      </c>
      <c r="D1289">
        <v>0</v>
      </c>
    </row>
    <row r="1290" spans="1:4" x14ac:dyDescent="0.3">
      <c r="A1290">
        <v>1</v>
      </c>
      <c r="B1290">
        <v>1</v>
      </c>
      <c r="C1290">
        <v>1</v>
      </c>
      <c r="D1290">
        <v>0</v>
      </c>
    </row>
    <row r="1291" spans="1:4" x14ac:dyDescent="0.3">
      <c r="A1291">
        <v>1</v>
      </c>
      <c r="B1291">
        <v>1</v>
      </c>
      <c r="C1291">
        <v>1</v>
      </c>
      <c r="D1291">
        <v>0</v>
      </c>
    </row>
    <row r="1292" spans="1:4" x14ac:dyDescent="0.3">
      <c r="A1292">
        <v>1</v>
      </c>
      <c r="B1292">
        <v>1</v>
      </c>
      <c r="C1292">
        <v>1</v>
      </c>
      <c r="D1292">
        <v>0</v>
      </c>
    </row>
    <row r="1293" spans="1:4" x14ac:dyDescent="0.3">
      <c r="A1293">
        <v>1</v>
      </c>
      <c r="B1293">
        <v>1</v>
      </c>
      <c r="C1293">
        <v>1</v>
      </c>
      <c r="D1293">
        <v>0</v>
      </c>
    </row>
    <row r="1294" spans="1:4" x14ac:dyDescent="0.3">
      <c r="A1294">
        <v>1</v>
      </c>
      <c r="B1294">
        <v>1</v>
      </c>
      <c r="C1294">
        <v>1</v>
      </c>
      <c r="D1294">
        <v>0</v>
      </c>
    </row>
    <row r="1295" spans="1:4" x14ac:dyDescent="0.3">
      <c r="A1295">
        <v>1</v>
      </c>
      <c r="B1295">
        <v>1</v>
      </c>
      <c r="C1295">
        <v>1</v>
      </c>
      <c r="D1295">
        <v>0</v>
      </c>
    </row>
    <row r="1296" spans="1:4" x14ac:dyDescent="0.3">
      <c r="A1296">
        <v>1</v>
      </c>
      <c r="B1296">
        <v>1</v>
      </c>
      <c r="C1296">
        <v>1</v>
      </c>
      <c r="D1296">
        <v>0</v>
      </c>
    </row>
    <row r="1297" spans="1:4" x14ac:dyDescent="0.3">
      <c r="A1297">
        <v>1</v>
      </c>
      <c r="B1297">
        <v>1</v>
      </c>
      <c r="C1297">
        <v>1</v>
      </c>
      <c r="D1297">
        <v>0</v>
      </c>
    </row>
    <row r="1298" spans="1:4" x14ac:dyDescent="0.3">
      <c r="A1298">
        <v>1</v>
      </c>
      <c r="B1298">
        <v>1</v>
      </c>
      <c r="C1298">
        <v>1</v>
      </c>
      <c r="D1298">
        <v>0</v>
      </c>
    </row>
    <row r="1299" spans="1:4" x14ac:dyDescent="0.3">
      <c r="A1299">
        <v>1</v>
      </c>
      <c r="B1299">
        <v>1</v>
      </c>
      <c r="C1299">
        <v>1</v>
      </c>
      <c r="D1299">
        <v>0</v>
      </c>
    </row>
    <row r="1300" spans="1:4" x14ac:dyDescent="0.3">
      <c r="A1300">
        <v>1</v>
      </c>
      <c r="B1300">
        <v>1</v>
      </c>
      <c r="C1300">
        <v>1</v>
      </c>
      <c r="D1300">
        <v>0</v>
      </c>
    </row>
    <row r="1301" spans="1:4" x14ac:dyDescent="0.3">
      <c r="A1301">
        <v>1</v>
      </c>
      <c r="B1301">
        <v>1</v>
      </c>
      <c r="C1301">
        <v>1</v>
      </c>
      <c r="D1301">
        <v>0</v>
      </c>
    </row>
    <row r="1302" spans="1:4" x14ac:dyDescent="0.3">
      <c r="A1302">
        <v>1</v>
      </c>
      <c r="B1302">
        <v>1</v>
      </c>
      <c r="C1302">
        <v>1</v>
      </c>
      <c r="D1302">
        <v>0</v>
      </c>
    </row>
    <row r="1303" spans="1:4" x14ac:dyDescent="0.3">
      <c r="A1303">
        <v>1</v>
      </c>
      <c r="B1303">
        <v>1</v>
      </c>
      <c r="C1303">
        <v>1</v>
      </c>
      <c r="D1303">
        <v>0</v>
      </c>
    </row>
    <row r="1304" spans="1:4" x14ac:dyDescent="0.3">
      <c r="A1304">
        <v>1</v>
      </c>
      <c r="B1304">
        <v>1</v>
      </c>
      <c r="C1304">
        <v>1</v>
      </c>
      <c r="D1304">
        <v>0</v>
      </c>
    </row>
    <row r="1305" spans="1:4" x14ac:dyDescent="0.3">
      <c r="A1305">
        <v>1</v>
      </c>
      <c r="B1305">
        <v>1</v>
      </c>
      <c r="C1305">
        <v>1</v>
      </c>
      <c r="D1305">
        <v>0</v>
      </c>
    </row>
    <row r="1306" spans="1:4" x14ac:dyDescent="0.3">
      <c r="A1306">
        <v>1</v>
      </c>
      <c r="B1306">
        <v>1</v>
      </c>
      <c r="C1306">
        <v>1</v>
      </c>
      <c r="D1306">
        <v>0</v>
      </c>
    </row>
    <row r="1307" spans="1:4" x14ac:dyDescent="0.3">
      <c r="A1307">
        <v>1</v>
      </c>
      <c r="B1307">
        <v>1</v>
      </c>
      <c r="C1307">
        <v>1</v>
      </c>
      <c r="D1307">
        <v>0</v>
      </c>
    </row>
    <row r="1308" spans="1:4" x14ac:dyDescent="0.3">
      <c r="A1308">
        <v>1</v>
      </c>
      <c r="B1308">
        <v>1</v>
      </c>
      <c r="C1308">
        <v>1</v>
      </c>
      <c r="D1308">
        <v>0</v>
      </c>
    </row>
    <row r="1309" spans="1:4" x14ac:dyDescent="0.3">
      <c r="A1309">
        <v>1</v>
      </c>
      <c r="B1309">
        <v>1</v>
      </c>
      <c r="C1309">
        <v>1</v>
      </c>
      <c r="D1309">
        <v>0</v>
      </c>
    </row>
    <row r="1310" spans="1:4" x14ac:dyDescent="0.3">
      <c r="A1310">
        <v>1</v>
      </c>
      <c r="B1310">
        <v>1</v>
      </c>
      <c r="C1310">
        <v>1</v>
      </c>
      <c r="D1310">
        <v>0</v>
      </c>
    </row>
    <row r="1311" spans="1:4" x14ac:dyDescent="0.3">
      <c r="A1311">
        <v>1</v>
      </c>
      <c r="B1311">
        <v>1</v>
      </c>
      <c r="C1311">
        <v>1</v>
      </c>
      <c r="D1311">
        <v>0</v>
      </c>
    </row>
    <row r="1312" spans="1:4" x14ac:dyDescent="0.3">
      <c r="A1312">
        <v>1</v>
      </c>
      <c r="B1312">
        <v>1</v>
      </c>
      <c r="C1312">
        <v>1</v>
      </c>
      <c r="D1312">
        <v>0</v>
      </c>
    </row>
    <row r="1313" spans="1:4" x14ac:dyDescent="0.3">
      <c r="A1313">
        <v>1</v>
      </c>
      <c r="B1313">
        <v>1</v>
      </c>
      <c r="C1313">
        <v>1</v>
      </c>
      <c r="D1313">
        <v>0</v>
      </c>
    </row>
    <row r="1314" spans="1:4" x14ac:dyDescent="0.3">
      <c r="A1314">
        <v>1</v>
      </c>
      <c r="B1314">
        <v>1</v>
      </c>
      <c r="C1314">
        <v>1</v>
      </c>
      <c r="D1314">
        <v>0</v>
      </c>
    </row>
    <row r="1315" spans="1:4" x14ac:dyDescent="0.3">
      <c r="A1315">
        <v>1</v>
      </c>
      <c r="B1315">
        <v>1</v>
      </c>
      <c r="C1315">
        <v>1</v>
      </c>
      <c r="D1315">
        <v>0</v>
      </c>
    </row>
    <row r="1316" spans="1:4" x14ac:dyDescent="0.3">
      <c r="A1316">
        <v>1</v>
      </c>
      <c r="B1316">
        <v>1</v>
      </c>
      <c r="C1316">
        <v>1</v>
      </c>
      <c r="D1316">
        <v>0</v>
      </c>
    </row>
    <row r="1317" spans="1:4" x14ac:dyDescent="0.3">
      <c r="A1317">
        <v>1</v>
      </c>
      <c r="B1317">
        <v>1</v>
      </c>
      <c r="C1317">
        <v>1</v>
      </c>
      <c r="D1317">
        <v>0</v>
      </c>
    </row>
    <row r="1318" spans="1:4" x14ac:dyDescent="0.3">
      <c r="A1318">
        <v>1</v>
      </c>
      <c r="B1318">
        <v>1</v>
      </c>
      <c r="C1318">
        <v>1</v>
      </c>
      <c r="D1318">
        <v>0</v>
      </c>
    </row>
    <row r="1319" spans="1:4" x14ac:dyDescent="0.3">
      <c r="A1319">
        <v>1</v>
      </c>
      <c r="B1319">
        <v>1</v>
      </c>
      <c r="C1319">
        <v>1</v>
      </c>
      <c r="D1319">
        <v>0</v>
      </c>
    </row>
    <row r="1320" spans="1:4" x14ac:dyDescent="0.3">
      <c r="A1320">
        <v>1</v>
      </c>
      <c r="B1320">
        <v>1</v>
      </c>
      <c r="C1320">
        <v>1</v>
      </c>
      <c r="D1320">
        <v>0</v>
      </c>
    </row>
    <row r="1321" spans="1:4" x14ac:dyDescent="0.3">
      <c r="A1321">
        <v>1</v>
      </c>
      <c r="B1321">
        <v>1</v>
      </c>
      <c r="C1321">
        <v>1</v>
      </c>
      <c r="D1321">
        <v>0</v>
      </c>
    </row>
    <row r="1322" spans="1:4" x14ac:dyDescent="0.3">
      <c r="A1322">
        <v>1</v>
      </c>
      <c r="B1322">
        <v>1</v>
      </c>
      <c r="C1322">
        <v>1</v>
      </c>
      <c r="D1322">
        <v>0</v>
      </c>
    </row>
    <row r="1323" spans="1:4" x14ac:dyDescent="0.3">
      <c r="A1323">
        <v>1</v>
      </c>
      <c r="B1323">
        <v>1</v>
      </c>
      <c r="C1323">
        <v>1</v>
      </c>
      <c r="D1323">
        <v>0</v>
      </c>
    </row>
    <row r="1324" spans="1:4" x14ac:dyDescent="0.3">
      <c r="A1324">
        <v>1</v>
      </c>
      <c r="B1324">
        <v>1</v>
      </c>
      <c r="C1324">
        <v>1</v>
      </c>
      <c r="D1324">
        <v>0</v>
      </c>
    </row>
    <row r="1325" spans="1:4" x14ac:dyDescent="0.3">
      <c r="A1325">
        <v>1</v>
      </c>
      <c r="B1325">
        <v>1</v>
      </c>
      <c r="C1325">
        <v>1</v>
      </c>
      <c r="D1325">
        <v>0</v>
      </c>
    </row>
    <row r="1326" spans="1:4" x14ac:dyDescent="0.3">
      <c r="A1326">
        <v>1</v>
      </c>
      <c r="B1326">
        <v>1</v>
      </c>
      <c r="C1326">
        <v>1</v>
      </c>
      <c r="D1326">
        <v>0</v>
      </c>
    </row>
    <row r="1327" spans="1:4" x14ac:dyDescent="0.3">
      <c r="A1327">
        <v>1</v>
      </c>
      <c r="B1327">
        <v>1</v>
      </c>
      <c r="C1327">
        <v>1</v>
      </c>
      <c r="D1327">
        <v>0</v>
      </c>
    </row>
    <row r="1328" spans="1:4" x14ac:dyDescent="0.3">
      <c r="A1328">
        <v>1</v>
      </c>
      <c r="B1328">
        <v>1</v>
      </c>
      <c r="C1328">
        <v>1</v>
      </c>
      <c r="D1328">
        <v>0</v>
      </c>
    </row>
    <row r="1329" spans="1:4" x14ac:dyDescent="0.3">
      <c r="A1329">
        <v>1</v>
      </c>
      <c r="B1329">
        <v>1</v>
      </c>
      <c r="C1329">
        <v>1</v>
      </c>
      <c r="D1329">
        <v>0</v>
      </c>
    </row>
    <row r="1330" spans="1:4" x14ac:dyDescent="0.3">
      <c r="A1330">
        <v>1</v>
      </c>
      <c r="B1330">
        <v>1</v>
      </c>
      <c r="C1330">
        <v>1</v>
      </c>
      <c r="D1330">
        <v>0</v>
      </c>
    </row>
    <row r="1331" spans="1:4" x14ac:dyDescent="0.3">
      <c r="A1331">
        <v>1</v>
      </c>
      <c r="B1331">
        <v>1</v>
      </c>
      <c r="C1331">
        <v>1</v>
      </c>
      <c r="D1331">
        <v>0</v>
      </c>
    </row>
    <row r="1332" spans="1:4" x14ac:dyDescent="0.3">
      <c r="A1332">
        <v>1</v>
      </c>
      <c r="B1332">
        <v>1</v>
      </c>
      <c r="C1332">
        <v>1</v>
      </c>
      <c r="D1332">
        <v>0</v>
      </c>
    </row>
    <row r="1333" spans="1:4" x14ac:dyDescent="0.3">
      <c r="A1333">
        <v>1</v>
      </c>
      <c r="B1333">
        <v>1</v>
      </c>
      <c r="C1333">
        <v>1</v>
      </c>
      <c r="D1333">
        <v>0</v>
      </c>
    </row>
    <row r="1334" spans="1:4" x14ac:dyDescent="0.3">
      <c r="A1334">
        <v>1</v>
      </c>
      <c r="B1334">
        <v>1</v>
      </c>
      <c r="C1334">
        <v>1</v>
      </c>
      <c r="D1334">
        <v>0</v>
      </c>
    </row>
    <row r="1335" spans="1:4" x14ac:dyDescent="0.3">
      <c r="A1335">
        <v>1</v>
      </c>
      <c r="B1335">
        <v>1</v>
      </c>
      <c r="C1335">
        <v>1</v>
      </c>
      <c r="D1335">
        <v>0</v>
      </c>
    </row>
    <row r="1336" spans="1:4" x14ac:dyDescent="0.3">
      <c r="A1336">
        <v>1</v>
      </c>
      <c r="B1336">
        <v>1</v>
      </c>
      <c r="C1336">
        <v>1</v>
      </c>
      <c r="D1336">
        <v>0</v>
      </c>
    </row>
    <row r="1337" spans="1:4" x14ac:dyDescent="0.3">
      <c r="A1337">
        <v>1</v>
      </c>
      <c r="B1337">
        <v>1</v>
      </c>
      <c r="C1337">
        <v>1</v>
      </c>
      <c r="D1337">
        <v>0</v>
      </c>
    </row>
    <row r="1338" spans="1:4" x14ac:dyDescent="0.3">
      <c r="A1338">
        <v>1</v>
      </c>
      <c r="B1338">
        <v>1</v>
      </c>
      <c r="C1338">
        <v>1</v>
      </c>
      <c r="D1338">
        <v>0</v>
      </c>
    </row>
    <row r="1339" spans="1:4" x14ac:dyDescent="0.3">
      <c r="A1339">
        <v>1</v>
      </c>
      <c r="B1339">
        <v>1</v>
      </c>
      <c r="C1339">
        <v>1</v>
      </c>
      <c r="D1339">
        <v>0</v>
      </c>
    </row>
    <row r="1340" spans="1:4" x14ac:dyDescent="0.3">
      <c r="A1340">
        <v>1</v>
      </c>
      <c r="B1340">
        <v>1</v>
      </c>
      <c r="C1340">
        <v>1</v>
      </c>
      <c r="D1340">
        <v>0</v>
      </c>
    </row>
    <row r="1341" spans="1:4" x14ac:dyDescent="0.3">
      <c r="A1341">
        <v>1</v>
      </c>
      <c r="B1341">
        <v>1</v>
      </c>
      <c r="C1341">
        <v>1</v>
      </c>
      <c r="D1341">
        <v>0</v>
      </c>
    </row>
    <row r="1342" spans="1:4" x14ac:dyDescent="0.3">
      <c r="A1342">
        <v>1</v>
      </c>
      <c r="B1342">
        <v>1</v>
      </c>
      <c r="C1342">
        <v>1</v>
      </c>
      <c r="D1342">
        <v>0</v>
      </c>
    </row>
    <row r="1343" spans="1:4" x14ac:dyDescent="0.3">
      <c r="A1343">
        <v>1</v>
      </c>
      <c r="B1343">
        <v>1</v>
      </c>
      <c r="C1343">
        <v>1</v>
      </c>
      <c r="D1343">
        <v>0</v>
      </c>
    </row>
    <row r="1344" spans="1:4" x14ac:dyDescent="0.3">
      <c r="A1344">
        <v>1</v>
      </c>
      <c r="B1344">
        <v>1</v>
      </c>
      <c r="C1344">
        <v>1</v>
      </c>
      <c r="D1344">
        <v>0</v>
      </c>
    </row>
    <row r="1345" spans="1:4" x14ac:dyDescent="0.3">
      <c r="A1345">
        <v>1</v>
      </c>
      <c r="B1345">
        <v>1</v>
      </c>
      <c r="C1345">
        <v>1</v>
      </c>
      <c r="D1345">
        <v>0</v>
      </c>
    </row>
    <row r="1346" spans="1:4" x14ac:dyDescent="0.3">
      <c r="A1346">
        <v>1</v>
      </c>
      <c r="B1346">
        <v>1</v>
      </c>
      <c r="C1346">
        <v>1</v>
      </c>
      <c r="D1346">
        <v>0</v>
      </c>
    </row>
    <row r="1347" spans="1:4" x14ac:dyDescent="0.3">
      <c r="A1347">
        <v>1</v>
      </c>
      <c r="B1347">
        <v>1</v>
      </c>
      <c r="C1347">
        <v>1</v>
      </c>
      <c r="D1347">
        <v>0</v>
      </c>
    </row>
    <row r="1348" spans="1:4" x14ac:dyDescent="0.3">
      <c r="A1348">
        <v>1</v>
      </c>
      <c r="B1348">
        <v>1</v>
      </c>
      <c r="C1348">
        <v>1</v>
      </c>
      <c r="D1348">
        <v>0</v>
      </c>
    </row>
    <row r="1349" spans="1:4" x14ac:dyDescent="0.3">
      <c r="A1349">
        <v>1</v>
      </c>
      <c r="B1349">
        <v>1</v>
      </c>
      <c r="C1349">
        <v>1</v>
      </c>
      <c r="D1349">
        <v>0</v>
      </c>
    </row>
    <row r="1350" spans="1:4" x14ac:dyDescent="0.3">
      <c r="A1350">
        <v>1</v>
      </c>
      <c r="B1350">
        <v>1</v>
      </c>
      <c r="C1350">
        <v>1</v>
      </c>
      <c r="D1350">
        <v>0</v>
      </c>
    </row>
    <row r="1351" spans="1:4" x14ac:dyDescent="0.3">
      <c r="A1351">
        <v>1</v>
      </c>
      <c r="B1351">
        <v>1</v>
      </c>
      <c r="C1351">
        <v>1</v>
      </c>
      <c r="D1351">
        <v>0</v>
      </c>
    </row>
    <row r="1352" spans="1:4" x14ac:dyDescent="0.3">
      <c r="A1352">
        <v>1</v>
      </c>
      <c r="B1352">
        <v>1</v>
      </c>
      <c r="C1352">
        <v>1</v>
      </c>
      <c r="D1352">
        <v>0</v>
      </c>
    </row>
    <row r="1353" spans="1:4" x14ac:dyDescent="0.3">
      <c r="A1353">
        <v>1</v>
      </c>
      <c r="B1353">
        <v>1</v>
      </c>
      <c r="C1353">
        <v>1</v>
      </c>
      <c r="D1353">
        <v>0</v>
      </c>
    </row>
    <row r="1354" spans="1:4" x14ac:dyDescent="0.3">
      <c r="A1354">
        <v>1</v>
      </c>
      <c r="B1354">
        <v>1</v>
      </c>
      <c r="C1354">
        <v>1</v>
      </c>
      <c r="D1354">
        <v>0</v>
      </c>
    </row>
    <row r="1355" spans="1:4" x14ac:dyDescent="0.3">
      <c r="A1355">
        <v>1</v>
      </c>
      <c r="B1355">
        <v>1</v>
      </c>
      <c r="C1355">
        <v>1</v>
      </c>
      <c r="D1355">
        <v>0</v>
      </c>
    </row>
    <row r="1356" spans="1:4" x14ac:dyDescent="0.3">
      <c r="A1356">
        <v>1</v>
      </c>
      <c r="B1356">
        <v>1</v>
      </c>
      <c r="C1356">
        <v>1</v>
      </c>
      <c r="D1356">
        <v>0</v>
      </c>
    </row>
    <row r="1357" spans="1:4" x14ac:dyDescent="0.3">
      <c r="A1357">
        <v>1</v>
      </c>
      <c r="B1357">
        <v>1</v>
      </c>
      <c r="C1357">
        <v>1</v>
      </c>
      <c r="D1357">
        <v>0</v>
      </c>
    </row>
    <row r="1358" spans="1:4" x14ac:dyDescent="0.3">
      <c r="A1358">
        <v>1</v>
      </c>
      <c r="B1358">
        <v>1</v>
      </c>
      <c r="C1358">
        <v>1</v>
      </c>
      <c r="D1358">
        <v>0</v>
      </c>
    </row>
    <row r="1359" spans="1:4" x14ac:dyDescent="0.3">
      <c r="A1359">
        <v>1</v>
      </c>
      <c r="B1359">
        <v>1</v>
      </c>
      <c r="C1359">
        <v>1</v>
      </c>
      <c r="D1359">
        <v>0</v>
      </c>
    </row>
    <row r="1360" spans="1:4" x14ac:dyDescent="0.3">
      <c r="A1360">
        <v>1</v>
      </c>
      <c r="B1360">
        <v>1</v>
      </c>
      <c r="C1360">
        <v>1</v>
      </c>
      <c r="D1360">
        <v>0</v>
      </c>
    </row>
    <row r="1361" spans="1:4" x14ac:dyDescent="0.3">
      <c r="A1361">
        <v>1</v>
      </c>
      <c r="B1361">
        <v>1</v>
      </c>
      <c r="C1361">
        <v>1</v>
      </c>
      <c r="D1361">
        <v>0</v>
      </c>
    </row>
    <row r="1362" spans="1:4" x14ac:dyDescent="0.3">
      <c r="A1362">
        <v>1</v>
      </c>
      <c r="B1362">
        <v>1</v>
      </c>
      <c r="C1362">
        <v>1</v>
      </c>
      <c r="D1362">
        <v>0</v>
      </c>
    </row>
    <row r="1363" spans="1:4" x14ac:dyDescent="0.3">
      <c r="A1363">
        <v>1</v>
      </c>
      <c r="B1363">
        <v>1</v>
      </c>
      <c r="C1363">
        <v>1</v>
      </c>
      <c r="D1363">
        <v>0</v>
      </c>
    </row>
    <row r="1364" spans="1:4" x14ac:dyDescent="0.3">
      <c r="A1364">
        <v>1</v>
      </c>
      <c r="B1364">
        <v>1</v>
      </c>
      <c r="C1364">
        <v>1</v>
      </c>
      <c r="D1364">
        <v>0</v>
      </c>
    </row>
    <row r="1365" spans="1:4" x14ac:dyDescent="0.3">
      <c r="A1365">
        <v>1</v>
      </c>
      <c r="B1365">
        <v>1</v>
      </c>
      <c r="C1365">
        <v>1</v>
      </c>
      <c r="D1365">
        <v>0</v>
      </c>
    </row>
    <row r="1366" spans="1:4" x14ac:dyDescent="0.3">
      <c r="A1366">
        <v>1</v>
      </c>
      <c r="B1366">
        <v>1</v>
      </c>
      <c r="C1366">
        <v>1</v>
      </c>
      <c r="D1366">
        <v>0</v>
      </c>
    </row>
    <row r="1367" spans="1:4" x14ac:dyDescent="0.3">
      <c r="A1367">
        <v>1</v>
      </c>
      <c r="B1367">
        <v>1</v>
      </c>
      <c r="C1367">
        <v>1</v>
      </c>
      <c r="D1367">
        <v>0</v>
      </c>
    </row>
    <row r="1368" spans="1:4" x14ac:dyDescent="0.3">
      <c r="A1368">
        <v>1</v>
      </c>
      <c r="B1368">
        <v>1</v>
      </c>
      <c r="C1368">
        <v>1</v>
      </c>
      <c r="D1368">
        <v>0</v>
      </c>
    </row>
    <row r="1369" spans="1:4" x14ac:dyDescent="0.3">
      <c r="A1369">
        <v>1</v>
      </c>
      <c r="B1369">
        <v>1</v>
      </c>
      <c r="C1369">
        <v>1</v>
      </c>
      <c r="D1369">
        <v>0</v>
      </c>
    </row>
    <row r="1370" spans="1:4" x14ac:dyDescent="0.3">
      <c r="A1370">
        <v>1</v>
      </c>
      <c r="B1370">
        <v>1</v>
      </c>
      <c r="C1370">
        <v>1</v>
      </c>
      <c r="D1370">
        <v>0</v>
      </c>
    </row>
    <row r="1371" spans="1:4" x14ac:dyDescent="0.3">
      <c r="A1371">
        <v>1</v>
      </c>
      <c r="B1371">
        <v>1</v>
      </c>
      <c r="C1371">
        <v>1</v>
      </c>
      <c r="D1371">
        <v>0</v>
      </c>
    </row>
    <row r="1372" spans="1:4" x14ac:dyDescent="0.3">
      <c r="A1372">
        <v>1</v>
      </c>
      <c r="B1372">
        <v>1</v>
      </c>
      <c r="C1372">
        <v>1</v>
      </c>
      <c r="D1372">
        <v>0</v>
      </c>
    </row>
    <row r="1373" spans="1:4" x14ac:dyDescent="0.3">
      <c r="A1373">
        <v>1</v>
      </c>
      <c r="B1373">
        <v>1</v>
      </c>
      <c r="C1373">
        <v>1</v>
      </c>
      <c r="D1373">
        <v>0</v>
      </c>
    </row>
    <row r="1374" spans="1:4" x14ac:dyDescent="0.3">
      <c r="A1374">
        <v>1</v>
      </c>
      <c r="B1374">
        <v>1</v>
      </c>
      <c r="C1374">
        <v>1</v>
      </c>
      <c r="D1374">
        <v>0</v>
      </c>
    </row>
    <row r="1375" spans="1:4" x14ac:dyDescent="0.3">
      <c r="A1375">
        <v>1</v>
      </c>
      <c r="B1375">
        <v>1</v>
      </c>
      <c r="C1375">
        <v>1</v>
      </c>
      <c r="D1375">
        <v>0</v>
      </c>
    </row>
    <row r="1376" spans="1:4" x14ac:dyDescent="0.3">
      <c r="A1376">
        <v>1</v>
      </c>
      <c r="B1376">
        <v>1</v>
      </c>
      <c r="C1376">
        <v>1</v>
      </c>
      <c r="D1376">
        <v>0</v>
      </c>
    </row>
    <row r="1377" spans="1:4" x14ac:dyDescent="0.3">
      <c r="A1377">
        <v>1</v>
      </c>
      <c r="B1377">
        <v>1</v>
      </c>
      <c r="C1377">
        <v>1</v>
      </c>
      <c r="D1377">
        <v>0</v>
      </c>
    </row>
    <row r="1378" spans="1:4" x14ac:dyDescent="0.3">
      <c r="A1378">
        <v>1</v>
      </c>
      <c r="B1378">
        <v>1</v>
      </c>
      <c r="C1378">
        <v>1</v>
      </c>
      <c r="D1378">
        <v>0</v>
      </c>
    </row>
    <row r="1379" spans="1:4" x14ac:dyDescent="0.3">
      <c r="A1379">
        <v>1</v>
      </c>
      <c r="B1379">
        <v>1</v>
      </c>
      <c r="C1379">
        <v>1</v>
      </c>
      <c r="D1379">
        <v>0</v>
      </c>
    </row>
    <row r="1380" spans="1:4" x14ac:dyDescent="0.3">
      <c r="A1380">
        <v>1</v>
      </c>
      <c r="B1380">
        <v>1</v>
      </c>
      <c r="C1380">
        <v>1</v>
      </c>
      <c r="D1380">
        <v>0</v>
      </c>
    </row>
    <row r="1381" spans="1:4" x14ac:dyDescent="0.3">
      <c r="A1381">
        <v>1</v>
      </c>
      <c r="B1381">
        <v>1</v>
      </c>
      <c r="C1381">
        <v>1</v>
      </c>
      <c r="D1381">
        <v>0</v>
      </c>
    </row>
    <row r="1382" spans="1:4" x14ac:dyDescent="0.3">
      <c r="A1382">
        <v>1</v>
      </c>
      <c r="B1382">
        <v>1</v>
      </c>
      <c r="C1382">
        <v>1</v>
      </c>
      <c r="D1382">
        <v>0</v>
      </c>
    </row>
    <row r="1383" spans="1:4" x14ac:dyDescent="0.3">
      <c r="A1383">
        <v>1</v>
      </c>
      <c r="B1383">
        <v>1</v>
      </c>
      <c r="C1383">
        <v>1</v>
      </c>
      <c r="D1383">
        <v>0</v>
      </c>
    </row>
    <row r="1384" spans="1:4" x14ac:dyDescent="0.3">
      <c r="A1384">
        <v>1</v>
      </c>
      <c r="B1384">
        <v>1</v>
      </c>
      <c r="C1384">
        <v>1</v>
      </c>
      <c r="D1384">
        <v>0</v>
      </c>
    </row>
    <row r="1385" spans="1:4" x14ac:dyDescent="0.3">
      <c r="A1385">
        <v>1</v>
      </c>
      <c r="B1385">
        <v>1</v>
      </c>
      <c r="C1385">
        <v>1</v>
      </c>
      <c r="D1385">
        <v>0</v>
      </c>
    </row>
    <row r="1386" spans="1:4" x14ac:dyDescent="0.3">
      <c r="A1386">
        <v>1</v>
      </c>
      <c r="B1386">
        <v>1</v>
      </c>
      <c r="C1386">
        <v>1</v>
      </c>
      <c r="D1386">
        <v>0</v>
      </c>
    </row>
    <row r="1387" spans="1:4" x14ac:dyDescent="0.3">
      <c r="A1387">
        <v>1</v>
      </c>
      <c r="B1387">
        <v>1</v>
      </c>
      <c r="C1387">
        <v>1</v>
      </c>
      <c r="D1387">
        <v>0</v>
      </c>
    </row>
    <row r="1388" spans="1:4" x14ac:dyDescent="0.3">
      <c r="A1388">
        <v>1</v>
      </c>
      <c r="B1388">
        <v>1</v>
      </c>
      <c r="C1388">
        <v>1</v>
      </c>
      <c r="D1388">
        <v>0</v>
      </c>
    </row>
    <row r="1389" spans="1:4" x14ac:dyDescent="0.3">
      <c r="A1389">
        <v>1</v>
      </c>
      <c r="B1389">
        <v>1</v>
      </c>
      <c r="C1389">
        <v>1</v>
      </c>
      <c r="D1389">
        <v>0</v>
      </c>
    </row>
    <row r="1390" spans="1:4" x14ac:dyDescent="0.3">
      <c r="A1390">
        <v>1</v>
      </c>
      <c r="B1390">
        <v>1</v>
      </c>
      <c r="C1390">
        <v>1</v>
      </c>
      <c r="D1390">
        <v>0</v>
      </c>
    </row>
    <row r="1391" spans="1:4" x14ac:dyDescent="0.3">
      <c r="A1391">
        <v>1</v>
      </c>
      <c r="B1391">
        <v>1</v>
      </c>
      <c r="C1391">
        <v>1</v>
      </c>
      <c r="D1391">
        <v>0</v>
      </c>
    </row>
    <row r="1392" spans="1:4" x14ac:dyDescent="0.3">
      <c r="A1392">
        <v>1</v>
      </c>
      <c r="B1392">
        <v>1</v>
      </c>
      <c r="C1392">
        <v>1</v>
      </c>
      <c r="D1392">
        <v>0</v>
      </c>
    </row>
    <row r="1393" spans="1:4" x14ac:dyDescent="0.3">
      <c r="A1393">
        <v>1</v>
      </c>
      <c r="B1393">
        <v>1</v>
      </c>
      <c r="C1393">
        <v>1</v>
      </c>
      <c r="D1393">
        <v>0</v>
      </c>
    </row>
    <row r="1394" spans="1:4" x14ac:dyDescent="0.3">
      <c r="A1394">
        <v>1</v>
      </c>
      <c r="B1394">
        <v>1</v>
      </c>
      <c r="C1394">
        <v>1</v>
      </c>
      <c r="D1394">
        <v>0</v>
      </c>
    </row>
    <row r="1395" spans="1:4" x14ac:dyDescent="0.3">
      <c r="A1395">
        <v>1</v>
      </c>
      <c r="B1395">
        <v>1</v>
      </c>
      <c r="C1395">
        <v>1</v>
      </c>
      <c r="D1395">
        <v>0</v>
      </c>
    </row>
    <row r="1396" spans="1:4" x14ac:dyDescent="0.3">
      <c r="A1396">
        <v>1</v>
      </c>
      <c r="B1396">
        <v>1</v>
      </c>
      <c r="C1396">
        <v>1</v>
      </c>
      <c r="D1396">
        <v>0</v>
      </c>
    </row>
    <row r="1397" spans="1:4" x14ac:dyDescent="0.3">
      <c r="A1397">
        <v>1</v>
      </c>
      <c r="B1397">
        <v>1</v>
      </c>
      <c r="C1397">
        <v>1</v>
      </c>
      <c r="D1397">
        <v>0</v>
      </c>
    </row>
    <row r="1398" spans="1:4" x14ac:dyDescent="0.3">
      <c r="A1398">
        <v>1</v>
      </c>
      <c r="B1398">
        <v>1</v>
      </c>
      <c r="C1398">
        <v>1</v>
      </c>
      <c r="D1398">
        <v>0</v>
      </c>
    </row>
    <row r="1399" spans="1:4" x14ac:dyDescent="0.3">
      <c r="A1399">
        <v>1</v>
      </c>
      <c r="B1399">
        <v>1</v>
      </c>
      <c r="C1399">
        <v>1</v>
      </c>
      <c r="D1399">
        <v>0</v>
      </c>
    </row>
    <row r="1400" spans="1:4" x14ac:dyDescent="0.3">
      <c r="A1400">
        <v>1</v>
      </c>
      <c r="B1400">
        <v>1</v>
      </c>
      <c r="C1400">
        <v>1</v>
      </c>
      <c r="D1400">
        <v>0</v>
      </c>
    </row>
    <row r="1401" spans="1:4" x14ac:dyDescent="0.3">
      <c r="A1401">
        <v>1</v>
      </c>
      <c r="B1401">
        <v>1</v>
      </c>
      <c r="C1401">
        <v>1</v>
      </c>
      <c r="D1401">
        <v>0</v>
      </c>
    </row>
    <row r="1402" spans="1:4" x14ac:dyDescent="0.3">
      <c r="A1402">
        <v>1</v>
      </c>
      <c r="B1402">
        <v>1</v>
      </c>
      <c r="C1402">
        <v>1</v>
      </c>
      <c r="D1402">
        <v>0</v>
      </c>
    </row>
    <row r="1403" spans="1:4" x14ac:dyDescent="0.3">
      <c r="A1403">
        <v>1</v>
      </c>
      <c r="B1403">
        <v>1</v>
      </c>
      <c r="C1403">
        <v>1</v>
      </c>
      <c r="D1403">
        <v>0</v>
      </c>
    </row>
    <row r="1404" spans="1:4" x14ac:dyDescent="0.3">
      <c r="A1404">
        <v>1</v>
      </c>
      <c r="B1404">
        <v>1</v>
      </c>
      <c r="C1404">
        <v>1</v>
      </c>
      <c r="D1404">
        <v>0</v>
      </c>
    </row>
    <row r="1405" spans="1:4" x14ac:dyDescent="0.3">
      <c r="A1405">
        <v>1</v>
      </c>
      <c r="B1405">
        <v>1</v>
      </c>
      <c r="C1405">
        <v>1</v>
      </c>
      <c r="D1405">
        <v>0</v>
      </c>
    </row>
    <row r="1406" spans="1:4" x14ac:dyDescent="0.3">
      <c r="A1406">
        <v>1</v>
      </c>
      <c r="B1406">
        <v>1</v>
      </c>
      <c r="C1406">
        <v>1</v>
      </c>
      <c r="D1406">
        <v>0</v>
      </c>
    </row>
    <row r="1407" spans="1:4" x14ac:dyDescent="0.3">
      <c r="A1407">
        <v>1</v>
      </c>
      <c r="B1407">
        <v>1</v>
      </c>
      <c r="C1407">
        <v>1</v>
      </c>
      <c r="D1407">
        <v>0</v>
      </c>
    </row>
    <row r="1408" spans="1:4" x14ac:dyDescent="0.3">
      <c r="A1408">
        <v>1</v>
      </c>
      <c r="B1408">
        <v>1</v>
      </c>
      <c r="C1408">
        <v>1</v>
      </c>
      <c r="D1408">
        <v>0</v>
      </c>
    </row>
    <row r="1409" spans="1:4" x14ac:dyDescent="0.3">
      <c r="A1409">
        <v>1</v>
      </c>
      <c r="B1409">
        <v>1</v>
      </c>
      <c r="C1409">
        <v>1</v>
      </c>
      <c r="D1409">
        <v>0</v>
      </c>
    </row>
    <row r="1410" spans="1:4" x14ac:dyDescent="0.3">
      <c r="A1410">
        <v>1</v>
      </c>
      <c r="B1410">
        <v>1</v>
      </c>
      <c r="C1410">
        <v>1</v>
      </c>
      <c r="D1410">
        <v>0</v>
      </c>
    </row>
    <row r="1411" spans="1:4" x14ac:dyDescent="0.3">
      <c r="A1411">
        <v>1</v>
      </c>
      <c r="B1411">
        <v>1</v>
      </c>
      <c r="C1411">
        <v>1</v>
      </c>
      <c r="D1411">
        <v>0</v>
      </c>
    </row>
    <row r="1412" spans="1:4" x14ac:dyDescent="0.3">
      <c r="A1412">
        <v>1</v>
      </c>
      <c r="B1412">
        <v>1</v>
      </c>
      <c r="C1412">
        <v>1</v>
      </c>
      <c r="D1412">
        <v>0</v>
      </c>
    </row>
    <row r="1413" spans="1:4" x14ac:dyDescent="0.3">
      <c r="A1413">
        <v>1</v>
      </c>
      <c r="B1413">
        <v>1</v>
      </c>
      <c r="C1413">
        <v>1</v>
      </c>
      <c r="D1413">
        <v>0</v>
      </c>
    </row>
    <row r="1414" spans="1:4" x14ac:dyDescent="0.3">
      <c r="A1414">
        <v>1</v>
      </c>
      <c r="B1414">
        <v>1</v>
      </c>
      <c r="C1414">
        <v>1</v>
      </c>
      <c r="D1414">
        <v>0</v>
      </c>
    </row>
    <row r="1415" spans="1:4" x14ac:dyDescent="0.3">
      <c r="A1415">
        <v>1</v>
      </c>
      <c r="B1415">
        <v>1</v>
      </c>
      <c r="C1415">
        <v>1</v>
      </c>
      <c r="D1415">
        <v>0</v>
      </c>
    </row>
    <row r="1416" spans="1:4" x14ac:dyDescent="0.3">
      <c r="A1416">
        <v>1</v>
      </c>
      <c r="B1416">
        <v>1</v>
      </c>
      <c r="C1416">
        <v>1</v>
      </c>
      <c r="D1416">
        <v>0</v>
      </c>
    </row>
    <row r="1417" spans="1:4" x14ac:dyDescent="0.3">
      <c r="A1417">
        <v>1</v>
      </c>
      <c r="B1417">
        <v>1</v>
      </c>
      <c r="C1417">
        <v>1</v>
      </c>
      <c r="D1417">
        <v>0</v>
      </c>
    </row>
    <row r="1418" spans="1:4" x14ac:dyDescent="0.3">
      <c r="A1418">
        <v>1</v>
      </c>
      <c r="B1418">
        <v>1</v>
      </c>
      <c r="C1418">
        <v>1</v>
      </c>
      <c r="D1418">
        <v>0</v>
      </c>
    </row>
    <row r="1419" spans="1:4" x14ac:dyDescent="0.3">
      <c r="A1419">
        <v>1</v>
      </c>
      <c r="B1419">
        <v>1</v>
      </c>
      <c r="C1419">
        <v>1</v>
      </c>
      <c r="D1419">
        <v>0</v>
      </c>
    </row>
    <row r="1420" spans="1:4" x14ac:dyDescent="0.3">
      <c r="A1420">
        <v>1</v>
      </c>
      <c r="B1420">
        <v>1</v>
      </c>
      <c r="C1420">
        <v>1</v>
      </c>
      <c r="D1420">
        <v>0</v>
      </c>
    </row>
    <row r="1421" spans="1:4" x14ac:dyDescent="0.3">
      <c r="A1421">
        <v>1</v>
      </c>
      <c r="B1421">
        <v>1</v>
      </c>
      <c r="C1421">
        <v>1</v>
      </c>
      <c r="D1421">
        <v>0</v>
      </c>
    </row>
    <row r="1422" spans="1:4" x14ac:dyDescent="0.3">
      <c r="A1422">
        <v>1</v>
      </c>
      <c r="B1422">
        <v>1</v>
      </c>
      <c r="C1422">
        <v>1</v>
      </c>
      <c r="D1422">
        <v>0</v>
      </c>
    </row>
    <row r="1423" spans="1:4" x14ac:dyDescent="0.3">
      <c r="A1423">
        <v>1</v>
      </c>
      <c r="B1423">
        <v>1</v>
      </c>
      <c r="C1423">
        <v>1</v>
      </c>
      <c r="D1423">
        <v>0</v>
      </c>
    </row>
    <row r="1424" spans="1:4" x14ac:dyDescent="0.3">
      <c r="A1424">
        <v>1</v>
      </c>
      <c r="B1424">
        <v>1</v>
      </c>
      <c r="C1424">
        <v>1</v>
      </c>
      <c r="D1424">
        <v>0</v>
      </c>
    </row>
    <row r="1425" spans="1:4" x14ac:dyDescent="0.3">
      <c r="A1425">
        <v>1</v>
      </c>
      <c r="B1425">
        <v>1</v>
      </c>
      <c r="C1425">
        <v>1</v>
      </c>
      <c r="D1425">
        <v>0</v>
      </c>
    </row>
    <row r="1426" spans="1:4" x14ac:dyDescent="0.3">
      <c r="A1426">
        <v>1</v>
      </c>
      <c r="B1426">
        <v>1</v>
      </c>
      <c r="C1426">
        <v>1</v>
      </c>
      <c r="D1426">
        <v>0</v>
      </c>
    </row>
    <row r="1427" spans="1:4" x14ac:dyDescent="0.3">
      <c r="A1427">
        <v>1</v>
      </c>
      <c r="B1427">
        <v>1</v>
      </c>
      <c r="C1427">
        <v>1</v>
      </c>
      <c r="D1427">
        <v>0</v>
      </c>
    </row>
    <row r="1428" spans="1:4" x14ac:dyDescent="0.3">
      <c r="A1428">
        <v>1</v>
      </c>
      <c r="B1428">
        <v>1</v>
      </c>
      <c r="C1428">
        <v>1</v>
      </c>
      <c r="D1428">
        <v>0</v>
      </c>
    </row>
    <row r="1429" spans="1:4" x14ac:dyDescent="0.3">
      <c r="A1429">
        <v>1</v>
      </c>
      <c r="B1429">
        <v>1</v>
      </c>
      <c r="C1429">
        <v>1</v>
      </c>
      <c r="D1429">
        <v>0</v>
      </c>
    </row>
    <row r="1430" spans="1:4" x14ac:dyDescent="0.3">
      <c r="A1430">
        <v>1</v>
      </c>
      <c r="B1430">
        <v>1</v>
      </c>
      <c r="C1430">
        <v>1</v>
      </c>
      <c r="D1430">
        <v>0</v>
      </c>
    </row>
    <row r="1431" spans="1:4" x14ac:dyDescent="0.3">
      <c r="A1431">
        <v>1</v>
      </c>
      <c r="B1431">
        <v>1</v>
      </c>
      <c r="C1431">
        <v>1</v>
      </c>
      <c r="D1431">
        <v>0</v>
      </c>
    </row>
    <row r="1432" spans="1:4" x14ac:dyDescent="0.3">
      <c r="A1432">
        <v>1</v>
      </c>
      <c r="B1432">
        <v>1</v>
      </c>
      <c r="C1432">
        <v>1</v>
      </c>
      <c r="D1432">
        <v>0</v>
      </c>
    </row>
    <row r="1433" spans="1:4" x14ac:dyDescent="0.3">
      <c r="A1433">
        <v>1</v>
      </c>
      <c r="B1433">
        <v>1</v>
      </c>
      <c r="C1433">
        <v>1</v>
      </c>
      <c r="D1433">
        <v>0</v>
      </c>
    </row>
    <row r="1434" spans="1:4" x14ac:dyDescent="0.3">
      <c r="A1434">
        <v>1</v>
      </c>
      <c r="B1434">
        <v>1</v>
      </c>
      <c r="C1434">
        <v>1</v>
      </c>
      <c r="D1434">
        <v>0</v>
      </c>
    </row>
    <row r="1435" spans="1:4" x14ac:dyDescent="0.3">
      <c r="A1435">
        <v>1</v>
      </c>
      <c r="B1435">
        <v>1</v>
      </c>
      <c r="C1435">
        <v>1</v>
      </c>
      <c r="D1435">
        <v>0</v>
      </c>
    </row>
    <row r="1436" spans="1:4" x14ac:dyDescent="0.3">
      <c r="A1436">
        <v>1</v>
      </c>
      <c r="B1436">
        <v>1</v>
      </c>
      <c r="C1436">
        <v>1</v>
      </c>
      <c r="D1436">
        <v>0</v>
      </c>
    </row>
    <row r="1437" spans="1:4" x14ac:dyDescent="0.3">
      <c r="A1437">
        <v>1</v>
      </c>
      <c r="B1437">
        <v>1</v>
      </c>
      <c r="C1437">
        <v>1</v>
      </c>
      <c r="D1437">
        <v>0</v>
      </c>
    </row>
    <row r="1438" spans="1:4" x14ac:dyDescent="0.3">
      <c r="A1438">
        <v>1</v>
      </c>
      <c r="B1438">
        <v>1</v>
      </c>
      <c r="C1438">
        <v>1</v>
      </c>
      <c r="D1438">
        <v>0</v>
      </c>
    </row>
    <row r="1439" spans="1:4" x14ac:dyDescent="0.3">
      <c r="A1439">
        <v>1</v>
      </c>
      <c r="B1439">
        <v>1</v>
      </c>
      <c r="C1439">
        <v>1</v>
      </c>
      <c r="D1439">
        <v>0</v>
      </c>
    </row>
    <row r="1440" spans="1:4" x14ac:dyDescent="0.3">
      <c r="A1440">
        <v>1</v>
      </c>
      <c r="B1440">
        <v>1</v>
      </c>
      <c r="C1440">
        <v>1</v>
      </c>
      <c r="D1440">
        <v>0</v>
      </c>
    </row>
    <row r="1441" spans="1:4" x14ac:dyDescent="0.3">
      <c r="A1441">
        <v>1</v>
      </c>
      <c r="B1441">
        <v>1</v>
      </c>
      <c r="C1441">
        <v>1</v>
      </c>
      <c r="D1441">
        <v>0</v>
      </c>
    </row>
    <row r="1442" spans="1:4" x14ac:dyDescent="0.3">
      <c r="A1442">
        <v>1</v>
      </c>
      <c r="B1442">
        <v>1</v>
      </c>
      <c r="C1442">
        <v>1</v>
      </c>
      <c r="D1442">
        <v>0</v>
      </c>
    </row>
    <row r="1443" spans="1:4" x14ac:dyDescent="0.3">
      <c r="A1443">
        <v>1</v>
      </c>
      <c r="B1443">
        <v>1</v>
      </c>
      <c r="C1443">
        <v>1</v>
      </c>
      <c r="D1443">
        <v>0</v>
      </c>
    </row>
    <row r="1444" spans="1:4" x14ac:dyDescent="0.3">
      <c r="A1444">
        <v>1</v>
      </c>
      <c r="B1444">
        <v>1</v>
      </c>
      <c r="C1444">
        <v>1</v>
      </c>
      <c r="D1444">
        <v>0</v>
      </c>
    </row>
    <row r="1445" spans="1:4" x14ac:dyDescent="0.3">
      <c r="A1445">
        <v>1</v>
      </c>
      <c r="B1445">
        <v>1</v>
      </c>
      <c r="C1445">
        <v>1</v>
      </c>
      <c r="D1445">
        <v>0</v>
      </c>
    </row>
    <row r="1446" spans="1:4" x14ac:dyDescent="0.3">
      <c r="A1446">
        <v>1</v>
      </c>
      <c r="B1446">
        <v>1</v>
      </c>
      <c r="C1446">
        <v>1</v>
      </c>
      <c r="D1446">
        <v>0</v>
      </c>
    </row>
    <row r="1447" spans="1:4" x14ac:dyDescent="0.3">
      <c r="A1447">
        <v>1</v>
      </c>
      <c r="B1447">
        <v>1</v>
      </c>
      <c r="C1447">
        <v>1</v>
      </c>
      <c r="D1447">
        <v>0</v>
      </c>
    </row>
    <row r="1448" spans="1:4" x14ac:dyDescent="0.3">
      <c r="A1448">
        <v>1</v>
      </c>
      <c r="B1448">
        <v>1</v>
      </c>
      <c r="C1448">
        <v>1</v>
      </c>
      <c r="D1448">
        <v>0</v>
      </c>
    </row>
    <row r="1449" spans="1:4" x14ac:dyDescent="0.3">
      <c r="A1449">
        <v>1</v>
      </c>
      <c r="B1449">
        <v>1</v>
      </c>
      <c r="C1449">
        <v>1</v>
      </c>
      <c r="D1449">
        <v>0</v>
      </c>
    </row>
    <row r="1450" spans="1:4" x14ac:dyDescent="0.3">
      <c r="A1450">
        <v>1</v>
      </c>
      <c r="B1450">
        <v>1</v>
      </c>
      <c r="C1450">
        <v>1</v>
      </c>
      <c r="D1450">
        <v>0</v>
      </c>
    </row>
    <row r="1451" spans="1:4" x14ac:dyDescent="0.3">
      <c r="A1451">
        <v>1</v>
      </c>
      <c r="B1451">
        <v>1</v>
      </c>
      <c r="C1451">
        <v>1</v>
      </c>
      <c r="D1451">
        <v>0</v>
      </c>
    </row>
    <row r="1452" spans="1:4" x14ac:dyDescent="0.3">
      <c r="A1452">
        <v>1</v>
      </c>
      <c r="B1452">
        <v>1</v>
      </c>
      <c r="C1452">
        <v>1</v>
      </c>
      <c r="D1452">
        <v>0</v>
      </c>
    </row>
    <row r="1453" spans="1:4" x14ac:dyDescent="0.3">
      <c r="A1453">
        <v>1</v>
      </c>
      <c r="B1453">
        <v>1</v>
      </c>
      <c r="C1453">
        <v>1</v>
      </c>
      <c r="D1453">
        <v>0</v>
      </c>
    </row>
    <row r="1454" spans="1:4" x14ac:dyDescent="0.3">
      <c r="A1454">
        <v>1</v>
      </c>
      <c r="B1454">
        <v>1</v>
      </c>
      <c r="C1454">
        <v>1</v>
      </c>
      <c r="D1454">
        <v>0</v>
      </c>
    </row>
    <row r="1455" spans="1:4" x14ac:dyDescent="0.3">
      <c r="A1455">
        <v>1</v>
      </c>
      <c r="B1455">
        <v>1</v>
      </c>
      <c r="C1455">
        <v>1</v>
      </c>
      <c r="D1455">
        <v>0</v>
      </c>
    </row>
    <row r="1456" spans="1:4" x14ac:dyDescent="0.3">
      <c r="A1456">
        <v>1</v>
      </c>
      <c r="B1456">
        <v>1</v>
      </c>
      <c r="C1456">
        <v>1</v>
      </c>
      <c r="D1456">
        <v>0</v>
      </c>
    </row>
    <row r="1457" spans="1:4" x14ac:dyDescent="0.3">
      <c r="A1457">
        <v>1</v>
      </c>
      <c r="B1457">
        <v>1</v>
      </c>
      <c r="C1457">
        <v>1</v>
      </c>
      <c r="D1457">
        <v>0</v>
      </c>
    </row>
    <row r="1458" spans="1:4" x14ac:dyDescent="0.3">
      <c r="A1458">
        <v>1</v>
      </c>
      <c r="B1458">
        <v>1</v>
      </c>
      <c r="C1458">
        <v>1</v>
      </c>
      <c r="D1458">
        <v>0</v>
      </c>
    </row>
    <row r="1459" spans="1:4" x14ac:dyDescent="0.3">
      <c r="A1459">
        <v>1</v>
      </c>
      <c r="B1459">
        <v>1</v>
      </c>
      <c r="C1459">
        <v>1</v>
      </c>
      <c r="D1459">
        <v>0</v>
      </c>
    </row>
    <row r="1460" spans="1:4" x14ac:dyDescent="0.3">
      <c r="A1460">
        <v>1</v>
      </c>
      <c r="B1460">
        <v>1</v>
      </c>
      <c r="C1460">
        <v>1</v>
      </c>
      <c r="D1460">
        <v>0</v>
      </c>
    </row>
    <row r="1461" spans="1:4" x14ac:dyDescent="0.3">
      <c r="A1461">
        <v>1</v>
      </c>
      <c r="B1461">
        <v>1</v>
      </c>
      <c r="C1461">
        <v>1</v>
      </c>
      <c r="D1461">
        <v>0</v>
      </c>
    </row>
    <row r="1462" spans="1:4" x14ac:dyDescent="0.3">
      <c r="A1462">
        <v>1</v>
      </c>
      <c r="B1462">
        <v>1</v>
      </c>
      <c r="C1462">
        <v>1</v>
      </c>
      <c r="D14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4463-6929-4935-B207-BD85CF37D1B7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7997-919A-4623-B788-D02F03CE0247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</vt:lpstr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Terekhin</dc:creator>
  <cp:lastModifiedBy>Daniel Clark</cp:lastModifiedBy>
  <dcterms:created xsi:type="dcterms:W3CDTF">2015-06-05T18:17:20Z</dcterms:created>
  <dcterms:modified xsi:type="dcterms:W3CDTF">2024-09-28T23:00:23Z</dcterms:modified>
</cp:coreProperties>
</file>